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D:\BELAJAR DATA ANALIS\Dataset 1 (Employee)\"/>
    </mc:Choice>
  </mc:AlternateContent>
  <xr:revisionPtr revIDLastSave="0" documentId="13_ncr:1_{184100C8-A9F0-49BD-9FC6-F40AF6ACFC5C}" xr6:coauthVersionLast="47" xr6:coauthVersionMax="47" xr10:uidLastSave="{00000000-0000-0000-0000-000000000000}"/>
  <bookViews>
    <workbookView xWindow="-110" yWindow="-110" windowWidth="19420" windowHeight="10300" xr2:uid="{D8035F30-5F61-4EF8-9C28-00A38ECE23EC}"/>
  </bookViews>
  <sheets>
    <sheet name="1. Project &amp; Scope" sheetId="11" r:id="rId1"/>
    <sheet name="2. Dashboard" sheetId="12" r:id="rId2"/>
    <sheet name="3. Exploratory Data Analysis" sheetId="13" r:id="rId3"/>
    <sheet name="4. Quality Report" sheetId="14" r:id="rId4"/>
    <sheet name="5. Data Cleaning" sheetId="15" r:id="rId5"/>
    <sheet name="6. Raw Data" sheetId="16" r:id="rId6"/>
  </sheets>
  <definedNames>
    <definedName name="Slicer_Department">#N/A</definedName>
    <definedName name="Slicer_Region">#N/A</definedName>
    <definedName name="Slicer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5" l="1"/>
  <c r="Z2" i="15"/>
  <c r="C20" i="14"/>
  <c r="S2" i="15"/>
  <c r="S3" i="15"/>
  <c r="S4" i="15"/>
  <c r="S5" i="15"/>
  <c r="S6" i="15"/>
  <c r="S7" i="15"/>
  <c r="S8" i="15"/>
  <c r="S9" i="15"/>
  <c r="S10" i="15"/>
  <c r="S11" i="15"/>
  <c r="S12" i="15"/>
  <c r="S13" i="15"/>
  <c r="S14" i="15"/>
  <c r="S15" i="15"/>
  <c r="S16" i="15"/>
  <c r="S17" i="15"/>
  <c r="S18" i="15"/>
  <c r="S19" i="15"/>
  <c r="S20" i="15"/>
  <c r="S21" i="15"/>
  <c r="S22" i="15"/>
  <c r="S23" i="15"/>
  <c r="S24" i="15"/>
  <c r="S25" i="15"/>
  <c r="S26" i="15"/>
  <c r="S27" i="15"/>
  <c r="S28" i="15"/>
  <c r="S29" i="15"/>
  <c r="S30" i="15"/>
  <c r="S31" i="15"/>
  <c r="S32" i="15"/>
  <c r="S33" i="15"/>
  <c r="S34" i="15"/>
  <c r="S35" i="15"/>
  <c r="S36" i="15"/>
  <c r="S37" i="15"/>
  <c r="S38" i="15"/>
  <c r="S39" i="15"/>
  <c r="S40" i="15"/>
  <c r="S41" i="15"/>
  <c r="S42" i="15"/>
  <c r="S43" i="15"/>
  <c r="S44" i="15"/>
  <c r="S45" i="15"/>
  <c r="S46" i="15"/>
  <c r="S47" i="15"/>
  <c r="S48" i="15"/>
  <c r="S49" i="15"/>
  <c r="S50" i="15"/>
  <c r="S51" i="15"/>
  <c r="S52" i="15"/>
  <c r="S53" i="15"/>
  <c r="S54" i="15"/>
  <c r="S55" i="15"/>
  <c r="S56" i="15"/>
  <c r="S57" i="15"/>
  <c r="S58" i="15"/>
  <c r="S59" i="15"/>
  <c r="S60" i="15"/>
  <c r="S61" i="15"/>
  <c r="S62" i="15"/>
  <c r="S63" i="15"/>
  <c r="S64" i="15"/>
  <c r="S65" i="15"/>
  <c r="S66" i="15"/>
  <c r="S67" i="15"/>
  <c r="S68" i="15"/>
  <c r="S69" i="15"/>
  <c r="S70" i="15"/>
  <c r="S71" i="15"/>
  <c r="S72" i="15"/>
  <c r="S73" i="15"/>
  <c r="S74" i="15"/>
  <c r="S75" i="15"/>
  <c r="S76" i="15"/>
  <c r="S77" i="15"/>
  <c r="S78" i="15"/>
  <c r="S79" i="15"/>
  <c r="S80" i="15"/>
  <c r="S81" i="15"/>
  <c r="S82" i="15"/>
  <c r="S83" i="15"/>
  <c r="S84" i="15"/>
  <c r="S85" i="15"/>
  <c r="S86" i="15"/>
  <c r="S87" i="15"/>
  <c r="S88" i="15"/>
  <c r="S89" i="15"/>
  <c r="S90" i="15"/>
  <c r="S91" i="15"/>
  <c r="S92" i="15"/>
  <c r="S93" i="15"/>
  <c r="S94" i="15"/>
  <c r="S95" i="15"/>
  <c r="S96" i="15"/>
  <c r="S97" i="15"/>
  <c r="S98" i="15"/>
  <c r="S99" i="15"/>
  <c r="S100" i="15"/>
  <c r="S101" i="15"/>
  <c r="S102" i="15"/>
  <c r="S103" i="15"/>
  <c r="S104" i="15"/>
  <c r="S105" i="15"/>
  <c r="S106" i="15"/>
  <c r="S107" i="15"/>
  <c r="S108" i="15"/>
  <c r="S109" i="15"/>
  <c r="S110" i="15"/>
  <c r="S111" i="15"/>
  <c r="S112" i="15"/>
  <c r="S113" i="15"/>
  <c r="S114" i="15"/>
  <c r="S115" i="15"/>
  <c r="S116" i="15"/>
  <c r="S117" i="15"/>
  <c r="S118" i="15"/>
  <c r="S119" i="15"/>
  <c r="S120" i="15"/>
  <c r="S121" i="15"/>
  <c r="S122" i="15"/>
  <c r="S123" i="15"/>
  <c r="S124" i="15"/>
  <c r="S125" i="15"/>
  <c r="S126" i="15"/>
  <c r="S127" i="15"/>
  <c r="S128" i="15"/>
  <c r="S129" i="15"/>
  <c r="S130" i="15"/>
  <c r="S131" i="15"/>
  <c r="S132" i="15"/>
  <c r="S133" i="15"/>
  <c r="S134" i="15"/>
  <c r="S135" i="15"/>
  <c r="S136" i="15"/>
  <c r="S137" i="15"/>
  <c r="S138" i="15"/>
  <c r="S139" i="15"/>
  <c r="S140" i="15"/>
  <c r="S141" i="15"/>
  <c r="S142" i="15"/>
  <c r="S143" i="15"/>
  <c r="S144" i="15"/>
  <c r="S145" i="15"/>
  <c r="S146" i="15"/>
  <c r="S147" i="15"/>
  <c r="S148" i="15"/>
  <c r="S149" i="15"/>
  <c r="S150" i="15"/>
  <c r="S151" i="15"/>
  <c r="S152" i="15"/>
  <c r="S153" i="15"/>
  <c r="S154" i="15"/>
  <c r="S155" i="15"/>
  <c r="S156" i="15"/>
  <c r="S157" i="15"/>
  <c r="S158" i="15"/>
  <c r="S159" i="15"/>
  <c r="S160" i="15"/>
  <c r="S161" i="15"/>
  <c r="S162" i="15"/>
  <c r="S163" i="15"/>
  <c r="S164" i="15"/>
  <c r="S165" i="15"/>
  <c r="S166" i="15"/>
  <c r="S167" i="15"/>
  <c r="S168" i="15"/>
  <c r="S169" i="15"/>
  <c r="S170" i="15"/>
  <c r="S171" i="15"/>
  <c r="S172" i="15"/>
  <c r="S173" i="15"/>
  <c r="S174" i="15"/>
  <c r="S175" i="15"/>
  <c r="S176" i="15"/>
  <c r="S177" i="15"/>
  <c r="S178" i="15"/>
  <c r="S179" i="15"/>
  <c r="S180" i="15"/>
  <c r="S181" i="15"/>
  <c r="S182" i="15"/>
  <c r="S183" i="15"/>
  <c r="S184" i="15"/>
  <c r="S185" i="15"/>
  <c r="S186" i="15"/>
  <c r="S187" i="15"/>
  <c r="S188" i="15"/>
  <c r="S189" i="15"/>
  <c r="S190" i="15"/>
  <c r="S191" i="15"/>
  <c r="S192" i="15"/>
  <c r="S193" i="15"/>
  <c r="S194" i="15"/>
  <c r="S195" i="15"/>
  <c r="S196" i="15"/>
  <c r="S197" i="15"/>
  <c r="S198" i="15"/>
  <c r="S199" i="15"/>
  <c r="S200" i="15"/>
  <c r="S201" i="15"/>
  <c r="S202" i="15"/>
  <c r="S203" i="15"/>
  <c r="S204" i="15"/>
  <c r="S205" i="15"/>
  <c r="S206" i="15"/>
  <c r="S207" i="15"/>
  <c r="S208" i="15"/>
  <c r="S209" i="15"/>
  <c r="S210" i="15"/>
  <c r="S211" i="15"/>
  <c r="S212" i="15"/>
  <c r="S213" i="15"/>
  <c r="S214" i="15"/>
  <c r="S215" i="15"/>
  <c r="S216" i="15"/>
  <c r="S217" i="15"/>
  <c r="S218" i="15"/>
  <c r="S219" i="15"/>
  <c r="S220" i="15"/>
  <c r="S221" i="15"/>
  <c r="S222" i="15"/>
  <c r="S223" i="15"/>
  <c r="S224" i="15"/>
  <c r="S225" i="15"/>
  <c r="S226" i="15"/>
  <c r="S227" i="15"/>
  <c r="S228" i="15"/>
  <c r="S229" i="15"/>
  <c r="S230" i="15"/>
  <c r="S231" i="15"/>
  <c r="S232" i="15"/>
  <c r="S233" i="15"/>
  <c r="S234" i="15"/>
  <c r="S235" i="15"/>
  <c r="S236" i="15"/>
  <c r="S237" i="15"/>
  <c r="S238" i="15"/>
  <c r="S239" i="15"/>
  <c r="S240" i="15"/>
  <c r="S241" i="15"/>
  <c r="S242" i="15"/>
  <c r="S243" i="15"/>
  <c r="S244" i="15"/>
  <c r="S245" i="15"/>
  <c r="S246" i="15"/>
  <c r="S247" i="15"/>
  <c r="S248" i="15"/>
  <c r="S249" i="15"/>
  <c r="S250" i="15"/>
  <c r="S251" i="15"/>
  <c r="S252" i="15"/>
  <c r="S253" i="15"/>
  <c r="S254" i="15"/>
  <c r="S255" i="15"/>
  <c r="S256" i="15"/>
  <c r="S257" i="15"/>
  <c r="S258" i="15"/>
  <c r="S259" i="15"/>
  <c r="S260" i="15"/>
  <c r="S261" i="15"/>
  <c r="S262" i="15"/>
  <c r="S263" i="15"/>
  <c r="S264" i="15"/>
  <c r="S265" i="15"/>
  <c r="S266" i="15"/>
  <c r="S267" i="15"/>
  <c r="S268" i="15"/>
  <c r="S269" i="15"/>
  <c r="S270" i="15"/>
  <c r="S271" i="15"/>
  <c r="S272" i="15"/>
  <c r="S273" i="15"/>
  <c r="S274" i="15"/>
  <c r="S275" i="15"/>
  <c r="S276" i="15"/>
  <c r="S277" i="15"/>
  <c r="S278" i="15"/>
  <c r="S279" i="15"/>
  <c r="S280" i="15"/>
  <c r="S281" i="15"/>
  <c r="S282" i="15"/>
  <c r="S283" i="15"/>
  <c r="S284" i="15"/>
  <c r="S285" i="15"/>
  <c r="S286" i="15"/>
  <c r="S287" i="15"/>
  <c r="S288" i="15"/>
  <c r="S289" i="15"/>
  <c r="S290" i="15"/>
  <c r="S291" i="15"/>
  <c r="S292" i="15"/>
  <c r="S293" i="15"/>
  <c r="S294" i="15"/>
  <c r="S295" i="15"/>
  <c r="S296" i="15"/>
  <c r="S297" i="15"/>
  <c r="S298" i="15"/>
  <c r="S299" i="15"/>
  <c r="S300" i="15"/>
  <c r="S301" i="15"/>
  <c r="S302" i="15"/>
  <c r="S303" i="15"/>
  <c r="S304" i="15"/>
  <c r="S305" i="15"/>
  <c r="S306" i="15"/>
  <c r="S307" i="15"/>
  <c r="S308" i="15"/>
  <c r="S309" i="15"/>
  <c r="S310" i="15"/>
  <c r="S311" i="15"/>
  <c r="S312" i="15"/>
  <c r="S313" i="15"/>
  <c r="S314" i="15"/>
  <c r="S315" i="15"/>
  <c r="S316" i="15"/>
  <c r="S317" i="15"/>
  <c r="S318" i="15"/>
  <c r="S319" i="15"/>
  <c r="S320" i="15"/>
  <c r="S321" i="15"/>
  <c r="S322" i="15"/>
  <c r="S323" i="15"/>
  <c r="S324" i="15"/>
  <c r="S325" i="15"/>
  <c r="S326" i="15"/>
  <c r="S327" i="15"/>
  <c r="S328" i="15"/>
  <c r="S329" i="15"/>
  <c r="S330" i="15"/>
  <c r="S331" i="15"/>
  <c r="S332" i="15"/>
  <c r="S333" i="15"/>
  <c r="S334" i="15"/>
  <c r="S335" i="15"/>
  <c r="S336" i="15"/>
  <c r="S337" i="15"/>
  <c r="S338" i="15"/>
  <c r="S339" i="15"/>
  <c r="S340" i="15"/>
  <c r="S341" i="15"/>
  <c r="S342" i="15"/>
  <c r="S343" i="15"/>
  <c r="S344" i="15"/>
  <c r="S345" i="15"/>
  <c r="S346" i="15"/>
  <c r="S347" i="15"/>
  <c r="S348" i="15"/>
  <c r="S349" i="15"/>
  <c r="S350" i="15"/>
  <c r="S351" i="15"/>
  <c r="S352" i="15"/>
  <c r="S353" i="15"/>
  <c r="S354" i="15"/>
  <c r="S355" i="15"/>
  <c r="S356" i="15"/>
  <c r="S357" i="15"/>
  <c r="S358" i="15"/>
  <c r="S359" i="15"/>
  <c r="S360" i="15"/>
  <c r="S361" i="15"/>
  <c r="S362" i="15"/>
  <c r="S363" i="15"/>
  <c r="S364" i="15"/>
  <c r="S365" i="15"/>
  <c r="S366" i="15"/>
  <c r="S367" i="15"/>
  <c r="S368" i="15"/>
  <c r="S369" i="15"/>
  <c r="S370" i="15"/>
  <c r="S371" i="15"/>
  <c r="S372" i="15"/>
  <c r="S373" i="15"/>
  <c r="S374" i="15"/>
  <c r="S375" i="15"/>
  <c r="S376" i="15"/>
  <c r="S377" i="15"/>
  <c r="S378" i="15"/>
  <c r="S379" i="15"/>
  <c r="S380" i="15"/>
  <c r="S381" i="15"/>
  <c r="S382" i="15"/>
  <c r="S383" i="15"/>
  <c r="S384" i="15"/>
  <c r="S385" i="15"/>
  <c r="S386" i="15"/>
  <c r="S387" i="15"/>
  <c r="S388" i="15"/>
  <c r="S389" i="15"/>
  <c r="S390" i="15"/>
  <c r="S391" i="15"/>
  <c r="S392" i="15"/>
  <c r="S393" i="15"/>
  <c r="S394" i="15"/>
  <c r="S395" i="15"/>
  <c r="S396" i="15"/>
  <c r="S397" i="15"/>
  <c r="S398" i="15"/>
  <c r="S399" i="15"/>
  <c r="S400" i="15"/>
  <c r="S401" i="15"/>
  <c r="S402" i="15"/>
  <c r="S403" i="15"/>
  <c r="S404" i="15"/>
  <c r="S405" i="15"/>
  <c r="S406" i="15"/>
  <c r="S407" i="15"/>
  <c r="S408" i="15"/>
  <c r="S409" i="15"/>
  <c r="S410" i="15"/>
  <c r="S411" i="15"/>
  <c r="S412" i="15"/>
  <c r="S413" i="15"/>
  <c r="S414" i="15"/>
  <c r="S415" i="15"/>
  <c r="S416" i="15"/>
  <c r="S417" i="15"/>
  <c r="S418" i="15"/>
  <c r="S419" i="15"/>
  <c r="S420" i="15"/>
  <c r="S421" i="15"/>
  <c r="S422" i="15"/>
  <c r="S423" i="15"/>
  <c r="S424" i="15"/>
  <c r="S425" i="15"/>
  <c r="S426" i="15"/>
  <c r="S427" i="15"/>
  <c r="S428" i="15"/>
  <c r="S429" i="15"/>
  <c r="S430" i="15"/>
  <c r="S431" i="15"/>
  <c r="S432" i="15"/>
  <c r="S433" i="15"/>
  <c r="S434" i="15"/>
  <c r="S435" i="15"/>
  <c r="S436" i="15"/>
  <c r="S437" i="15"/>
  <c r="S438" i="15"/>
  <c r="S439" i="15"/>
  <c r="S440" i="15"/>
  <c r="S441" i="15"/>
  <c r="S442" i="15"/>
  <c r="S443" i="15"/>
  <c r="S444" i="15"/>
  <c r="S445" i="15"/>
  <c r="S446" i="15"/>
  <c r="S447" i="15"/>
  <c r="S448" i="15"/>
  <c r="S449" i="15"/>
  <c r="S450" i="15"/>
  <c r="S451" i="15"/>
  <c r="S452" i="15"/>
  <c r="S453" i="15"/>
  <c r="S454" i="15"/>
  <c r="S455" i="15"/>
  <c r="S456" i="15"/>
  <c r="S457" i="15"/>
  <c r="S458" i="15"/>
  <c r="S459" i="15"/>
  <c r="S460" i="15"/>
  <c r="S461" i="15"/>
  <c r="S462" i="15"/>
  <c r="S463" i="15"/>
  <c r="S464" i="15"/>
  <c r="S465" i="15"/>
  <c r="S466" i="15"/>
  <c r="S467" i="15"/>
  <c r="S468" i="15"/>
  <c r="S469" i="15"/>
  <c r="S470" i="15"/>
  <c r="S471" i="15"/>
  <c r="S472" i="15"/>
  <c r="S473" i="15"/>
  <c r="S474" i="15"/>
  <c r="S475" i="15"/>
  <c r="S476" i="15"/>
  <c r="S477" i="15"/>
  <c r="S478" i="15"/>
  <c r="S479" i="15"/>
  <c r="S480" i="15"/>
  <c r="S481" i="15"/>
  <c r="S482" i="15"/>
  <c r="S483" i="15"/>
  <c r="S484" i="15"/>
  <c r="S485" i="15"/>
  <c r="S486" i="15"/>
  <c r="S487" i="15"/>
  <c r="S488" i="15"/>
  <c r="S489" i="15"/>
  <c r="S490" i="15"/>
  <c r="S491" i="15"/>
  <c r="S492" i="15"/>
  <c r="S493" i="15"/>
  <c r="S494" i="15"/>
  <c r="S495" i="15"/>
  <c r="S496" i="15"/>
  <c r="S497" i="15"/>
  <c r="S498" i="15"/>
  <c r="S499" i="15"/>
  <c r="S500" i="15"/>
  <c r="S501" i="15"/>
  <c r="S502" i="15"/>
  <c r="S503" i="15"/>
  <c r="S504" i="15"/>
  <c r="S505" i="15"/>
  <c r="S506" i="15"/>
  <c r="S507" i="15"/>
  <c r="S508" i="15"/>
  <c r="S509" i="15"/>
  <c r="S510" i="15"/>
  <c r="S511" i="15"/>
  <c r="S512" i="15"/>
  <c r="S513" i="15"/>
  <c r="S514" i="15"/>
  <c r="S515" i="15"/>
  <c r="S516" i="15"/>
  <c r="S517" i="15"/>
  <c r="S518" i="15"/>
  <c r="S519" i="15"/>
  <c r="S520" i="15"/>
  <c r="S521" i="15"/>
  <c r="S522" i="15"/>
  <c r="S523" i="15"/>
  <c r="S524" i="15"/>
  <c r="S525" i="15"/>
  <c r="S526" i="15"/>
  <c r="S527" i="15"/>
  <c r="S528" i="15"/>
  <c r="S529" i="15"/>
  <c r="S530" i="15"/>
  <c r="S531" i="15"/>
  <c r="S532" i="15"/>
  <c r="S533" i="15"/>
  <c r="S534" i="15"/>
  <c r="S535" i="15"/>
  <c r="S536" i="15"/>
  <c r="S537" i="15"/>
  <c r="S538" i="15"/>
  <c r="S539" i="15"/>
  <c r="S540" i="15"/>
  <c r="S541" i="15"/>
  <c r="S542" i="15"/>
  <c r="S543" i="15"/>
  <c r="S544" i="15"/>
  <c r="S545" i="15"/>
  <c r="S546" i="15"/>
  <c r="S547" i="15"/>
  <c r="S548" i="15"/>
  <c r="S549" i="15"/>
  <c r="S550" i="15"/>
  <c r="S551" i="15"/>
  <c r="S552" i="15"/>
  <c r="S553" i="15"/>
  <c r="S554" i="15"/>
  <c r="S555" i="15"/>
  <c r="S556" i="15"/>
  <c r="S557" i="15"/>
  <c r="S558" i="15"/>
  <c r="S559" i="15"/>
  <c r="S560" i="15"/>
  <c r="S561" i="15"/>
  <c r="S562" i="15"/>
  <c r="S563" i="15"/>
  <c r="S564" i="15"/>
  <c r="S565" i="15"/>
  <c r="S566" i="15"/>
  <c r="S567" i="15"/>
  <c r="S568" i="15"/>
  <c r="S569" i="15"/>
  <c r="S570" i="15"/>
  <c r="S571" i="15"/>
  <c r="S572" i="15"/>
  <c r="S573" i="15"/>
  <c r="S574" i="15"/>
  <c r="S575" i="15"/>
  <c r="S576" i="15"/>
  <c r="S577" i="15"/>
  <c r="S578" i="15"/>
  <c r="S579" i="15"/>
  <c r="S580" i="15"/>
  <c r="S581" i="15"/>
  <c r="S582" i="15"/>
  <c r="S583" i="15"/>
  <c r="S584" i="15"/>
  <c r="S585" i="15"/>
  <c r="S586" i="15"/>
  <c r="S587" i="15"/>
  <c r="S588" i="15"/>
  <c r="S589" i="15"/>
  <c r="S590" i="15"/>
  <c r="S591" i="15"/>
  <c r="S592" i="15"/>
  <c r="S593" i="15"/>
  <c r="S594" i="15"/>
  <c r="S595" i="15"/>
  <c r="S596" i="15"/>
  <c r="S597" i="15"/>
  <c r="S598" i="15"/>
  <c r="S599" i="15"/>
  <c r="S600" i="15"/>
  <c r="S601" i="15"/>
  <c r="S602" i="15"/>
  <c r="S603" i="15"/>
  <c r="S604" i="15"/>
  <c r="S605" i="15"/>
  <c r="S606" i="15"/>
  <c r="S607" i="15"/>
  <c r="S608" i="15"/>
  <c r="S609" i="15"/>
  <c r="S610" i="15"/>
  <c r="S611" i="15"/>
  <c r="S612" i="15"/>
  <c r="S613" i="15"/>
  <c r="S614" i="15"/>
  <c r="S615" i="15"/>
  <c r="S616" i="15"/>
  <c r="S617" i="15"/>
  <c r="S618" i="15"/>
  <c r="S619" i="15"/>
  <c r="S620" i="15"/>
  <c r="S621" i="15"/>
  <c r="S622" i="15"/>
  <c r="S623" i="15"/>
  <c r="S624" i="15"/>
  <c r="S625" i="15"/>
  <c r="S626" i="15"/>
  <c r="S627" i="15"/>
  <c r="S628" i="15"/>
  <c r="S629" i="15"/>
  <c r="S630" i="15"/>
  <c r="S631" i="15"/>
  <c r="S632" i="15"/>
  <c r="S633" i="15"/>
  <c r="S634" i="15"/>
  <c r="S635" i="15"/>
  <c r="S636" i="15"/>
  <c r="S637" i="15"/>
  <c r="S638" i="15"/>
  <c r="S639" i="15"/>
  <c r="S640" i="15"/>
  <c r="S641" i="15"/>
  <c r="S642" i="15"/>
  <c r="S643" i="15"/>
  <c r="S644" i="15"/>
  <c r="S645" i="15"/>
  <c r="S646" i="15"/>
  <c r="S647" i="15"/>
  <c r="S648" i="15"/>
  <c r="S649" i="15"/>
  <c r="S650" i="15"/>
  <c r="S651" i="15"/>
  <c r="S652" i="15"/>
  <c r="S653" i="15"/>
  <c r="S654" i="15"/>
  <c r="S655" i="15"/>
  <c r="S656" i="15"/>
  <c r="S657" i="15"/>
  <c r="S658" i="15"/>
  <c r="S659" i="15"/>
  <c r="S660" i="15"/>
  <c r="S661" i="15"/>
  <c r="S662" i="15"/>
  <c r="S663" i="15"/>
  <c r="S664" i="15"/>
  <c r="S665" i="15"/>
  <c r="S666" i="15"/>
  <c r="S667" i="15"/>
  <c r="S668" i="15"/>
  <c r="S669" i="15"/>
  <c r="S670" i="15"/>
  <c r="S671" i="15"/>
  <c r="S672" i="15"/>
  <c r="S673" i="15"/>
  <c r="S674" i="15"/>
  <c r="S675" i="15"/>
  <c r="S676" i="15"/>
  <c r="S677" i="15"/>
  <c r="S678" i="15"/>
  <c r="S679" i="15"/>
  <c r="S680" i="15"/>
  <c r="S681" i="15"/>
  <c r="S682" i="15"/>
  <c r="S683" i="15"/>
  <c r="S684" i="15"/>
  <c r="S685" i="15"/>
  <c r="S686" i="15"/>
  <c r="S687" i="15"/>
  <c r="S688" i="15"/>
  <c r="S689" i="15"/>
  <c r="S690" i="15"/>
  <c r="S691" i="15"/>
  <c r="S692" i="15"/>
  <c r="S693" i="15"/>
  <c r="S694" i="15"/>
  <c r="S695" i="15"/>
  <c r="S696" i="15"/>
  <c r="S697" i="15"/>
  <c r="S698" i="15"/>
  <c r="S699" i="15"/>
  <c r="S700" i="15"/>
  <c r="S701" i="15"/>
  <c r="S702" i="15"/>
  <c r="S703" i="15"/>
  <c r="S704" i="15"/>
  <c r="S705" i="15"/>
  <c r="S706" i="15"/>
  <c r="S707" i="15"/>
  <c r="S708" i="15"/>
  <c r="S709" i="15"/>
  <c r="S710" i="15"/>
  <c r="S711" i="15"/>
  <c r="S712" i="15"/>
  <c r="S713" i="15"/>
  <c r="S714" i="15"/>
  <c r="S715" i="15"/>
  <c r="S716" i="15"/>
  <c r="S717" i="15"/>
  <c r="S718" i="15"/>
  <c r="S719" i="15"/>
  <c r="S720" i="15"/>
  <c r="S721" i="15"/>
  <c r="S722" i="15"/>
  <c r="S723" i="15"/>
  <c r="S724" i="15"/>
  <c r="S725" i="15"/>
  <c r="S726" i="15"/>
  <c r="S727" i="15"/>
  <c r="S728" i="15"/>
  <c r="S729" i="15"/>
  <c r="S730" i="15"/>
  <c r="S731" i="15"/>
  <c r="S732" i="15"/>
  <c r="S733" i="15"/>
  <c r="S734" i="15"/>
  <c r="S735" i="15"/>
  <c r="S736" i="15"/>
  <c r="S737" i="15"/>
  <c r="S738" i="15"/>
  <c r="S739" i="15"/>
  <c r="S740" i="15"/>
  <c r="S741" i="15"/>
  <c r="S742" i="15"/>
  <c r="S743" i="15"/>
  <c r="S744" i="15"/>
  <c r="S745" i="15"/>
  <c r="S746" i="15"/>
  <c r="S747" i="15"/>
  <c r="S748" i="15"/>
  <c r="S749" i="15"/>
  <c r="S750" i="15"/>
  <c r="S751" i="15"/>
  <c r="S752" i="15"/>
  <c r="S753" i="15"/>
  <c r="S754" i="15"/>
  <c r="S755" i="15"/>
  <c r="S756" i="15"/>
  <c r="S757" i="15"/>
  <c r="S758" i="15"/>
  <c r="S759" i="15"/>
  <c r="S760" i="15"/>
  <c r="S761" i="15"/>
  <c r="S762" i="15"/>
  <c r="S763" i="15"/>
  <c r="S764" i="15"/>
  <c r="S765" i="15"/>
  <c r="S766" i="15"/>
  <c r="S767" i="15"/>
  <c r="S768" i="15"/>
  <c r="S769" i="15"/>
  <c r="S770" i="15"/>
  <c r="S771" i="15"/>
  <c r="S772" i="15"/>
  <c r="S773" i="15"/>
  <c r="S774" i="15"/>
  <c r="S775" i="15"/>
  <c r="S776" i="15"/>
  <c r="S777" i="15"/>
  <c r="S778" i="15"/>
  <c r="S779" i="15"/>
  <c r="S780" i="15"/>
  <c r="S781" i="15"/>
  <c r="S782" i="15"/>
  <c r="S783" i="15"/>
  <c r="S784" i="15"/>
  <c r="S785" i="15"/>
  <c r="S786" i="15"/>
  <c r="S787" i="15"/>
  <c r="S788" i="15"/>
  <c r="S789" i="15"/>
  <c r="S790" i="15"/>
  <c r="S791" i="15"/>
  <c r="S792" i="15"/>
  <c r="S793" i="15"/>
  <c r="S794" i="15"/>
  <c r="S795" i="15"/>
  <c r="S796" i="15"/>
  <c r="S797" i="15"/>
  <c r="S798" i="15"/>
  <c r="S799" i="15"/>
  <c r="S800" i="15"/>
  <c r="S801" i="15"/>
  <c r="S802" i="15"/>
  <c r="S803" i="15"/>
  <c r="S804" i="15"/>
  <c r="S805" i="15"/>
  <c r="S806" i="15"/>
  <c r="S807" i="15"/>
  <c r="S808" i="15"/>
  <c r="S809" i="15"/>
  <c r="S810" i="15"/>
  <c r="S811" i="15"/>
  <c r="S812" i="15"/>
  <c r="S813" i="15"/>
  <c r="S814" i="15"/>
  <c r="S815" i="15"/>
  <c r="S816" i="15"/>
  <c r="S817" i="15"/>
  <c r="S818" i="15"/>
  <c r="S819" i="15"/>
  <c r="S820" i="15"/>
  <c r="S821" i="15"/>
  <c r="S822" i="15"/>
  <c r="S823" i="15"/>
  <c r="S824" i="15"/>
  <c r="S825" i="15"/>
  <c r="S826" i="15"/>
  <c r="S827" i="15"/>
  <c r="S828" i="15"/>
  <c r="S829" i="15"/>
  <c r="S830" i="15"/>
  <c r="S831" i="15"/>
  <c r="S832" i="15"/>
  <c r="S833" i="15"/>
  <c r="S834" i="15"/>
  <c r="S835" i="15"/>
  <c r="S836" i="15"/>
  <c r="S837" i="15"/>
  <c r="S838" i="15"/>
  <c r="S839" i="15"/>
  <c r="S840" i="15"/>
  <c r="S841" i="15"/>
  <c r="S842" i="15"/>
  <c r="S843" i="15"/>
  <c r="S844" i="15"/>
  <c r="S845" i="15"/>
  <c r="S846" i="15"/>
  <c r="S847" i="15"/>
  <c r="S848" i="15"/>
  <c r="S849" i="15"/>
  <c r="S850" i="15"/>
  <c r="S851" i="15"/>
  <c r="S852" i="15"/>
  <c r="S853" i="15"/>
  <c r="S854" i="15"/>
  <c r="S855" i="15"/>
  <c r="S856" i="15"/>
  <c r="S857" i="15"/>
  <c r="S858" i="15"/>
  <c r="S859" i="15"/>
  <c r="S860" i="15"/>
  <c r="S861" i="15"/>
  <c r="S862" i="15"/>
  <c r="S863" i="15"/>
  <c r="S864" i="15"/>
  <c r="S865" i="15"/>
  <c r="S866" i="15"/>
  <c r="S867" i="15"/>
  <c r="S868" i="15"/>
  <c r="S869" i="15"/>
  <c r="S870" i="15"/>
  <c r="S871" i="15"/>
  <c r="S872" i="15"/>
  <c r="S873" i="15"/>
  <c r="S874" i="15"/>
  <c r="S875" i="15"/>
  <c r="S876" i="15"/>
  <c r="S877" i="15"/>
  <c r="S878" i="15"/>
  <c r="S879" i="15"/>
  <c r="S880" i="15"/>
  <c r="S881" i="15"/>
  <c r="S882" i="15"/>
  <c r="S883" i="15"/>
  <c r="S884" i="15"/>
  <c r="S885" i="15"/>
  <c r="S886" i="15"/>
  <c r="S887" i="15"/>
  <c r="S888" i="15"/>
  <c r="S889" i="15"/>
  <c r="S890" i="15"/>
  <c r="S891" i="15"/>
  <c r="S892" i="15"/>
  <c r="S893" i="15"/>
  <c r="S894" i="15"/>
  <c r="S895" i="15"/>
  <c r="S896" i="15"/>
  <c r="S897" i="15"/>
  <c r="S898" i="15"/>
  <c r="S899" i="15"/>
  <c r="S900" i="15"/>
  <c r="S901" i="15"/>
  <c r="S902" i="15"/>
  <c r="S903" i="15"/>
  <c r="S904" i="15"/>
  <c r="S905" i="15"/>
  <c r="S906" i="15"/>
  <c r="S907" i="15"/>
  <c r="S908" i="15"/>
  <c r="S909" i="15"/>
  <c r="S910" i="15"/>
  <c r="S911" i="15"/>
  <c r="S912" i="15"/>
  <c r="S913" i="15"/>
  <c r="S914" i="15"/>
  <c r="S915" i="15"/>
  <c r="S916" i="15"/>
  <c r="S917" i="15"/>
  <c r="S918" i="15"/>
  <c r="S919" i="15"/>
  <c r="S920" i="15"/>
  <c r="S921" i="15"/>
  <c r="S922" i="15"/>
  <c r="S923" i="15"/>
  <c r="S924" i="15"/>
  <c r="S925" i="15"/>
  <c r="S926" i="15"/>
  <c r="S927" i="15"/>
  <c r="S928" i="15"/>
  <c r="S929" i="15"/>
  <c r="S930" i="15"/>
  <c r="S931" i="15"/>
  <c r="S932" i="15"/>
  <c r="S933" i="15"/>
  <c r="S934" i="15"/>
  <c r="S935" i="15"/>
  <c r="S936" i="15"/>
  <c r="S937" i="15"/>
  <c r="S938" i="15"/>
  <c r="S939" i="15"/>
  <c r="S940" i="15"/>
  <c r="S941" i="15"/>
  <c r="S942" i="15"/>
  <c r="S943" i="15"/>
  <c r="S944" i="15"/>
  <c r="S945" i="15"/>
  <c r="S946" i="15"/>
  <c r="S947" i="15"/>
  <c r="S948" i="15"/>
  <c r="S949" i="15"/>
  <c r="S950" i="15"/>
  <c r="S951" i="15"/>
  <c r="S952" i="15"/>
  <c r="S953" i="15"/>
  <c r="S954" i="15"/>
  <c r="S955" i="15"/>
  <c r="S956" i="15"/>
  <c r="S957" i="15"/>
  <c r="S958" i="15"/>
  <c r="S959" i="15"/>
  <c r="S960" i="15"/>
  <c r="S961" i="15"/>
  <c r="S962" i="15"/>
  <c r="S963" i="15"/>
  <c r="S964" i="15"/>
  <c r="S965" i="15"/>
  <c r="S966" i="15"/>
  <c r="S967" i="15"/>
  <c r="S968" i="15"/>
  <c r="S969" i="15"/>
  <c r="S970" i="15"/>
  <c r="S971" i="15"/>
  <c r="S972" i="15"/>
  <c r="S973" i="15"/>
  <c r="S974" i="15"/>
  <c r="S975" i="15"/>
  <c r="S976" i="15"/>
  <c r="S977" i="15"/>
  <c r="S978" i="15"/>
  <c r="S979" i="15"/>
  <c r="S980" i="15"/>
  <c r="S981" i="15"/>
  <c r="S982" i="15"/>
  <c r="S983" i="15"/>
  <c r="S984" i="15"/>
  <c r="S985" i="15"/>
  <c r="S986" i="15"/>
  <c r="S987" i="15"/>
  <c r="S988" i="15"/>
  <c r="S989" i="15"/>
  <c r="S990" i="15"/>
  <c r="S991" i="15"/>
  <c r="S992" i="15"/>
  <c r="S993" i="15"/>
  <c r="S994" i="15"/>
  <c r="S995" i="15"/>
  <c r="S996" i="15"/>
  <c r="S997" i="15"/>
  <c r="S998" i="15"/>
  <c r="S999" i="15"/>
  <c r="S1000" i="15"/>
  <c r="S1001" i="15"/>
  <c r="S1002" i="15"/>
  <c r="S1003" i="15"/>
  <c r="S1004" i="15"/>
  <c r="S1005" i="15"/>
  <c r="S1006" i="15"/>
  <c r="S1007" i="15"/>
  <c r="S1008" i="15"/>
  <c r="S1009" i="15"/>
  <c r="S1010" i="15"/>
  <c r="S1011" i="15"/>
  <c r="S1012" i="15"/>
  <c r="S1013" i="15"/>
  <c r="S1014" i="15"/>
  <c r="S1015" i="15"/>
  <c r="S1016" i="15"/>
  <c r="S1017" i="15"/>
  <c r="S1018" i="15"/>
  <c r="S1019" i="15"/>
  <c r="S1020" i="15"/>
  <c r="S1021" i="15"/>
  <c r="AB2" i="15"/>
  <c r="AB3" i="15"/>
  <c r="AB4" i="15"/>
  <c r="AB5" i="15"/>
  <c r="AB6" i="15"/>
  <c r="AB7" i="15"/>
  <c r="AB8" i="15"/>
  <c r="AB9" i="15"/>
  <c r="AB10" i="15"/>
  <c r="AB11" i="15"/>
  <c r="AB12" i="15"/>
  <c r="AB13" i="15"/>
  <c r="AB14" i="15"/>
  <c r="AB15" i="15"/>
  <c r="AB16" i="15"/>
  <c r="AB17" i="15"/>
  <c r="AB18" i="15"/>
  <c r="AB19" i="15"/>
  <c r="AB20" i="15"/>
  <c r="AB21" i="15"/>
  <c r="AB22" i="15"/>
  <c r="AB23" i="15"/>
  <c r="AB24" i="15"/>
  <c r="AB25" i="15"/>
  <c r="AB26" i="15"/>
  <c r="AB27" i="15"/>
  <c r="AB28" i="15"/>
  <c r="AB29" i="15"/>
  <c r="AB30" i="15"/>
  <c r="AB31" i="15"/>
  <c r="AB32" i="15"/>
  <c r="AB33" i="15"/>
  <c r="AB34" i="15"/>
  <c r="AB35" i="15"/>
  <c r="AB36" i="15"/>
  <c r="AB37" i="15"/>
  <c r="AB38" i="15"/>
  <c r="AB39" i="15"/>
  <c r="AB40" i="15"/>
  <c r="AB41" i="15"/>
  <c r="AB42" i="15"/>
  <c r="AB43" i="15"/>
  <c r="AB44" i="15"/>
  <c r="AB45" i="15"/>
  <c r="AB46" i="15"/>
  <c r="AB47" i="15"/>
  <c r="AB48" i="15"/>
  <c r="AB49" i="15"/>
  <c r="AB50" i="15"/>
  <c r="AB51" i="15"/>
  <c r="AB52" i="15"/>
  <c r="AB53" i="15"/>
  <c r="AB54" i="15"/>
  <c r="AB55" i="15"/>
  <c r="AB56" i="15"/>
  <c r="AB57" i="15"/>
  <c r="AB58" i="15"/>
  <c r="AB59" i="15"/>
  <c r="AB60" i="15"/>
  <c r="AB61" i="15"/>
  <c r="AB62" i="15"/>
  <c r="AB63" i="15"/>
  <c r="AB64" i="15"/>
  <c r="AB65" i="15"/>
  <c r="AB66" i="15"/>
  <c r="AB67" i="15"/>
  <c r="AB68" i="15"/>
  <c r="AB69" i="15"/>
  <c r="AB70" i="15"/>
  <c r="AB71" i="15"/>
  <c r="AB72" i="15"/>
  <c r="AB73" i="15"/>
  <c r="AB74" i="15"/>
  <c r="AB75" i="15"/>
  <c r="AB76" i="15"/>
  <c r="AB77" i="15"/>
  <c r="AB78" i="15"/>
  <c r="AB79" i="15"/>
  <c r="AB80" i="15"/>
  <c r="AB81" i="15"/>
  <c r="AB82" i="15"/>
  <c r="AB83" i="15"/>
  <c r="AB84" i="15"/>
  <c r="AB85" i="15"/>
  <c r="AB86" i="15"/>
  <c r="AB87" i="15"/>
  <c r="AB88" i="15"/>
  <c r="AB89" i="15"/>
  <c r="AB90" i="15"/>
  <c r="AB91" i="15"/>
  <c r="AB92" i="15"/>
  <c r="AB93" i="15"/>
  <c r="AB94" i="15"/>
  <c r="AB95" i="15"/>
  <c r="AB96" i="15"/>
  <c r="AB97" i="15"/>
  <c r="AB98" i="15"/>
  <c r="AB99" i="15"/>
  <c r="AB100" i="15"/>
  <c r="AB101" i="15"/>
  <c r="AB102" i="15"/>
  <c r="AB103" i="15"/>
  <c r="AB104" i="15"/>
  <c r="AB105" i="15"/>
  <c r="AB106" i="15"/>
  <c r="AB107" i="15"/>
  <c r="AB108" i="15"/>
  <c r="AB109" i="15"/>
  <c r="AB110" i="15"/>
  <c r="AB111" i="15"/>
  <c r="AB112" i="15"/>
  <c r="AB113" i="15"/>
  <c r="AB114" i="15"/>
  <c r="AB115" i="15"/>
  <c r="AB116" i="15"/>
  <c r="AB117" i="15"/>
  <c r="AB118" i="15"/>
  <c r="AB119" i="15"/>
  <c r="AB120" i="15"/>
  <c r="AB121" i="15"/>
  <c r="AB122" i="15"/>
  <c r="AB123" i="15"/>
  <c r="AB124" i="15"/>
  <c r="AB125" i="15"/>
  <c r="AB126" i="15"/>
  <c r="AB127" i="15"/>
  <c r="AB128" i="15"/>
  <c r="AB129" i="15"/>
  <c r="AB130" i="15"/>
  <c r="AB131" i="15"/>
  <c r="AB132" i="15"/>
  <c r="AB133" i="15"/>
  <c r="AB134" i="15"/>
  <c r="AB135" i="15"/>
  <c r="AB136" i="15"/>
  <c r="AB137" i="15"/>
  <c r="AB138" i="15"/>
  <c r="AB139" i="15"/>
  <c r="AB140" i="15"/>
  <c r="AB141" i="15"/>
  <c r="AB142" i="15"/>
  <c r="AB143" i="15"/>
  <c r="AB144" i="15"/>
  <c r="AB145" i="15"/>
  <c r="AB146" i="15"/>
  <c r="AB147" i="15"/>
  <c r="AB148" i="15"/>
  <c r="AB149" i="15"/>
  <c r="AB150" i="15"/>
  <c r="AB151" i="15"/>
  <c r="AB152" i="15"/>
  <c r="AB153" i="15"/>
  <c r="AB154" i="15"/>
  <c r="AB155" i="15"/>
  <c r="AB156" i="15"/>
  <c r="AB157" i="15"/>
  <c r="AB158" i="15"/>
  <c r="AB159" i="15"/>
  <c r="AB160" i="15"/>
  <c r="AB161" i="15"/>
  <c r="AB162" i="15"/>
  <c r="AB163" i="15"/>
  <c r="AB164" i="15"/>
  <c r="AB165" i="15"/>
  <c r="AB166" i="15"/>
  <c r="AB167" i="15"/>
  <c r="AB168" i="15"/>
  <c r="AB169" i="15"/>
  <c r="AB170" i="15"/>
  <c r="AB171" i="15"/>
  <c r="AB172" i="15"/>
  <c r="AB173" i="15"/>
  <c r="AB174" i="15"/>
  <c r="AB175" i="15"/>
  <c r="AB176" i="15"/>
  <c r="AB177" i="15"/>
  <c r="AB178" i="15"/>
  <c r="AB179" i="15"/>
  <c r="AB180" i="15"/>
  <c r="AB181" i="15"/>
  <c r="AB182" i="15"/>
  <c r="AB183" i="15"/>
  <c r="AB184" i="15"/>
  <c r="AB185" i="15"/>
  <c r="AB186" i="15"/>
  <c r="AB187" i="15"/>
  <c r="AB188" i="15"/>
  <c r="AB189" i="15"/>
  <c r="AB190" i="15"/>
  <c r="AB191" i="15"/>
  <c r="AB192" i="15"/>
  <c r="AB193" i="15"/>
  <c r="AB194" i="15"/>
  <c r="AB195" i="15"/>
  <c r="AB196" i="15"/>
  <c r="AB197" i="15"/>
  <c r="AB198" i="15"/>
  <c r="AB199" i="15"/>
  <c r="AB200" i="15"/>
  <c r="AB201" i="15"/>
  <c r="AB202" i="15"/>
  <c r="AB203" i="15"/>
  <c r="AB204" i="15"/>
  <c r="AB205" i="15"/>
  <c r="AB206" i="15"/>
  <c r="AB207" i="15"/>
  <c r="AB208" i="15"/>
  <c r="AB209" i="15"/>
  <c r="AB210" i="15"/>
  <c r="AB211" i="15"/>
  <c r="AB212" i="15"/>
  <c r="AB213" i="15"/>
  <c r="AB214" i="15"/>
  <c r="AB215" i="15"/>
  <c r="AB216" i="15"/>
  <c r="AB217" i="15"/>
  <c r="AB218" i="15"/>
  <c r="AB219" i="15"/>
  <c r="AB220" i="15"/>
  <c r="AB221" i="15"/>
  <c r="AB222" i="15"/>
  <c r="AB223" i="15"/>
  <c r="AB224" i="15"/>
  <c r="AB225" i="15"/>
  <c r="AB226" i="15"/>
  <c r="AB227" i="15"/>
  <c r="AB228" i="15"/>
  <c r="AB229" i="15"/>
  <c r="AB230" i="15"/>
  <c r="AB231" i="15"/>
  <c r="AB232" i="15"/>
  <c r="AB233" i="15"/>
  <c r="AB234" i="15"/>
  <c r="AB235" i="15"/>
  <c r="AB236" i="15"/>
  <c r="AB237" i="15"/>
  <c r="AB238" i="15"/>
  <c r="AB239" i="15"/>
  <c r="AB240" i="15"/>
  <c r="AB241" i="15"/>
  <c r="AB242" i="15"/>
  <c r="AB243" i="15"/>
  <c r="AB244" i="15"/>
  <c r="AB245" i="15"/>
  <c r="AB246" i="15"/>
  <c r="AB247" i="15"/>
  <c r="AB248" i="15"/>
  <c r="AB249" i="15"/>
  <c r="AB250" i="15"/>
  <c r="AB251" i="15"/>
  <c r="AB252" i="15"/>
  <c r="AB253" i="15"/>
  <c r="AB254" i="15"/>
  <c r="AB255" i="15"/>
  <c r="AB256" i="15"/>
  <c r="AB257" i="15"/>
  <c r="AB258" i="15"/>
  <c r="AB259" i="15"/>
  <c r="AB260" i="15"/>
  <c r="AB261" i="15"/>
  <c r="AB262" i="15"/>
  <c r="AB263" i="15"/>
  <c r="AB264" i="15"/>
  <c r="AB265" i="15"/>
  <c r="AB266" i="15"/>
  <c r="AB267" i="15"/>
  <c r="AB268" i="15"/>
  <c r="AB269" i="15"/>
  <c r="AB270" i="15"/>
  <c r="AB271" i="15"/>
  <c r="AB272" i="15"/>
  <c r="AB273" i="15"/>
  <c r="AB274" i="15"/>
  <c r="AB275" i="15"/>
  <c r="AB276" i="15"/>
  <c r="AB277" i="15"/>
  <c r="AB278" i="15"/>
  <c r="AB279" i="15"/>
  <c r="AB280" i="15"/>
  <c r="AB281" i="15"/>
  <c r="AB282" i="15"/>
  <c r="AB283" i="15"/>
  <c r="AB284" i="15"/>
  <c r="AB285" i="15"/>
  <c r="AB286" i="15"/>
  <c r="AB287" i="15"/>
  <c r="AB288" i="15"/>
  <c r="AB289" i="15"/>
  <c r="AB290" i="15"/>
  <c r="AB291" i="15"/>
  <c r="AB292" i="15"/>
  <c r="AB293" i="15"/>
  <c r="AB294" i="15"/>
  <c r="AB295" i="15"/>
  <c r="AB296" i="15"/>
  <c r="AB297" i="15"/>
  <c r="AB298" i="15"/>
  <c r="AB299" i="15"/>
  <c r="AB300" i="15"/>
  <c r="AB301" i="15"/>
  <c r="AB302" i="15"/>
  <c r="AB303" i="15"/>
  <c r="AB304" i="15"/>
  <c r="AB305" i="15"/>
  <c r="AB306" i="15"/>
  <c r="AB307" i="15"/>
  <c r="AB308" i="15"/>
  <c r="AB309" i="15"/>
  <c r="AB310" i="15"/>
  <c r="AB311" i="15"/>
  <c r="AB312" i="15"/>
  <c r="AB313" i="15"/>
  <c r="AB314" i="15"/>
  <c r="AB315" i="15"/>
  <c r="AB316" i="15"/>
  <c r="AB317" i="15"/>
  <c r="AB318" i="15"/>
  <c r="AB319" i="15"/>
  <c r="AB320" i="15"/>
  <c r="AB321" i="15"/>
  <c r="AB322" i="15"/>
  <c r="AB323" i="15"/>
  <c r="AB324" i="15"/>
  <c r="AB325" i="15"/>
  <c r="AB326" i="15"/>
  <c r="AB327" i="15"/>
  <c r="AB328" i="15"/>
  <c r="AB329" i="15"/>
  <c r="AB330" i="15"/>
  <c r="AB331" i="15"/>
  <c r="AB332" i="15"/>
  <c r="AB333" i="15"/>
  <c r="AB334" i="15"/>
  <c r="AB335" i="15"/>
  <c r="AB336" i="15"/>
  <c r="AB337" i="15"/>
  <c r="AB338" i="15"/>
  <c r="AB339" i="15"/>
  <c r="AB340" i="15"/>
  <c r="AB341" i="15"/>
  <c r="AB342" i="15"/>
  <c r="AB343" i="15"/>
  <c r="AB344" i="15"/>
  <c r="AB345" i="15"/>
  <c r="AB346" i="15"/>
  <c r="AB347" i="15"/>
  <c r="AB348" i="15"/>
  <c r="AB349" i="15"/>
  <c r="AB350" i="15"/>
  <c r="AB351" i="15"/>
  <c r="AB352" i="15"/>
  <c r="AB353" i="15"/>
  <c r="AB354" i="15"/>
  <c r="AB355" i="15"/>
  <c r="AB356" i="15"/>
  <c r="AB357" i="15"/>
  <c r="AB358" i="15"/>
  <c r="AB359" i="15"/>
  <c r="AB360" i="15"/>
  <c r="AB361" i="15"/>
  <c r="AB362" i="15"/>
  <c r="AB363" i="15"/>
  <c r="AB364" i="15"/>
  <c r="AB365" i="15"/>
  <c r="AB366" i="15"/>
  <c r="AB367" i="15"/>
  <c r="AB368" i="15"/>
  <c r="AB369" i="15"/>
  <c r="AB370" i="15"/>
  <c r="AB371" i="15"/>
  <c r="AB372" i="15"/>
  <c r="AB373" i="15"/>
  <c r="AB374" i="15"/>
  <c r="AB375" i="15"/>
  <c r="AB376" i="15"/>
  <c r="AB377" i="15"/>
  <c r="AB378" i="15"/>
  <c r="AB379" i="15"/>
  <c r="AB380" i="15"/>
  <c r="AB381" i="15"/>
  <c r="AB382" i="15"/>
  <c r="AB383" i="15"/>
  <c r="AB384" i="15"/>
  <c r="AB385" i="15"/>
  <c r="AB386" i="15"/>
  <c r="AB387" i="15"/>
  <c r="AB388" i="15"/>
  <c r="AB389" i="15"/>
  <c r="AB390" i="15"/>
  <c r="AB391" i="15"/>
  <c r="AB392" i="15"/>
  <c r="AB393" i="15"/>
  <c r="AB394" i="15"/>
  <c r="AB395" i="15"/>
  <c r="AB396" i="15"/>
  <c r="AB397" i="15"/>
  <c r="AB398" i="15"/>
  <c r="AB399" i="15"/>
  <c r="AB400" i="15"/>
  <c r="AB401" i="15"/>
  <c r="AB402" i="15"/>
  <c r="AB403" i="15"/>
  <c r="AB404" i="15"/>
  <c r="AB405" i="15"/>
  <c r="AB406" i="15"/>
  <c r="AB407" i="15"/>
  <c r="AB408" i="15"/>
  <c r="AB409" i="15"/>
  <c r="AB410" i="15"/>
  <c r="AB411" i="15"/>
  <c r="AB412" i="15"/>
  <c r="AB413" i="15"/>
  <c r="AB414" i="15"/>
  <c r="AB415" i="15"/>
  <c r="AB416" i="15"/>
  <c r="AB417" i="15"/>
  <c r="AB418" i="15"/>
  <c r="AB419" i="15"/>
  <c r="AB420" i="15"/>
  <c r="AB421" i="15"/>
  <c r="AB422" i="15"/>
  <c r="AB423" i="15"/>
  <c r="AB424" i="15"/>
  <c r="AB425" i="15"/>
  <c r="AB426" i="15"/>
  <c r="AB427" i="15"/>
  <c r="AB428" i="15"/>
  <c r="AB429" i="15"/>
  <c r="AB430" i="15"/>
  <c r="AB431" i="15"/>
  <c r="AB432" i="15"/>
  <c r="AB433" i="15"/>
  <c r="AB434" i="15"/>
  <c r="AB435" i="15"/>
  <c r="AB436" i="15"/>
  <c r="AB437" i="15"/>
  <c r="AB438" i="15"/>
  <c r="AB439" i="15"/>
  <c r="AB440" i="15"/>
  <c r="AB441" i="15"/>
  <c r="AB442" i="15"/>
  <c r="AB443" i="15"/>
  <c r="AB444" i="15"/>
  <c r="AB445" i="15"/>
  <c r="AB446" i="15"/>
  <c r="AB447" i="15"/>
  <c r="AB448" i="15"/>
  <c r="AB449" i="15"/>
  <c r="AB450" i="15"/>
  <c r="AB451" i="15"/>
  <c r="AB452" i="15"/>
  <c r="AB453" i="15"/>
  <c r="AB454" i="15"/>
  <c r="AB455" i="15"/>
  <c r="AB456" i="15"/>
  <c r="AB457" i="15"/>
  <c r="AB458" i="15"/>
  <c r="AB459" i="15"/>
  <c r="AB460" i="15"/>
  <c r="AB461" i="15"/>
  <c r="AB462" i="15"/>
  <c r="AB463" i="15"/>
  <c r="AB464" i="15"/>
  <c r="AB465" i="15"/>
  <c r="AB466" i="15"/>
  <c r="AB467" i="15"/>
  <c r="AB468" i="15"/>
  <c r="AB469" i="15"/>
  <c r="AB470" i="15"/>
  <c r="AB471" i="15"/>
  <c r="AB472" i="15"/>
  <c r="AB473" i="15"/>
  <c r="AB474" i="15"/>
  <c r="AB475" i="15"/>
  <c r="AB476" i="15"/>
  <c r="AB477" i="15"/>
  <c r="AB478" i="15"/>
  <c r="AB479" i="15"/>
  <c r="AB480" i="15"/>
  <c r="AB481" i="15"/>
  <c r="AB482" i="15"/>
  <c r="AB483" i="15"/>
  <c r="AB484" i="15"/>
  <c r="AB485" i="15"/>
  <c r="AB486" i="15"/>
  <c r="AB487" i="15"/>
  <c r="AB488" i="15"/>
  <c r="AB489" i="15"/>
  <c r="AB490" i="15"/>
  <c r="AB491" i="15"/>
  <c r="AB492" i="15"/>
  <c r="AB493" i="15"/>
  <c r="AB494" i="15"/>
  <c r="AB495" i="15"/>
  <c r="AB496" i="15"/>
  <c r="AB497" i="15"/>
  <c r="AB498" i="15"/>
  <c r="AB499" i="15"/>
  <c r="AB500" i="15"/>
  <c r="AB501" i="15"/>
  <c r="AB502" i="15"/>
  <c r="AB503" i="15"/>
  <c r="AB504" i="15"/>
  <c r="AB505" i="15"/>
  <c r="AB506" i="15"/>
  <c r="AB507" i="15"/>
  <c r="AB508" i="15"/>
  <c r="AB509" i="15"/>
  <c r="AB510" i="15"/>
  <c r="AB511" i="15"/>
  <c r="AB512" i="15"/>
  <c r="AB513" i="15"/>
  <c r="AB514" i="15"/>
  <c r="AB515" i="15"/>
  <c r="AB516" i="15"/>
  <c r="AB517" i="15"/>
  <c r="AB518" i="15"/>
  <c r="AB519" i="15"/>
  <c r="AB520" i="15"/>
  <c r="AB521" i="15"/>
  <c r="AB522" i="15"/>
  <c r="AB523" i="15"/>
  <c r="AB524" i="15"/>
  <c r="AB525" i="15"/>
  <c r="AB526" i="15"/>
  <c r="AB527" i="15"/>
  <c r="AB528" i="15"/>
  <c r="AB529" i="15"/>
  <c r="AB530" i="15"/>
  <c r="AB531" i="15"/>
  <c r="AB532" i="15"/>
  <c r="AB533" i="15"/>
  <c r="AB534" i="15"/>
  <c r="AB535" i="15"/>
  <c r="AB536" i="15"/>
  <c r="AB537" i="15"/>
  <c r="AB538" i="15"/>
  <c r="AB539" i="15"/>
  <c r="AB540" i="15"/>
  <c r="AB541" i="15"/>
  <c r="AB542" i="15"/>
  <c r="AB543" i="15"/>
  <c r="AB544" i="15"/>
  <c r="AB545" i="15"/>
  <c r="AB546" i="15"/>
  <c r="AB547" i="15"/>
  <c r="AB548" i="15"/>
  <c r="AB549" i="15"/>
  <c r="AB550" i="15"/>
  <c r="AB551" i="15"/>
  <c r="AB552" i="15"/>
  <c r="AB553" i="15"/>
  <c r="AB554" i="15"/>
  <c r="AB555" i="15"/>
  <c r="AB556" i="15"/>
  <c r="AB557" i="15"/>
  <c r="AB558" i="15"/>
  <c r="AB559" i="15"/>
  <c r="AB560" i="15"/>
  <c r="AB561" i="15"/>
  <c r="AB562" i="15"/>
  <c r="AB563" i="15"/>
  <c r="AB564" i="15"/>
  <c r="AB565" i="15"/>
  <c r="AB566" i="15"/>
  <c r="AB567" i="15"/>
  <c r="AB568" i="15"/>
  <c r="AB569" i="15"/>
  <c r="AB570" i="15"/>
  <c r="AB571" i="15"/>
  <c r="AB572" i="15"/>
  <c r="AB573" i="15"/>
  <c r="AB574" i="15"/>
  <c r="AB575" i="15"/>
  <c r="AB576" i="15"/>
  <c r="AB577" i="15"/>
  <c r="AB578" i="15"/>
  <c r="AB579" i="15"/>
  <c r="AB580" i="15"/>
  <c r="AB581" i="15"/>
  <c r="AB582" i="15"/>
  <c r="AB583" i="15"/>
  <c r="AB584" i="15"/>
  <c r="AB585" i="15"/>
  <c r="AB586" i="15"/>
  <c r="AB587" i="15"/>
  <c r="AB588" i="15"/>
  <c r="AB589" i="15"/>
  <c r="AB590" i="15"/>
  <c r="AB591" i="15"/>
  <c r="AB592" i="15"/>
  <c r="AB593" i="15"/>
  <c r="AB594" i="15"/>
  <c r="AB595" i="15"/>
  <c r="AB596" i="15"/>
  <c r="AB597" i="15"/>
  <c r="AB598" i="15"/>
  <c r="AB599" i="15"/>
  <c r="AB600" i="15"/>
  <c r="AB601" i="15"/>
  <c r="AB602" i="15"/>
  <c r="AB603" i="15"/>
  <c r="AB604" i="15"/>
  <c r="AB605" i="15"/>
  <c r="AB606" i="15"/>
  <c r="AB607" i="15"/>
  <c r="AB608" i="15"/>
  <c r="AB609" i="15"/>
  <c r="AB610" i="15"/>
  <c r="AB611" i="15"/>
  <c r="AB612" i="15"/>
  <c r="AB613" i="15"/>
  <c r="AB614" i="15"/>
  <c r="AB615" i="15"/>
  <c r="AB616" i="15"/>
  <c r="AB617" i="15"/>
  <c r="AB618" i="15"/>
  <c r="AB619" i="15"/>
  <c r="AB620" i="15"/>
  <c r="AB621" i="15"/>
  <c r="AB622" i="15"/>
  <c r="AB623" i="15"/>
  <c r="AB624" i="15"/>
  <c r="AB625" i="15"/>
  <c r="AB626" i="15"/>
  <c r="AB627" i="15"/>
  <c r="AB628" i="15"/>
  <c r="AB629" i="15"/>
  <c r="AB630" i="15"/>
  <c r="AB631" i="15"/>
  <c r="AB632" i="15"/>
  <c r="AB633" i="15"/>
  <c r="AB634" i="15"/>
  <c r="AB635" i="15"/>
  <c r="AB636" i="15"/>
  <c r="AB637" i="15"/>
  <c r="AB638" i="15"/>
  <c r="AB639" i="15"/>
  <c r="AB640" i="15"/>
  <c r="AB641" i="15"/>
  <c r="AB642" i="15"/>
  <c r="AB643" i="15"/>
  <c r="AB644" i="15"/>
  <c r="AB645" i="15"/>
  <c r="AB646" i="15"/>
  <c r="AB647" i="15"/>
  <c r="AB648" i="15"/>
  <c r="AB649" i="15"/>
  <c r="AB650" i="15"/>
  <c r="AB651" i="15"/>
  <c r="AB652" i="15"/>
  <c r="AB653" i="15"/>
  <c r="AB654" i="15"/>
  <c r="AB655" i="15"/>
  <c r="AB656" i="15"/>
  <c r="AB657" i="15"/>
  <c r="AB658" i="15"/>
  <c r="AB659" i="15"/>
  <c r="AB660" i="15"/>
  <c r="AB661" i="15"/>
  <c r="AB662" i="15"/>
  <c r="AB663" i="15"/>
  <c r="AB664" i="15"/>
  <c r="AB665" i="15"/>
  <c r="AB666" i="15"/>
  <c r="AB667" i="15"/>
  <c r="AB668" i="15"/>
  <c r="AB669" i="15"/>
  <c r="AB670" i="15"/>
  <c r="AB671" i="15"/>
  <c r="AB672" i="15"/>
  <c r="AB673" i="15"/>
  <c r="AB674" i="15"/>
  <c r="AB675" i="15"/>
  <c r="AB676" i="15"/>
  <c r="AB677" i="15"/>
  <c r="AB678" i="15"/>
  <c r="AB679" i="15"/>
  <c r="AB680" i="15"/>
  <c r="AB681" i="15"/>
  <c r="AB682" i="15"/>
  <c r="AB683" i="15"/>
  <c r="AB684" i="15"/>
  <c r="AB685" i="15"/>
  <c r="AB686" i="15"/>
  <c r="AB687" i="15"/>
  <c r="AB688" i="15"/>
  <c r="AB689" i="15"/>
  <c r="AB690" i="15"/>
  <c r="AB691" i="15"/>
  <c r="AB692" i="15"/>
  <c r="AB693" i="15"/>
  <c r="AB694" i="15"/>
  <c r="AB695" i="15"/>
  <c r="AB696" i="15"/>
  <c r="AB697" i="15"/>
  <c r="AB698" i="15"/>
  <c r="AB699" i="15"/>
  <c r="AB700" i="15"/>
  <c r="AB701" i="15"/>
  <c r="AB702" i="15"/>
  <c r="AB703" i="15"/>
  <c r="AB704" i="15"/>
  <c r="AB705" i="15"/>
  <c r="AB706" i="15"/>
  <c r="AB707" i="15"/>
  <c r="AB708" i="15"/>
  <c r="AB709" i="15"/>
  <c r="AB710" i="15"/>
  <c r="AB711" i="15"/>
  <c r="AB712" i="15"/>
  <c r="AB713" i="15"/>
  <c r="AB714" i="15"/>
  <c r="AB715" i="15"/>
  <c r="AB716" i="15"/>
  <c r="AB717" i="15"/>
  <c r="AB718" i="15"/>
  <c r="AB719" i="15"/>
  <c r="AB720" i="15"/>
  <c r="AB721" i="15"/>
  <c r="AB722" i="15"/>
  <c r="AB723" i="15"/>
  <c r="AB724" i="15"/>
  <c r="AB725" i="15"/>
  <c r="AB726" i="15"/>
  <c r="AB727" i="15"/>
  <c r="AB728" i="15"/>
  <c r="AB729" i="15"/>
  <c r="AB730" i="15"/>
  <c r="AB731" i="15"/>
  <c r="AB732" i="15"/>
  <c r="AB733" i="15"/>
  <c r="AB734" i="15"/>
  <c r="AB735" i="15"/>
  <c r="AB736" i="15"/>
  <c r="AB737" i="15"/>
  <c r="AB738" i="15"/>
  <c r="AB739" i="15"/>
  <c r="AB740" i="15"/>
  <c r="AB741" i="15"/>
  <c r="AB742" i="15"/>
  <c r="AB743" i="15"/>
  <c r="AB744" i="15"/>
  <c r="AB745" i="15"/>
  <c r="AB746" i="15"/>
  <c r="AB747" i="15"/>
  <c r="AB748" i="15"/>
  <c r="AB749" i="15"/>
  <c r="AB750" i="15"/>
  <c r="AB751" i="15"/>
  <c r="AB752" i="15"/>
  <c r="AB753" i="15"/>
  <c r="AB754" i="15"/>
  <c r="AB755" i="15"/>
  <c r="AB756" i="15"/>
  <c r="AB757" i="15"/>
  <c r="AB758" i="15"/>
  <c r="AB759" i="15"/>
  <c r="AB760" i="15"/>
  <c r="AB761" i="15"/>
  <c r="AB762" i="15"/>
  <c r="AB763" i="15"/>
  <c r="AB764" i="15"/>
  <c r="AB765" i="15"/>
  <c r="AB766" i="15"/>
  <c r="AB767" i="15"/>
  <c r="AB768" i="15"/>
  <c r="AB769" i="15"/>
  <c r="AB770" i="15"/>
  <c r="AB771" i="15"/>
  <c r="AB772" i="15"/>
  <c r="AB773" i="15"/>
  <c r="AB774" i="15"/>
  <c r="AB775" i="15"/>
  <c r="AB776" i="15"/>
  <c r="AB777" i="15"/>
  <c r="AB778" i="15"/>
  <c r="AB779" i="15"/>
  <c r="AB780" i="15"/>
  <c r="AB781" i="15"/>
  <c r="AB782" i="15"/>
  <c r="AB783" i="15"/>
  <c r="AB784" i="15"/>
  <c r="AB785" i="15"/>
  <c r="AB786" i="15"/>
  <c r="AB787" i="15"/>
  <c r="AB788" i="15"/>
  <c r="AB789" i="15"/>
  <c r="AB790" i="15"/>
  <c r="AB791" i="15"/>
  <c r="AB792" i="15"/>
  <c r="AB793" i="15"/>
  <c r="AB794" i="15"/>
  <c r="AB795" i="15"/>
  <c r="AB796" i="15"/>
  <c r="AB797" i="15"/>
  <c r="AB798" i="15"/>
  <c r="AB799" i="15"/>
  <c r="AB800" i="15"/>
  <c r="AB801" i="15"/>
  <c r="AB802" i="15"/>
  <c r="AB803" i="15"/>
  <c r="AB804" i="15"/>
  <c r="AB805" i="15"/>
  <c r="AB806" i="15"/>
  <c r="AB807" i="15"/>
  <c r="AB808" i="15"/>
  <c r="AB809" i="15"/>
  <c r="AB810" i="15"/>
  <c r="AB811" i="15"/>
  <c r="AB812" i="15"/>
  <c r="AB813" i="15"/>
  <c r="AB814" i="15"/>
  <c r="AB815" i="15"/>
  <c r="AB816" i="15"/>
  <c r="AB817" i="15"/>
  <c r="AB818" i="15"/>
  <c r="AB819" i="15"/>
  <c r="AB820" i="15"/>
  <c r="AB821" i="15"/>
  <c r="AB822" i="15"/>
  <c r="AB823" i="15"/>
  <c r="AB824" i="15"/>
  <c r="AB825" i="15"/>
  <c r="AB826" i="15"/>
  <c r="AB827" i="15"/>
  <c r="AB828" i="15"/>
  <c r="AB829" i="15"/>
  <c r="AB830" i="15"/>
  <c r="AB831" i="15"/>
  <c r="AB832" i="15"/>
  <c r="AB833" i="15"/>
  <c r="AB834" i="15"/>
  <c r="AB835" i="15"/>
  <c r="AB836" i="15"/>
  <c r="AB837" i="15"/>
  <c r="AB838" i="15"/>
  <c r="AB839" i="15"/>
  <c r="AB840" i="15"/>
  <c r="AB841" i="15"/>
  <c r="AB842" i="15"/>
  <c r="AB843" i="15"/>
  <c r="AB844" i="15"/>
  <c r="AB845" i="15"/>
  <c r="AB846" i="15"/>
  <c r="AB847" i="15"/>
  <c r="AB848" i="15"/>
  <c r="AB849" i="15"/>
  <c r="AB850" i="15"/>
  <c r="AB851" i="15"/>
  <c r="AB852" i="15"/>
  <c r="AB853" i="15"/>
  <c r="AB854" i="15"/>
  <c r="AB855" i="15"/>
  <c r="AB856" i="15"/>
  <c r="AB857" i="15"/>
  <c r="AB858" i="15"/>
  <c r="AB859" i="15"/>
  <c r="AB860" i="15"/>
  <c r="AB861" i="15"/>
  <c r="AB862" i="15"/>
  <c r="AB863" i="15"/>
  <c r="AB864" i="15"/>
  <c r="AB865" i="15"/>
  <c r="AB866" i="15"/>
  <c r="AB867" i="15"/>
  <c r="AB868" i="15"/>
  <c r="AB869" i="15"/>
  <c r="AB870" i="15"/>
  <c r="AB871" i="15"/>
  <c r="AB872" i="15"/>
  <c r="AB873" i="15"/>
  <c r="AB874" i="15"/>
  <c r="AB875" i="15"/>
  <c r="AB876" i="15"/>
  <c r="AB877" i="15"/>
  <c r="AB878" i="15"/>
  <c r="AB879" i="15"/>
  <c r="AB880" i="15"/>
  <c r="AB881" i="15"/>
  <c r="AB882" i="15"/>
  <c r="AB883" i="15"/>
  <c r="AB884" i="15"/>
  <c r="AB885" i="15"/>
  <c r="AB886" i="15"/>
  <c r="AB887" i="15"/>
  <c r="AB888" i="15"/>
  <c r="AB889" i="15"/>
  <c r="AB890" i="15"/>
  <c r="AB891" i="15"/>
  <c r="AB892" i="15"/>
  <c r="AB893" i="15"/>
  <c r="AB894" i="15"/>
  <c r="AB895" i="15"/>
  <c r="AB896" i="15"/>
  <c r="AB897" i="15"/>
  <c r="AB898" i="15"/>
  <c r="AB899" i="15"/>
  <c r="AB900" i="15"/>
  <c r="AB901" i="15"/>
  <c r="AB902" i="15"/>
  <c r="AB903" i="15"/>
  <c r="AB904" i="15"/>
  <c r="AB905" i="15"/>
  <c r="AB906" i="15"/>
  <c r="AB907" i="15"/>
  <c r="AB908" i="15"/>
  <c r="AB909" i="15"/>
  <c r="AB910" i="15"/>
  <c r="AB911" i="15"/>
  <c r="AB912" i="15"/>
  <c r="AB913" i="15"/>
  <c r="AB914" i="15"/>
  <c r="AB915" i="15"/>
  <c r="AB916" i="15"/>
  <c r="AB917" i="15"/>
  <c r="AB918" i="15"/>
  <c r="AB919" i="15"/>
  <c r="AB920" i="15"/>
  <c r="AB921" i="15"/>
  <c r="AB922" i="15"/>
  <c r="AB923" i="15"/>
  <c r="AB924" i="15"/>
  <c r="AB925" i="15"/>
  <c r="AB926" i="15"/>
  <c r="AB927" i="15"/>
  <c r="AB928" i="15"/>
  <c r="AB929" i="15"/>
  <c r="AB930" i="15"/>
  <c r="AB931" i="15"/>
  <c r="AB932" i="15"/>
  <c r="AB933" i="15"/>
  <c r="AB934" i="15"/>
  <c r="AB935" i="15"/>
  <c r="AB936" i="15"/>
  <c r="AB937" i="15"/>
  <c r="AB938" i="15"/>
  <c r="AB939" i="15"/>
  <c r="AB940" i="15"/>
  <c r="AB941" i="15"/>
  <c r="AB942" i="15"/>
  <c r="AB943" i="15"/>
  <c r="AB944" i="15"/>
  <c r="AB945" i="15"/>
  <c r="AB946" i="15"/>
  <c r="AB947" i="15"/>
  <c r="AB948" i="15"/>
  <c r="AB949" i="15"/>
  <c r="AB950" i="15"/>
  <c r="AB951" i="15"/>
  <c r="AB952" i="15"/>
  <c r="AB953" i="15"/>
  <c r="AB954" i="15"/>
  <c r="AB955" i="15"/>
  <c r="AB956" i="15"/>
  <c r="AB957" i="15"/>
  <c r="AB958" i="15"/>
  <c r="AB959" i="15"/>
  <c r="AB960" i="15"/>
  <c r="AB961" i="15"/>
  <c r="AB962" i="15"/>
  <c r="AB963" i="15"/>
  <c r="AB964" i="15"/>
  <c r="AB965" i="15"/>
  <c r="AB966" i="15"/>
  <c r="AB967" i="15"/>
  <c r="AB968" i="15"/>
  <c r="AB969" i="15"/>
  <c r="AB970" i="15"/>
  <c r="AB971" i="15"/>
  <c r="AB972" i="15"/>
  <c r="AB973" i="15"/>
  <c r="AB974" i="15"/>
  <c r="AB975" i="15"/>
  <c r="AB976" i="15"/>
  <c r="AB977" i="15"/>
  <c r="AB978" i="15"/>
  <c r="AB979" i="15"/>
  <c r="AB980" i="15"/>
  <c r="AB981" i="15"/>
  <c r="AB982" i="15"/>
  <c r="AB983" i="15"/>
  <c r="AB984" i="15"/>
  <c r="AB985" i="15"/>
  <c r="AB986" i="15"/>
  <c r="AB987" i="15"/>
  <c r="AB988" i="15"/>
  <c r="AB989" i="15"/>
  <c r="AB990" i="15"/>
  <c r="AB991" i="15"/>
  <c r="AB992" i="15"/>
  <c r="AB993" i="15"/>
  <c r="AB994" i="15"/>
  <c r="AB995" i="15"/>
  <c r="AB996" i="15"/>
  <c r="AB997" i="15"/>
  <c r="AB998" i="15"/>
  <c r="AB999" i="15"/>
  <c r="AB1000" i="15"/>
  <c r="AB1001" i="15"/>
  <c r="AB1002" i="15"/>
  <c r="AB1003" i="15"/>
  <c r="AB1004" i="15"/>
  <c r="AB1005" i="15"/>
  <c r="AB1006" i="15"/>
  <c r="AB1007" i="15"/>
  <c r="AB1008" i="15"/>
  <c r="AB1009" i="15"/>
  <c r="AB1010" i="15"/>
  <c r="AB1011" i="15"/>
  <c r="AB1012" i="15"/>
  <c r="AB1013" i="15"/>
  <c r="AB1014" i="15"/>
  <c r="AB1015" i="15"/>
  <c r="AB1016" i="15"/>
  <c r="AB1017" i="15"/>
  <c r="AB1018" i="15"/>
  <c r="AB1019" i="15"/>
  <c r="AB1020" i="15"/>
  <c r="AB1021" i="15"/>
  <c r="AA3" i="15"/>
  <c r="AA4" i="15"/>
  <c r="AA5" i="15"/>
  <c r="AA6" i="15"/>
  <c r="AA7" i="15"/>
  <c r="AA8" i="15"/>
  <c r="AA9" i="15"/>
  <c r="AA10" i="15"/>
  <c r="AA11" i="15"/>
  <c r="AA12" i="15"/>
  <c r="AA13" i="15"/>
  <c r="AA14" i="15"/>
  <c r="AA15" i="15"/>
  <c r="AA16" i="15"/>
  <c r="AA17" i="15"/>
  <c r="AA18" i="15"/>
  <c r="AA19" i="15"/>
  <c r="AA20" i="15"/>
  <c r="AA21" i="15"/>
  <c r="AA22" i="15"/>
  <c r="AA23" i="15"/>
  <c r="AA24" i="15"/>
  <c r="AA25" i="15"/>
  <c r="AA26" i="15"/>
  <c r="AA27" i="15"/>
  <c r="AA28" i="15"/>
  <c r="AA29" i="15"/>
  <c r="AA30" i="15"/>
  <c r="AA31" i="15"/>
  <c r="AA32" i="15"/>
  <c r="AA33" i="15"/>
  <c r="AA34" i="15"/>
  <c r="AA35" i="15"/>
  <c r="AA36" i="15"/>
  <c r="AA37" i="15"/>
  <c r="AA38" i="15"/>
  <c r="AA39" i="15"/>
  <c r="AA40" i="15"/>
  <c r="AA41" i="15"/>
  <c r="AA42" i="15"/>
  <c r="AA43" i="15"/>
  <c r="AA44" i="15"/>
  <c r="AA45" i="15"/>
  <c r="AA46" i="15"/>
  <c r="AA47" i="15"/>
  <c r="AA48" i="15"/>
  <c r="AA49" i="15"/>
  <c r="AA50" i="15"/>
  <c r="AA51" i="15"/>
  <c r="AA52" i="15"/>
  <c r="AA53" i="15"/>
  <c r="AA54" i="15"/>
  <c r="AA55" i="15"/>
  <c r="AA56" i="15"/>
  <c r="AA57" i="15"/>
  <c r="AA58" i="15"/>
  <c r="AA59" i="15"/>
  <c r="AA60" i="15"/>
  <c r="AA61" i="15"/>
  <c r="AA62" i="15"/>
  <c r="AA63" i="15"/>
  <c r="AA64" i="15"/>
  <c r="AA65" i="15"/>
  <c r="AA66" i="15"/>
  <c r="AA67" i="15"/>
  <c r="AA68" i="15"/>
  <c r="AA69" i="15"/>
  <c r="AA70" i="15"/>
  <c r="AA71" i="15"/>
  <c r="AA72" i="15"/>
  <c r="AA73" i="15"/>
  <c r="AA74" i="15"/>
  <c r="AA75" i="15"/>
  <c r="AA76" i="15"/>
  <c r="AA77" i="15"/>
  <c r="AA78" i="15"/>
  <c r="AA79" i="15"/>
  <c r="AA80" i="15"/>
  <c r="AA81" i="15"/>
  <c r="AA82" i="15"/>
  <c r="AA83" i="15"/>
  <c r="AA84" i="15"/>
  <c r="AA85" i="15"/>
  <c r="AA86" i="15"/>
  <c r="AA87" i="15"/>
  <c r="AA88" i="15"/>
  <c r="AA89" i="15"/>
  <c r="AA90" i="15"/>
  <c r="AA91" i="15"/>
  <c r="AA92" i="15"/>
  <c r="AA93" i="15"/>
  <c r="AA94" i="15"/>
  <c r="AA95" i="15"/>
  <c r="AA96" i="15"/>
  <c r="AA97" i="15"/>
  <c r="AA98" i="15"/>
  <c r="AA99" i="15"/>
  <c r="AA100" i="15"/>
  <c r="AA101" i="15"/>
  <c r="AA102" i="15"/>
  <c r="AA103" i="15"/>
  <c r="AA104" i="15"/>
  <c r="AA105" i="15"/>
  <c r="AA106" i="15"/>
  <c r="AA107" i="15"/>
  <c r="AA108" i="15"/>
  <c r="AA109" i="15"/>
  <c r="AA110" i="15"/>
  <c r="AA111" i="15"/>
  <c r="AA112" i="15"/>
  <c r="AA113" i="15"/>
  <c r="AA114" i="15"/>
  <c r="AA115" i="15"/>
  <c r="AA116" i="15"/>
  <c r="AA117" i="15"/>
  <c r="AA118" i="15"/>
  <c r="AA119" i="15"/>
  <c r="AA120" i="15"/>
  <c r="AA121" i="15"/>
  <c r="AA122" i="15"/>
  <c r="AA123" i="15"/>
  <c r="AA124" i="15"/>
  <c r="AA125" i="15"/>
  <c r="AA126" i="15"/>
  <c r="AA127" i="15"/>
  <c r="AA128" i="15"/>
  <c r="AA129" i="15"/>
  <c r="AA130" i="15"/>
  <c r="AA131" i="15"/>
  <c r="AA132" i="15"/>
  <c r="AA133" i="15"/>
  <c r="AA134" i="15"/>
  <c r="AA135" i="15"/>
  <c r="AA136" i="15"/>
  <c r="AA137" i="15"/>
  <c r="AA138" i="15"/>
  <c r="AA139" i="15"/>
  <c r="AA140" i="15"/>
  <c r="AA141" i="15"/>
  <c r="AA142" i="15"/>
  <c r="AA143" i="15"/>
  <c r="AA144" i="15"/>
  <c r="AA145" i="15"/>
  <c r="AA146" i="15"/>
  <c r="AA147" i="15"/>
  <c r="AA148" i="15"/>
  <c r="AA149" i="15"/>
  <c r="AA150" i="15"/>
  <c r="AA151" i="15"/>
  <c r="AA152" i="15"/>
  <c r="AA153" i="15"/>
  <c r="AA154" i="15"/>
  <c r="AA155" i="15"/>
  <c r="AA156" i="15"/>
  <c r="AA157" i="15"/>
  <c r="AA158" i="15"/>
  <c r="AA159" i="15"/>
  <c r="AA160" i="15"/>
  <c r="AA161" i="15"/>
  <c r="AA162" i="15"/>
  <c r="AA163" i="15"/>
  <c r="AA164" i="15"/>
  <c r="AA165" i="15"/>
  <c r="AA166" i="15"/>
  <c r="AA167" i="15"/>
  <c r="AA168" i="15"/>
  <c r="AA169" i="15"/>
  <c r="AA170" i="15"/>
  <c r="AA171" i="15"/>
  <c r="AA172" i="15"/>
  <c r="AA173" i="15"/>
  <c r="AA174" i="15"/>
  <c r="AA175" i="15"/>
  <c r="AA176" i="15"/>
  <c r="AA177" i="15"/>
  <c r="AA178" i="15"/>
  <c r="AA179" i="15"/>
  <c r="AA180" i="15"/>
  <c r="AA181" i="15"/>
  <c r="AA182" i="15"/>
  <c r="AA183" i="15"/>
  <c r="AA184" i="15"/>
  <c r="AA185" i="15"/>
  <c r="AA186" i="15"/>
  <c r="AA187" i="15"/>
  <c r="AA188" i="15"/>
  <c r="AA189" i="15"/>
  <c r="AA190" i="15"/>
  <c r="AA191" i="15"/>
  <c r="AA192" i="15"/>
  <c r="AA193" i="15"/>
  <c r="AA194" i="15"/>
  <c r="AA195" i="15"/>
  <c r="AA196" i="15"/>
  <c r="AA197" i="15"/>
  <c r="AA198" i="15"/>
  <c r="AA199" i="15"/>
  <c r="AA200" i="15"/>
  <c r="AA201" i="15"/>
  <c r="AA202" i="15"/>
  <c r="AA203" i="15"/>
  <c r="AA204" i="15"/>
  <c r="AA205" i="15"/>
  <c r="AA206" i="15"/>
  <c r="AA207" i="15"/>
  <c r="AA208" i="15"/>
  <c r="AA209" i="15"/>
  <c r="AA210" i="15"/>
  <c r="AA211" i="15"/>
  <c r="AA212" i="15"/>
  <c r="AA213" i="15"/>
  <c r="AA214" i="15"/>
  <c r="AA215" i="15"/>
  <c r="AA216" i="15"/>
  <c r="AA217" i="15"/>
  <c r="AA218" i="15"/>
  <c r="AA219" i="15"/>
  <c r="AA220" i="15"/>
  <c r="AA221" i="15"/>
  <c r="AA222" i="15"/>
  <c r="AA223" i="15"/>
  <c r="AA224" i="15"/>
  <c r="AA225" i="15"/>
  <c r="AA226" i="15"/>
  <c r="AA227" i="15"/>
  <c r="AA228" i="15"/>
  <c r="AA229" i="15"/>
  <c r="AA230" i="15"/>
  <c r="AA231" i="15"/>
  <c r="AA232" i="15"/>
  <c r="AA233" i="15"/>
  <c r="AA234" i="15"/>
  <c r="AA235" i="15"/>
  <c r="AA236" i="15"/>
  <c r="AA237" i="15"/>
  <c r="AA238" i="15"/>
  <c r="AA239" i="15"/>
  <c r="AA240" i="15"/>
  <c r="AA241" i="15"/>
  <c r="AA242" i="15"/>
  <c r="AA243" i="15"/>
  <c r="AA244" i="15"/>
  <c r="AA245" i="15"/>
  <c r="AA246" i="15"/>
  <c r="AA247" i="15"/>
  <c r="AA248" i="15"/>
  <c r="AA249" i="15"/>
  <c r="AA250" i="15"/>
  <c r="AA251" i="15"/>
  <c r="AA252" i="15"/>
  <c r="AA253" i="15"/>
  <c r="AA254" i="15"/>
  <c r="AA255" i="15"/>
  <c r="AA256" i="15"/>
  <c r="AA257" i="15"/>
  <c r="AA258" i="15"/>
  <c r="AA259" i="15"/>
  <c r="AA260" i="15"/>
  <c r="AA261" i="15"/>
  <c r="AA262" i="15"/>
  <c r="AA263" i="15"/>
  <c r="AA264" i="15"/>
  <c r="AA265" i="15"/>
  <c r="AA266" i="15"/>
  <c r="AA267" i="15"/>
  <c r="AA268" i="15"/>
  <c r="AA269" i="15"/>
  <c r="AA270" i="15"/>
  <c r="AA271" i="15"/>
  <c r="AA272" i="15"/>
  <c r="AA273" i="15"/>
  <c r="AA274" i="15"/>
  <c r="AA275" i="15"/>
  <c r="AA276" i="15"/>
  <c r="AA277" i="15"/>
  <c r="AA278" i="15"/>
  <c r="AA279" i="15"/>
  <c r="AA280" i="15"/>
  <c r="AA281" i="15"/>
  <c r="AA282" i="15"/>
  <c r="AA283" i="15"/>
  <c r="AA284" i="15"/>
  <c r="AA285" i="15"/>
  <c r="AA286" i="15"/>
  <c r="AA287" i="15"/>
  <c r="AA288" i="15"/>
  <c r="AA289" i="15"/>
  <c r="AA290" i="15"/>
  <c r="AA291" i="15"/>
  <c r="AA292" i="15"/>
  <c r="AA293" i="15"/>
  <c r="AA294" i="15"/>
  <c r="AA295" i="15"/>
  <c r="AA296" i="15"/>
  <c r="AA297" i="15"/>
  <c r="AA298" i="15"/>
  <c r="AA299" i="15"/>
  <c r="AA300" i="15"/>
  <c r="AA301" i="15"/>
  <c r="AA302" i="15"/>
  <c r="AA303" i="15"/>
  <c r="AA304" i="15"/>
  <c r="AA305" i="15"/>
  <c r="AA306" i="15"/>
  <c r="AA307" i="15"/>
  <c r="AA308" i="15"/>
  <c r="AA309" i="15"/>
  <c r="AA310" i="15"/>
  <c r="AA311" i="15"/>
  <c r="AA312" i="15"/>
  <c r="AA313" i="15"/>
  <c r="AA314" i="15"/>
  <c r="AA315" i="15"/>
  <c r="AA316" i="15"/>
  <c r="AA317" i="15"/>
  <c r="AA318" i="15"/>
  <c r="AA319" i="15"/>
  <c r="AA320" i="15"/>
  <c r="AA321" i="15"/>
  <c r="AA322" i="15"/>
  <c r="AA323" i="15"/>
  <c r="AA324" i="15"/>
  <c r="AA325" i="15"/>
  <c r="AA326" i="15"/>
  <c r="AA327" i="15"/>
  <c r="AA328" i="15"/>
  <c r="AA329" i="15"/>
  <c r="AA330" i="15"/>
  <c r="AA331" i="15"/>
  <c r="AA332" i="15"/>
  <c r="AA333" i="15"/>
  <c r="AA334" i="15"/>
  <c r="AA335" i="15"/>
  <c r="AA336" i="15"/>
  <c r="AA337" i="15"/>
  <c r="AA338" i="15"/>
  <c r="AA339" i="15"/>
  <c r="AA340" i="15"/>
  <c r="AA341" i="15"/>
  <c r="AA342" i="15"/>
  <c r="AA343" i="15"/>
  <c r="AA344" i="15"/>
  <c r="AA345" i="15"/>
  <c r="AA346" i="15"/>
  <c r="AA347" i="15"/>
  <c r="AA348" i="15"/>
  <c r="AA349" i="15"/>
  <c r="AA350" i="15"/>
  <c r="AA351" i="15"/>
  <c r="AA352" i="15"/>
  <c r="AA353" i="15"/>
  <c r="AA354" i="15"/>
  <c r="AA355" i="15"/>
  <c r="AA356" i="15"/>
  <c r="AA357" i="15"/>
  <c r="AA358" i="15"/>
  <c r="AA359" i="15"/>
  <c r="AA360" i="15"/>
  <c r="AA361" i="15"/>
  <c r="AA362" i="15"/>
  <c r="AA363" i="15"/>
  <c r="AA364" i="15"/>
  <c r="AA365" i="15"/>
  <c r="AA366" i="15"/>
  <c r="AA367" i="15"/>
  <c r="AA368" i="15"/>
  <c r="AA369" i="15"/>
  <c r="AA370" i="15"/>
  <c r="AA371" i="15"/>
  <c r="AA372" i="15"/>
  <c r="AA373" i="15"/>
  <c r="AA374" i="15"/>
  <c r="AA375" i="15"/>
  <c r="AA376" i="15"/>
  <c r="AA377" i="15"/>
  <c r="AA378" i="15"/>
  <c r="AA379" i="15"/>
  <c r="AA380" i="15"/>
  <c r="AA381" i="15"/>
  <c r="AA382" i="15"/>
  <c r="AA383" i="15"/>
  <c r="AA384" i="15"/>
  <c r="AA385" i="15"/>
  <c r="AA386" i="15"/>
  <c r="AA387" i="15"/>
  <c r="AA388" i="15"/>
  <c r="AA389" i="15"/>
  <c r="AA390" i="15"/>
  <c r="AA391" i="15"/>
  <c r="AA392" i="15"/>
  <c r="AA393" i="15"/>
  <c r="AA394" i="15"/>
  <c r="AA395" i="15"/>
  <c r="AA396" i="15"/>
  <c r="AA397" i="15"/>
  <c r="AA398" i="15"/>
  <c r="AA399" i="15"/>
  <c r="AA400" i="15"/>
  <c r="AA401" i="15"/>
  <c r="AA402" i="15"/>
  <c r="AA403" i="15"/>
  <c r="AA404" i="15"/>
  <c r="AA405" i="15"/>
  <c r="AA406" i="15"/>
  <c r="AA407" i="15"/>
  <c r="AA408" i="15"/>
  <c r="AA409" i="15"/>
  <c r="AA410" i="15"/>
  <c r="AA411" i="15"/>
  <c r="AA412" i="15"/>
  <c r="AA413" i="15"/>
  <c r="AA414" i="15"/>
  <c r="AA415" i="15"/>
  <c r="AA416" i="15"/>
  <c r="AA417" i="15"/>
  <c r="AA418" i="15"/>
  <c r="AA419" i="15"/>
  <c r="AA420" i="15"/>
  <c r="AA421" i="15"/>
  <c r="AA422" i="15"/>
  <c r="AA423" i="15"/>
  <c r="AA424" i="15"/>
  <c r="AA425" i="15"/>
  <c r="AA426" i="15"/>
  <c r="AA427" i="15"/>
  <c r="AA428" i="15"/>
  <c r="AA429" i="15"/>
  <c r="AA430" i="15"/>
  <c r="AA431" i="15"/>
  <c r="AA432" i="15"/>
  <c r="AA433" i="15"/>
  <c r="AA434" i="15"/>
  <c r="AA435" i="15"/>
  <c r="AA436" i="15"/>
  <c r="AA437" i="15"/>
  <c r="AA438" i="15"/>
  <c r="AA439" i="15"/>
  <c r="AA440" i="15"/>
  <c r="AA441" i="15"/>
  <c r="AA442" i="15"/>
  <c r="AA443" i="15"/>
  <c r="AA444" i="15"/>
  <c r="AA445" i="15"/>
  <c r="AA446" i="15"/>
  <c r="AA447" i="15"/>
  <c r="AA448" i="15"/>
  <c r="AA449" i="15"/>
  <c r="AA450" i="15"/>
  <c r="AA451" i="15"/>
  <c r="AA452" i="15"/>
  <c r="AA453" i="15"/>
  <c r="AA454" i="15"/>
  <c r="AA455" i="15"/>
  <c r="AA456" i="15"/>
  <c r="AA457" i="15"/>
  <c r="AA458" i="15"/>
  <c r="AA459" i="15"/>
  <c r="AA460" i="15"/>
  <c r="AA461" i="15"/>
  <c r="AA462" i="15"/>
  <c r="AA463" i="15"/>
  <c r="AA464" i="15"/>
  <c r="AA465" i="15"/>
  <c r="AA466" i="15"/>
  <c r="AA467" i="15"/>
  <c r="AA468" i="15"/>
  <c r="AA469" i="15"/>
  <c r="AA470" i="15"/>
  <c r="AA471" i="15"/>
  <c r="AA472" i="15"/>
  <c r="AA473" i="15"/>
  <c r="AA474" i="15"/>
  <c r="AA475" i="15"/>
  <c r="AA476" i="15"/>
  <c r="AA477" i="15"/>
  <c r="AA478" i="15"/>
  <c r="AA479" i="15"/>
  <c r="AA480" i="15"/>
  <c r="AA481" i="15"/>
  <c r="AA482" i="15"/>
  <c r="AA483" i="15"/>
  <c r="AA484" i="15"/>
  <c r="AA485" i="15"/>
  <c r="AA486" i="15"/>
  <c r="AA487" i="15"/>
  <c r="AA488" i="15"/>
  <c r="AA489" i="15"/>
  <c r="AA490" i="15"/>
  <c r="AA491" i="15"/>
  <c r="AA492" i="15"/>
  <c r="AA493" i="15"/>
  <c r="AA494" i="15"/>
  <c r="AA495" i="15"/>
  <c r="AA496" i="15"/>
  <c r="AA497" i="15"/>
  <c r="AA498" i="15"/>
  <c r="AA499" i="15"/>
  <c r="AA500" i="15"/>
  <c r="AA501" i="15"/>
  <c r="AA502" i="15"/>
  <c r="AA503" i="15"/>
  <c r="AA504" i="15"/>
  <c r="AA505" i="15"/>
  <c r="AA506" i="15"/>
  <c r="AA507" i="15"/>
  <c r="AA508" i="15"/>
  <c r="AA509" i="15"/>
  <c r="AA510" i="15"/>
  <c r="AA511" i="15"/>
  <c r="AA512" i="15"/>
  <c r="AA513" i="15"/>
  <c r="AA514" i="15"/>
  <c r="AA515" i="15"/>
  <c r="AA516" i="15"/>
  <c r="AA517" i="15"/>
  <c r="AA518" i="15"/>
  <c r="AA519" i="15"/>
  <c r="AA520" i="15"/>
  <c r="AA521" i="15"/>
  <c r="AA522" i="15"/>
  <c r="AA523" i="15"/>
  <c r="AA524" i="15"/>
  <c r="AA525" i="15"/>
  <c r="AA526" i="15"/>
  <c r="AA527" i="15"/>
  <c r="AA528" i="15"/>
  <c r="AA529" i="15"/>
  <c r="AA530" i="15"/>
  <c r="AA531" i="15"/>
  <c r="AA532" i="15"/>
  <c r="AA533" i="15"/>
  <c r="AA534" i="15"/>
  <c r="AA535" i="15"/>
  <c r="AA536" i="15"/>
  <c r="AA537" i="15"/>
  <c r="AA538" i="15"/>
  <c r="AA539" i="15"/>
  <c r="AA540" i="15"/>
  <c r="AA541" i="15"/>
  <c r="AA542" i="15"/>
  <c r="AA543" i="15"/>
  <c r="AA544" i="15"/>
  <c r="AA545" i="15"/>
  <c r="AA546" i="15"/>
  <c r="AA547" i="15"/>
  <c r="AA548" i="15"/>
  <c r="AA549" i="15"/>
  <c r="AA550" i="15"/>
  <c r="AA551" i="15"/>
  <c r="AA552" i="15"/>
  <c r="AA553" i="15"/>
  <c r="AA554" i="15"/>
  <c r="AA555" i="15"/>
  <c r="AA556" i="15"/>
  <c r="AA557" i="15"/>
  <c r="AA558" i="15"/>
  <c r="AA559" i="15"/>
  <c r="AA560" i="15"/>
  <c r="AA561" i="15"/>
  <c r="AA562" i="15"/>
  <c r="AA563" i="15"/>
  <c r="AA564" i="15"/>
  <c r="AA565" i="15"/>
  <c r="AA566" i="15"/>
  <c r="AA567" i="15"/>
  <c r="AA568" i="15"/>
  <c r="AA569" i="15"/>
  <c r="AA570" i="15"/>
  <c r="AA571" i="15"/>
  <c r="AA572" i="15"/>
  <c r="AA573" i="15"/>
  <c r="AA574" i="15"/>
  <c r="AA575" i="15"/>
  <c r="AA576" i="15"/>
  <c r="AA577" i="15"/>
  <c r="AA578" i="15"/>
  <c r="AA579" i="15"/>
  <c r="AA580" i="15"/>
  <c r="AA581" i="15"/>
  <c r="AA582" i="15"/>
  <c r="AA583" i="15"/>
  <c r="AA584" i="15"/>
  <c r="AA585" i="15"/>
  <c r="AA586" i="15"/>
  <c r="AA587" i="15"/>
  <c r="AA588" i="15"/>
  <c r="AA589" i="15"/>
  <c r="AA590" i="15"/>
  <c r="AA591" i="15"/>
  <c r="AA592" i="15"/>
  <c r="AA593" i="15"/>
  <c r="AA594" i="15"/>
  <c r="AA595" i="15"/>
  <c r="AA596" i="15"/>
  <c r="AA597" i="15"/>
  <c r="AA598" i="15"/>
  <c r="AA599" i="15"/>
  <c r="AA600" i="15"/>
  <c r="AA601" i="15"/>
  <c r="AA602" i="15"/>
  <c r="AA603" i="15"/>
  <c r="AA604" i="15"/>
  <c r="AA605" i="15"/>
  <c r="AA606" i="15"/>
  <c r="AA607" i="15"/>
  <c r="AA608" i="15"/>
  <c r="AA609" i="15"/>
  <c r="AA610" i="15"/>
  <c r="AA611" i="15"/>
  <c r="AA612" i="15"/>
  <c r="AA613" i="15"/>
  <c r="AA614" i="15"/>
  <c r="AA615" i="15"/>
  <c r="AA616" i="15"/>
  <c r="AA617" i="15"/>
  <c r="AA618" i="15"/>
  <c r="AA619" i="15"/>
  <c r="AA620" i="15"/>
  <c r="AA621" i="15"/>
  <c r="AA622" i="15"/>
  <c r="AA623" i="15"/>
  <c r="AA624" i="15"/>
  <c r="AA625" i="15"/>
  <c r="AA626" i="15"/>
  <c r="AA627" i="15"/>
  <c r="AA628" i="15"/>
  <c r="AA629" i="15"/>
  <c r="AA630" i="15"/>
  <c r="AA631" i="15"/>
  <c r="AA632" i="15"/>
  <c r="AA633" i="15"/>
  <c r="AA634" i="15"/>
  <c r="AA635" i="15"/>
  <c r="AA636" i="15"/>
  <c r="AA637" i="15"/>
  <c r="AA638" i="15"/>
  <c r="AA639" i="15"/>
  <c r="AA640" i="15"/>
  <c r="AA641" i="15"/>
  <c r="AA642" i="15"/>
  <c r="AA643" i="15"/>
  <c r="AA644" i="15"/>
  <c r="AA645" i="15"/>
  <c r="AA646" i="15"/>
  <c r="AA647" i="15"/>
  <c r="AA648" i="15"/>
  <c r="AA649" i="15"/>
  <c r="AA650" i="15"/>
  <c r="AA651" i="15"/>
  <c r="AA652" i="15"/>
  <c r="AA653" i="15"/>
  <c r="AA654" i="15"/>
  <c r="AA655" i="15"/>
  <c r="AA656" i="15"/>
  <c r="AA657" i="15"/>
  <c r="AA658" i="15"/>
  <c r="AA659" i="15"/>
  <c r="AA660" i="15"/>
  <c r="AA661" i="15"/>
  <c r="AA662" i="15"/>
  <c r="AA663" i="15"/>
  <c r="AA664" i="15"/>
  <c r="AA665" i="15"/>
  <c r="AA666" i="15"/>
  <c r="AA667" i="15"/>
  <c r="AA668" i="15"/>
  <c r="AA669" i="15"/>
  <c r="AA670" i="15"/>
  <c r="AA671" i="15"/>
  <c r="AA672" i="15"/>
  <c r="AA673" i="15"/>
  <c r="AA674" i="15"/>
  <c r="AA675" i="15"/>
  <c r="AA676" i="15"/>
  <c r="AA677" i="15"/>
  <c r="AA678" i="15"/>
  <c r="AA679" i="15"/>
  <c r="AA680" i="15"/>
  <c r="AA681" i="15"/>
  <c r="AA682" i="15"/>
  <c r="AA683" i="15"/>
  <c r="AA684" i="15"/>
  <c r="AA685" i="15"/>
  <c r="AA686" i="15"/>
  <c r="AA687" i="15"/>
  <c r="AA688" i="15"/>
  <c r="AA689" i="15"/>
  <c r="AA690" i="15"/>
  <c r="AA691" i="15"/>
  <c r="AA692" i="15"/>
  <c r="AA693" i="15"/>
  <c r="AA694" i="15"/>
  <c r="AA695" i="15"/>
  <c r="AA696" i="15"/>
  <c r="AA697" i="15"/>
  <c r="AA698" i="15"/>
  <c r="AA699" i="15"/>
  <c r="AA700" i="15"/>
  <c r="AA701" i="15"/>
  <c r="AA702" i="15"/>
  <c r="AA703" i="15"/>
  <c r="AA704" i="15"/>
  <c r="AA705" i="15"/>
  <c r="AA706" i="15"/>
  <c r="AA707" i="15"/>
  <c r="AA708" i="15"/>
  <c r="AA709" i="15"/>
  <c r="AA710" i="15"/>
  <c r="AA711" i="15"/>
  <c r="AA712" i="15"/>
  <c r="AA713" i="15"/>
  <c r="AA714" i="15"/>
  <c r="AA715" i="15"/>
  <c r="AA716" i="15"/>
  <c r="AA717" i="15"/>
  <c r="AA718" i="15"/>
  <c r="AA719" i="15"/>
  <c r="AA720" i="15"/>
  <c r="AA721" i="15"/>
  <c r="AA722" i="15"/>
  <c r="AA723" i="15"/>
  <c r="AA724" i="15"/>
  <c r="AA725" i="15"/>
  <c r="AA726" i="15"/>
  <c r="AA727" i="15"/>
  <c r="AA728" i="15"/>
  <c r="AA729" i="15"/>
  <c r="AA730" i="15"/>
  <c r="AA731" i="15"/>
  <c r="AA732" i="15"/>
  <c r="AA733" i="15"/>
  <c r="AA734" i="15"/>
  <c r="AA735" i="15"/>
  <c r="AA736" i="15"/>
  <c r="AA737" i="15"/>
  <c r="AA738" i="15"/>
  <c r="AA739" i="15"/>
  <c r="AA740" i="15"/>
  <c r="AA741" i="15"/>
  <c r="AA742" i="15"/>
  <c r="AA743" i="15"/>
  <c r="AA744" i="15"/>
  <c r="AA745" i="15"/>
  <c r="AA746" i="15"/>
  <c r="AA747" i="15"/>
  <c r="AA748" i="15"/>
  <c r="AA749" i="15"/>
  <c r="AA750" i="15"/>
  <c r="AA751" i="15"/>
  <c r="AA752" i="15"/>
  <c r="AA753" i="15"/>
  <c r="AA754" i="15"/>
  <c r="AA755" i="15"/>
  <c r="AA756" i="15"/>
  <c r="AA757" i="15"/>
  <c r="AA758" i="15"/>
  <c r="AA759" i="15"/>
  <c r="AA760" i="15"/>
  <c r="AA761" i="15"/>
  <c r="AA762" i="15"/>
  <c r="AA763" i="15"/>
  <c r="AA764" i="15"/>
  <c r="AA765" i="15"/>
  <c r="AA766" i="15"/>
  <c r="AA767" i="15"/>
  <c r="AA768" i="15"/>
  <c r="AA769" i="15"/>
  <c r="AA770" i="15"/>
  <c r="AA771" i="15"/>
  <c r="AA772" i="15"/>
  <c r="AA773" i="15"/>
  <c r="AA774" i="15"/>
  <c r="AA775" i="15"/>
  <c r="AA776" i="15"/>
  <c r="AA777" i="15"/>
  <c r="AA778" i="15"/>
  <c r="AA779" i="15"/>
  <c r="AA780" i="15"/>
  <c r="AA781" i="15"/>
  <c r="AA782" i="15"/>
  <c r="AA783" i="15"/>
  <c r="AA784" i="15"/>
  <c r="AA785" i="15"/>
  <c r="AA786" i="15"/>
  <c r="AA787" i="15"/>
  <c r="AA788" i="15"/>
  <c r="AA789" i="15"/>
  <c r="AA790" i="15"/>
  <c r="AA791" i="15"/>
  <c r="AA792" i="15"/>
  <c r="AA793" i="15"/>
  <c r="AA794" i="15"/>
  <c r="AA795" i="15"/>
  <c r="AA796" i="15"/>
  <c r="AA797" i="15"/>
  <c r="AA798" i="15"/>
  <c r="AA799" i="15"/>
  <c r="AA800" i="15"/>
  <c r="AA801" i="15"/>
  <c r="AA802" i="15"/>
  <c r="AA803" i="15"/>
  <c r="AA804" i="15"/>
  <c r="AA805" i="15"/>
  <c r="AA806" i="15"/>
  <c r="AA807" i="15"/>
  <c r="AA808" i="15"/>
  <c r="AA809" i="15"/>
  <c r="AA810" i="15"/>
  <c r="AA811" i="15"/>
  <c r="AA812" i="15"/>
  <c r="AA813" i="15"/>
  <c r="AA814" i="15"/>
  <c r="AA815" i="15"/>
  <c r="AA816" i="15"/>
  <c r="AA817" i="15"/>
  <c r="AA818" i="15"/>
  <c r="AA819" i="15"/>
  <c r="AA820" i="15"/>
  <c r="AA821" i="15"/>
  <c r="AA822" i="15"/>
  <c r="AA823" i="15"/>
  <c r="AA824" i="15"/>
  <c r="AA825" i="15"/>
  <c r="AA826" i="15"/>
  <c r="AA827" i="15"/>
  <c r="AA828" i="15"/>
  <c r="AA829" i="15"/>
  <c r="AA830" i="15"/>
  <c r="AA831" i="15"/>
  <c r="AA832" i="15"/>
  <c r="AA833" i="15"/>
  <c r="AA834" i="15"/>
  <c r="AA835" i="15"/>
  <c r="AA836" i="15"/>
  <c r="AA837" i="15"/>
  <c r="AA838" i="15"/>
  <c r="AA839" i="15"/>
  <c r="AA840" i="15"/>
  <c r="AA841" i="15"/>
  <c r="AA842" i="15"/>
  <c r="AA843" i="15"/>
  <c r="AA844" i="15"/>
  <c r="AA845" i="15"/>
  <c r="AA846" i="15"/>
  <c r="AA847" i="15"/>
  <c r="AA848" i="15"/>
  <c r="AA849" i="15"/>
  <c r="AA850" i="15"/>
  <c r="AA851" i="15"/>
  <c r="AA852" i="15"/>
  <c r="AA853" i="15"/>
  <c r="AA854" i="15"/>
  <c r="AA855" i="15"/>
  <c r="AA856" i="15"/>
  <c r="AA857" i="15"/>
  <c r="AA858" i="15"/>
  <c r="AA859" i="15"/>
  <c r="AA860" i="15"/>
  <c r="AA861" i="15"/>
  <c r="AA862" i="15"/>
  <c r="AA863" i="15"/>
  <c r="AA864" i="15"/>
  <c r="AA865" i="15"/>
  <c r="AA866" i="15"/>
  <c r="AA867" i="15"/>
  <c r="AA868" i="15"/>
  <c r="AA869" i="15"/>
  <c r="AA870" i="15"/>
  <c r="AA871" i="15"/>
  <c r="AA872" i="15"/>
  <c r="AA873" i="15"/>
  <c r="AA874" i="15"/>
  <c r="AA875" i="15"/>
  <c r="AA876" i="15"/>
  <c r="AA877" i="15"/>
  <c r="AA878" i="15"/>
  <c r="AA879" i="15"/>
  <c r="AA880" i="15"/>
  <c r="AA881" i="15"/>
  <c r="AA882" i="15"/>
  <c r="AA883" i="15"/>
  <c r="AA884" i="15"/>
  <c r="AA885" i="15"/>
  <c r="AA886" i="15"/>
  <c r="AA887" i="15"/>
  <c r="AA888" i="15"/>
  <c r="AA889" i="15"/>
  <c r="AA890" i="15"/>
  <c r="AA891" i="15"/>
  <c r="AA892" i="15"/>
  <c r="AA893" i="15"/>
  <c r="AA894" i="15"/>
  <c r="AA895" i="15"/>
  <c r="AA896" i="15"/>
  <c r="AA897" i="15"/>
  <c r="AA898" i="15"/>
  <c r="AA899" i="15"/>
  <c r="AA900" i="15"/>
  <c r="AA901" i="15"/>
  <c r="AA902" i="15"/>
  <c r="AA903" i="15"/>
  <c r="AA904" i="15"/>
  <c r="AA905" i="15"/>
  <c r="AA906" i="15"/>
  <c r="AA907" i="15"/>
  <c r="AA908" i="15"/>
  <c r="AA909" i="15"/>
  <c r="AA910" i="15"/>
  <c r="AA911" i="15"/>
  <c r="AA912" i="15"/>
  <c r="AA913" i="15"/>
  <c r="AA914" i="15"/>
  <c r="AA915" i="15"/>
  <c r="AA916" i="15"/>
  <c r="AA917" i="15"/>
  <c r="AA918" i="15"/>
  <c r="AA919" i="15"/>
  <c r="AA920" i="15"/>
  <c r="AA921" i="15"/>
  <c r="AA922" i="15"/>
  <c r="AA923" i="15"/>
  <c r="AA924" i="15"/>
  <c r="AA925" i="15"/>
  <c r="AA926" i="15"/>
  <c r="AA927" i="15"/>
  <c r="AA928" i="15"/>
  <c r="AA929" i="15"/>
  <c r="AA930" i="15"/>
  <c r="AA931" i="15"/>
  <c r="AA932" i="15"/>
  <c r="AA933" i="15"/>
  <c r="AA934" i="15"/>
  <c r="AA935" i="15"/>
  <c r="AA936" i="15"/>
  <c r="AA937" i="15"/>
  <c r="AA938" i="15"/>
  <c r="AA939" i="15"/>
  <c r="AA940" i="15"/>
  <c r="AA941" i="15"/>
  <c r="AA942" i="15"/>
  <c r="AA943" i="15"/>
  <c r="AA944" i="15"/>
  <c r="AA945" i="15"/>
  <c r="AA946" i="15"/>
  <c r="AA947" i="15"/>
  <c r="AA948" i="15"/>
  <c r="AA949" i="15"/>
  <c r="AA950" i="15"/>
  <c r="AA951" i="15"/>
  <c r="AA952" i="15"/>
  <c r="AA953" i="15"/>
  <c r="AA954" i="15"/>
  <c r="AA955" i="15"/>
  <c r="AA956" i="15"/>
  <c r="AA957" i="15"/>
  <c r="AA958" i="15"/>
  <c r="AA959" i="15"/>
  <c r="AA960" i="15"/>
  <c r="AA961" i="15"/>
  <c r="AA962" i="15"/>
  <c r="AA963" i="15"/>
  <c r="AA964" i="15"/>
  <c r="AA965" i="15"/>
  <c r="AA966" i="15"/>
  <c r="AA967" i="15"/>
  <c r="AA968" i="15"/>
  <c r="AA969" i="15"/>
  <c r="AA970" i="15"/>
  <c r="AA971" i="15"/>
  <c r="AA972" i="15"/>
  <c r="AA973" i="15"/>
  <c r="AA974" i="15"/>
  <c r="AA975" i="15"/>
  <c r="AA976" i="15"/>
  <c r="AA977" i="15"/>
  <c r="AA978" i="15"/>
  <c r="AA979" i="15"/>
  <c r="AA980" i="15"/>
  <c r="AA981" i="15"/>
  <c r="AA982" i="15"/>
  <c r="AA983" i="15"/>
  <c r="AA984" i="15"/>
  <c r="AA985" i="15"/>
  <c r="AA986" i="15"/>
  <c r="AA987" i="15"/>
  <c r="AA988" i="15"/>
  <c r="AA989" i="15"/>
  <c r="AA990" i="15"/>
  <c r="AA991" i="15"/>
  <c r="AA992" i="15"/>
  <c r="AA993" i="15"/>
  <c r="AA994" i="15"/>
  <c r="AA995" i="15"/>
  <c r="AA996" i="15"/>
  <c r="AA997" i="15"/>
  <c r="AA998" i="15"/>
  <c r="AA999" i="15"/>
  <c r="AA1000" i="15"/>
  <c r="AA1001" i="15"/>
  <c r="AA1002" i="15"/>
  <c r="AA1003" i="15"/>
  <c r="AA1004" i="15"/>
  <c r="AA1005" i="15"/>
  <c r="AA1006" i="15"/>
  <c r="AA1007" i="15"/>
  <c r="AA1008" i="15"/>
  <c r="AA1009" i="15"/>
  <c r="AA1010" i="15"/>
  <c r="AA1011" i="15"/>
  <c r="AA1012" i="15"/>
  <c r="AA1013" i="15"/>
  <c r="AA1014" i="15"/>
  <c r="AA1015" i="15"/>
  <c r="AA1016" i="15"/>
  <c r="AA1017" i="15"/>
  <c r="AA1018" i="15"/>
  <c r="AA1019" i="15"/>
  <c r="AA1020" i="15"/>
  <c r="AA1021" i="15"/>
  <c r="Z3" i="15"/>
  <c r="Z4" i="15"/>
  <c r="Z5" i="15"/>
  <c r="Z6" i="15"/>
  <c r="Z7" i="15"/>
  <c r="Z8" i="15"/>
  <c r="Z9" i="15"/>
  <c r="Z10" i="15"/>
  <c r="Z11" i="15"/>
  <c r="Z12" i="15"/>
  <c r="Z13" i="15"/>
  <c r="Z14" i="15"/>
  <c r="Z15" i="15"/>
  <c r="Z16" i="15"/>
  <c r="Z17" i="15"/>
  <c r="Z18" i="15"/>
  <c r="Z19" i="15"/>
  <c r="Z20" i="15"/>
  <c r="Z21" i="15"/>
  <c r="Z22" i="15"/>
  <c r="Z23" i="15"/>
  <c r="Z24" i="15"/>
  <c r="Z25" i="15"/>
  <c r="Z26" i="15"/>
  <c r="Z27" i="15"/>
  <c r="Z28" i="15"/>
  <c r="Z29" i="15"/>
  <c r="Z30" i="15"/>
  <c r="Z31" i="15"/>
  <c r="Z32" i="15"/>
  <c r="Z33" i="15"/>
  <c r="Z34" i="15"/>
  <c r="Z35" i="15"/>
  <c r="Z36" i="15"/>
  <c r="Z37" i="15"/>
  <c r="Z38" i="15"/>
  <c r="Z39" i="15"/>
  <c r="Z40" i="15"/>
  <c r="Z41" i="15"/>
  <c r="Z42" i="15"/>
  <c r="Z43" i="15"/>
  <c r="Z44" i="15"/>
  <c r="Z45" i="15"/>
  <c r="Z46" i="15"/>
  <c r="Z47" i="15"/>
  <c r="Z48" i="15"/>
  <c r="Z49" i="15"/>
  <c r="Z50" i="15"/>
  <c r="Z51" i="15"/>
  <c r="Z52" i="15"/>
  <c r="Z53" i="15"/>
  <c r="Z54" i="15"/>
  <c r="Z55" i="15"/>
  <c r="Z56" i="15"/>
  <c r="Z57" i="15"/>
  <c r="Z58" i="15"/>
  <c r="Z59" i="15"/>
  <c r="Z60" i="15"/>
  <c r="Z61" i="15"/>
  <c r="Z62" i="15"/>
  <c r="Z63" i="15"/>
  <c r="Z64" i="15"/>
  <c r="Z65" i="15"/>
  <c r="Z66" i="15"/>
  <c r="Z67" i="15"/>
  <c r="Z68" i="15"/>
  <c r="Z69" i="15"/>
  <c r="Z70" i="15"/>
  <c r="Z71" i="15"/>
  <c r="Z72" i="15"/>
  <c r="Z73" i="15"/>
  <c r="Z74" i="15"/>
  <c r="Z75" i="15"/>
  <c r="Z76" i="15"/>
  <c r="Z77" i="15"/>
  <c r="Z78" i="15"/>
  <c r="Z79" i="15"/>
  <c r="Z80" i="15"/>
  <c r="Z81" i="15"/>
  <c r="Z82" i="15"/>
  <c r="Z83" i="15"/>
  <c r="Z84" i="15"/>
  <c r="Z85" i="15"/>
  <c r="Z86" i="15"/>
  <c r="Z87" i="15"/>
  <c r="Z88" i="15"/>
  <c r="Z89" i="15"/>
  <c r="Z90" i="15"/>
  <c r="Z91" i="15"/>
  <c r="Z92" i="15"/>
  <c r="Z93" i="15"/>
  <c r="Z94" i="15"/>
  <c r="Z95" i="15"/>
  <c r="Z96" i="15"/>
  <c r="Z97" i="15"/>
  <c r="Z98" i="15"/>
  <c r="Z99" i="15"/>
  <c r="Z100" i="15"/>
  <c r="Z101" i="15"/>
  <c r="Z102" i="15"/>
  <c r="Z103" i="15"/>
  <c r="Z104" i="15"/>
  <c r="Z105" i="15"/>
  <c r="Z106" i="15"/>
  <c r="Z107" i="15"/>
  <c r="Z108" i="15"/>
  <c r="Z109" i="15"/>
  <c r="Z110" i="15"/>
  <c r="Z111" i="15"/>
  <c r="Z112" i="15"/>
  <c r="Z113" i="15"/>
  <c r="Z114" i="15"/>
  <c r="Z115" i="15"/>
  <c r="Z116" i="15"/>
  <c r="Z117" i="15"/>
  <c r="Z118" i="15"/>
  <c r="Z119" i="15"/>
  <c r="Z120" i="15"/>
  <c r="Z121" i="15"/>
  <c r="Z122" i="15"/>
  <c r="Z123" i="15"/>
  <c r="Z124" i="15"/>
  <c r="Z125" i="15"/>
  <c r="Z126" i="15"/>
  <c r="Z127" i="15"/>
  <c r="Z128" i="15"/>
  <c r="Z129" i="15"/>
  <c r="Z130" i="15"/>
  <c r="Z131" i="15"/>
  <c r="Z132" i="15"/>
  <c r="Z133" i="15"/>
  <c r="Z134" i="15"/>
  <c r="Z135" i="15"/>
  <c r="Z136" i="15"/>
  <c r="Z137" i="15"/>
  <c r="Z138" i="15"/>
  <c r="Z139" i="15"/>
  <c r="Z140" i="15"/>
  <c r="Z141" i="15"/>
  <c r="Z142" i="15"/>
  <c r="Z143" i="15"/>
  <c r="Z144" i="15"/>
  <c r="Z145" i="15"/>
  <c r="Z146" i="15"/>
  <c r="Z147" i="15"/>
  <c r="Z148" i="15"/>
  <c r="Z149" i="15"/>
  <c r="Z150" i="15"/>
  <c r="Z151" i="15"/>
  <c r="Z152" i="15"/>
  <c r="Z153" i="15"/>
  <c r="Z154" i="15"/>
  <c r="Z155" i="15"/>
  <c r="Z156" i="15"/>
  <c r="Z157" i="15"/>
  <c r="Z158" i="15"/>
  <c r="Z159" i="15"/>
  <c r="Z160" i="15"/>
  <c r="Z161" i="15"/>
  <c r="Z162" i="15"/>
  <c r="Z163" i="15"/>
  <c r="Z164" i="15"/>
  <c r="Z165" i="15"/>
  <c r="Z166" i="15"/>
  <c r="Z167" i="15"/>
  <c r="Z168" i="15"/>
  <c r="Z169" i="15"/>
  <c r="Z170" i="15"/>
  <c r="Z171" i="15"/>
  <c r="Z172" i="15"/>
  <c r="Z173" i="15"/>
  <c r="Z174" i="15"/>
  <c r="Z175" i="15"/>
  <c r="Z176" i="15"/>
  <c r="Z177" i="15"/>
  <c r="Z178" i="15"/>
  <c r="Z179" i="15"/>
  <c r="Z180" i="15"/>
  <c r="Z181" i="15"/>
  <c r="Z182" i="15"/>
  <c r="Z183" i="15"/>
  <c r="Z184" i="15"/>
  <c r="Z185" i="15"/>
  <c r="Z186" i="15"/>
  <c r="Z187" i="15"/>
  <c r="Z188" i="15"/>
  <c r="Z189" i="15"/>
  <c r="Z190" i="15"/>
  <c r="Z191" i="15"/>
  <c r="Z192" i="15"/>
  <c r="Z193" i="15"/>
  <c r="Z194" i="15"/>
  <c r="Z195" i="15"/>
  <c r="Z196" i="15"/>
  <c r="Z197" i="15"/>
  <c r="Z198" i="15"/>
  <c r="Z199" i="15"/>
  <c r="Z200" i="15"/>
  <c r="Z201" i="15"/>
  <c r="Z202" i="15"/>
  <c r="Z203" i="15"/>
  <c r="Z204" i="15"/>
  <c r="Z205" i="15"/>
  <c r="Z206" i="15"/>
  <c r="Z207" i="15"/>
  <c r="Z208" i="15"/>
  <c r="Z209" i="15"/>
  <c r="Z210" i="15"/>
  <c r="Z211" i="15"/>
  <c r="Z212" i="15"/>
  <c r="Z213" i="15"/>
  <c r="Z214" i="15"/>
  <c r="Z215" i="15"/>
  <c r="Z216" i="15"/>
  <c r="Z217" i="15"/>
  <c r="Z218" i="15"/>
  <c r="Z219" i="15"/>
  <c r="Z220" i="15"/>
  <c r="Z221" i="15"/>
  <c r="Z222" i="15"/>
  <c r="Z223" i="15"/>
  <c r="Z224" i="15"/>
  <c r="Z225" i="15"/>
  <c r="Z226" i="15"/>
  <c r="Z227" i="15"/>
  <c r="Z228" i="15"/>
  <c r="Z229" i="15"/>
  <c r="Z230" i="15"/>
  <c r="Z231" i="15"/>
  <c r="Z232" i="15"/>
  <c r="Z233" i="15"/>
  <c r="Z234" i="15"/>
  <c r="Z235" i="15"/>
  <c r="Z236" i="15"/>
  <c r="Z237" i="15"/>
  <c r="Z238" i="15"/>
  <c r="Z239" i="15"/>
  <c r="Z240" i="15"/>
  <c r="Z241" i="15"/>
  <c r="Z242" i="15"/>
  <c r="Z243" i="15"/>
  <c r="Z244" i="15"/>
  <c r="Z245" i="15"/>
  <c r="Z246" i="15"/>
  <c r="Z247" i="15"/>
  <c r="Z248" i="15"/>
  <c r="Z249" i="15"/>
  <c r="Z250" i="15"/>
  <c r="Z251" i="15"/>
  <c r="Z252" i="15"/>
  <c r="Z253" i="15"/>
  <c r="Z254" i="15"/>
  <c r="Z255" i="15"/>
  <c r="Z256" i="15"/>
  <c r="Z257" i="15"/>
  <c r="Z258" i="15"/>
  <c r="Z259" i="15"/>
  <c r="Z260" i="15"/>
  <c r="Z261" i="15"/>
  <c r="Z262" i="15"/>
  <c r="Z263" i="15"/>
  <c r="Z264" i="15"/>
  <c r="Z265" i="15"/>
  <c r="Z266" i="15"/>
  <c r="Z267" i="15"/>
  <c r="Z268" i="15"/>
  <c r="Z269" i="15"/>
  <c r="Z270" i="15"/>
  <c r="Z271" i="15"/>
  <c r="Z272" i="15"/>
  <c r="Z273" i="15"/>
  <c r="Z274" i="15"/>
  <c r="Z275" i="15"/>
  <c r="Z276" i="15"/>
  <c r="Z277" i="15"/>
  <c r="Z278" i="15"/>
  <c r="Z279" i="15"/>
  <c r="Z280" i="15"/>
  <c r="Z281" i="15"/>
  <c r="Z282" i="15"/>
  <c r="Z283" i="15"/>
  <c r="Z284" i="15"/>
  <c r="Z285" i="15"/>
  <c r="Z286" i="15"/>
  <c r="Z287" i="15"/>
  <c r="Z288" i="15"/>
  <c r="Z289" i="15"/>
  <c r="Z290" i="15"/>
  <c r="Z291" i="15"/>
  <c r="Z292" i="15"/>
  <c r="Z293" i="15"/>
  <c r="Z294" i="15"/>
  <c r="Z295" i="15"/>
  <c r="Z296" i="15"/>
  <c r="Z297" i="15"/>
  <c r="Z298" i="15"/>
  <c r="Z299" i="15"/>
  <c r="Z300" i="15"/>
  <c r="Z301" i="15"/>
  <c r="Z302" i="15"/>
  <c r="Z303" i="15"/>
  <c r="Z304" i="15"/>
  <c r="Z305" i="15"/>
  <c r="Z306" i="15"/>
  <c r="Z307" i="15"/>
  <c r="Z308" i="15"/>
  <c r="Z309" i="15"/>
  <c r="Z310" i="15"/>
  <c r="Z311" i="15"/>
  <c r="Z312" i="15"/>
  <c r="Z313" i="15"/>
  <c r="Z314" i="15"/>
  <c r="Z315" i="15"/>
  <c r="Z316" i="15"/>
  <c r="Z317" i="15"/>
  <c r="Z318" i="15"/>
  <c r="Z319" i="15"/>
  <c r="Z320" i="15"/>
  <c r="Z321" i="15"/>
  <c r="Z322" i="15"/>
  <c r="Z323" i="15"/>
  <c r="Z324" i="15"/>
  <c r="Z325" i="15"/>
  <c r="Z326" i="15"/>
  <c r="Z327" i="15"/>
  <c r="Z328" i="15"/>
  <c r="Z329" i="15"/>
  <c r="Z330" i="15"/>
  <c r="Z331" i="15"/>
  <c r="Z332" i="15"/>
  <c r="Z333" i="15"/>
  <c r="Z334" i="15"/>
  <c r="Z335" i="15"/>
  <c r="Z336" i="15"/>
  <c r="Z337" i="15"/>
  <c r="Z338" i="15"/>
  <c r="Z339" i="15"/>
  <c r="Z340" i="15"/>
  <c r="Z341" i="15"/>
  <c r="Z342" i="15"/>
  <c r="Z343" i="15"/>
  <c r="Z344" i="15"/>
  <c r="Z345" i="15"/>
  <c r="Z346" i="15"/>
  <c r="Z347" i="15"/>
  <c r="Z348" i="15"/>
  <c r="Z349" i="15"/>
  <c r="Z350" i="15"/>
  <c r="Z351" i="15"/>
  <c r="Z352" i="15"/>
  <c r="Z353" i="15"/>
  <c r="Z354" i="15"/>
  <c r="Z355" i="15"/>
  <c r="Z356" i="15"/>
  <c r="Z357" i="15"/>
  <c r="Z358" i="15"/>
  <c r="Z359" i="15"/>
  <c r="Z360" i="15"/>
  <c r="Z361" i="15"/>
  <c r="Z362" i="15"/>
  <c r="Z363" i="15"/>
  <c r="Z364" i="15"/>
  <c r="Z365" i="15"/>
  <c r="Z366" i="15"/>
  <c r="Z367" i="15"/>
  <c r="Z368" i="15"/>
  <c r="Z369" i="15"/>
  <c r="Z370" i="15"/>
  <c r="Z371" i="15"/>
  <c r="Z372" i="15"/>
  <c r="Z373" i="15"/>
  <c r="Z374" i="15"/>
  <c r="Z375" i="15"/>
  <c r="Z376" i="15"/>
  <c r="Z377" i="15"/>
  <c r="Z378" i="15"/>
  <c r="Z379" i="15"/>
  <c r="Z380" i="15"/>
  <c r="Z381" i="15"/>
  <c r="Z382" i="15"/>
  <c r="Z383" i="15"/>
  <c r="Z384" i="15"/>
  <c r="Z385" i="15"/>
  <c r="Z386" i="15"/>
  <c r="Z387" i="15"/>
  <c r="Z388" i="15"/>
  <c r="Z389" i="15"/>
  <c r="Z390" i="15"/>
  <c r="Z391" i="15"/>
  <c r="Z392" i="15"/>
  <c r="Z393" i="15"/>
  <c r="Z394" i="15"/>
  <c r="Z395" i="15"/>
  <c r="Z396" i="15"/>
  <c r="Z397" i="15"/>
  <c r="Z398" i="15"/>
  <c r="Z399" i="15"/>
  <c r="Z400" i="15"/>
  <c r="Z401" i="15"/>
  <c r="Z402" i="15"/>
  <c r="Z403" i="15"/>
  <c r="Z404" i="15"/>
  <c r="Z405" i="15"/>
  <c r="Z406" i="15"/>
  <c r="Z407" i="15"/>
  <c r="Z408" i="15"/>
  <c r="Z409" i="15"/>
  <c r="Z410" i="15"/>
  <c r="Z411" i="15"/>
  <c r="Z412" i="15"/>
  <c r="Z413" i="15"/>
  <c r="Z414" i="15"/>
  <c r="Z415" i="15"/>
  <c r="Z416" i="15"/>
  <c r="Z417" i="15"/>
  <c r="Z418" i="15"/>
  <c r="Z419" i="15"/>
  <c r="Z420" i="15"/>
  <c r="Z421" i="15"/>
  <c r="Z422" i="15"/>
  <c r="Z423" i="15"/>
  <c r="Z424" i="15"/>
  <c r="Z425" i="15"/>
  <c r="Z426" i="15"/>
  <c r="Z427" i="15"/>
  <c r="Z428" i="15"/>
  <c r="Z429" i="15"/>
  <c r="Z430" i="15"/>
  <c r="Z431" i="15"/>
  <c r="Z432" i="15"/>
  <c r="Z433" i="15"/>
  <c r="Z434" i="15"/>
  <c r="Z435" i="15"/>
  <c r="Z436" i="15"/>
  <c r="Z437" i="15"/>
  <c r="Z438" i="15"/>
  <c r="Z439" i="15"/>
  <c r="Z440" i="15"/>
  <c r="Z441" i="15"/>
  <c r="Z442" i="15"/>
  <c r="Z443" i="15"/>
  <c r="Z444" i="15"/>
  <c r="Z445" i="15"/>
  <c r="Z446" i="15"/>
  <c r="Z447" i="15"/>
  <c r="Z448" i="15"/>
  <c r="Z449" i="15"/>
  <c r="Z450" i="15"/>
  <c r="Z451" i="15"/>
  <c r="Z452" i="15"/>
  <c r="Z453" i="15"/>
  <c r="Z454" i="15"/>
  <c r="Z455" i="15"/>
  <c r="Z456" i="15"/>
  <c r="Z457" i="15"/>
  <c r="Z458" i="15"/>
  <c r="Z459" i="15"/>
  <c r="Z460" i="15"/>
  <c r="Z461" i="15"/>
  <c r="Z462" i="15"/>
  <c r="Z463" i="15"/>
  <c r="Z464" i="15"/>
  <c r="Z465" i="15"/>
  <c r="Z466" i="15"/>
  <c r="Z467" i="15"/>
  <c r="Z468" i="15"/>
  <c r="Z469" i="15"/>
  <c r="Z470" i="15"/>
  <c r="Z471" i="15"/>
  <c r="Z472" i="15"/>
  <c r="Z473" i="15"/>
  <c r="Z474" i="15"/>
  <c r="Z475" i="15"/>
  <c r="Z476" i="15"/>
  <c r="Z477" i="15"/>
  <c r="Z478" i="15"/>
  <c r="Z479" i="15"/>
  <c r="Z480" i="15"/>
  <c r="Z481" i="15"/>
  <c r="Z482" i="15"/>
  <c r="Z483" i="15"/>
  <c r="Z484" i="15"/>
  <c r="Z485" i="15"/>
  <c r="Z486" i="15"/>
  <c r="Z487" i="15"/>
  <c r="Z488" i="15"/>
  <c r="Z489" i="15"/>
  <c r="Z490" i="15"/>
  <c r="Z491" i="15"/>
  <c r="Z492" i="15"/>
  <c r="Z493" i="15"/>
  <c r="Z494" i="15"/>
  <c r="Z495" i="15"/>
  <c r="Z496" i="15"/>
  <c r="Z497" i="15"/>
  <c r="Z498" i="15"/>
  <c r="Z499" i="15"/>
  <c r="Z500" i="15"/>
  <c r="Z501" i="15"/>
  <c r="Z502" i="15"/>
  <c r="Z503" i="15"/>
  <c r="Z504" i="15"/>
  <c r="Z505" i="15"/>
  <c r="Z506" i="15"/>
  <c r="Z507" i="15"/>
  <c r="Z508" i="15"/>
  <c r="Z509" i="15"/>
  <c r="Z510" i="15"/>
  <c r="Z511" i="15"/>
  <c r="Z512" i="15"/>
  <c r="Z513" i="15"/>
  <c r="Z514" i="15"/>
  <c r="Z515" i="15"/>
  <c r="Z516" i="15"/>
  <c r="Z517" i="15"/>
  <c r="Z518" i="15"/>
  <c r="Z519" i="15"/>
  <c r="Z520" i="15"/>
  <c r="Z521" i="15"/>
  <c r="Z522" i="15"/>
  <c r="Z523" i="15"/>
  <c r="Z524" i="15"/>
  <c r="Z525" i="15"/>
  <c r="Z526" i="15"/>
  <c r="Z527" i="15"/>
  <c r="Z528" i="15"/>
  <c r="Z529" i="15"/>
  <c r="Z530" i="15"/>
  <c r="Z531" i="15"/>
  <c r="Z532" i="15"/>
  <c r="Z533" i="15"/>
  <c r="Z534" i="15"/>
  <c r="Z535" i="15"/>
  <c r="Z536" i="15"/>
  <c r="Z537" i="15"/>
  <c r="Z538" i="15"/>
  <c r="Z539" i="15"/>
  <c r="Z540" i="15"/>
  <c r="Z541" i="15"/>
  <c r="Z542" i="15"/>
  <c r="Z543" i="15"/>
  <c r="Z544" i="15"/>
  <c r="Z545" i="15"/>
  <c r="Z546" i="15"/>
  <c r="Z547" i="15"/>
  <c r="Z548" i="15"/>
  <c r="Z549" i="15"/>
  <c r="Z550" i="15"/>
  <c r="Z551" i="15"/>
  <c r="Z552" i="15"/>
  <c r="Z553" i="15"/>
  <c r="Z554" i="15"/>
  <c r="Z555" i="15"/>
  <c r="Z556" i="15"/>
  <c r="Z557" i="15"/>
  <c r="Z558" i="15"/>
  <c r="Z559" i="15"/>
  <c r="Z560" i="15"/>
  <c r="Z561" i="15"/>
  <c r="Z562" i="15"/>
  <c r="Z563" i="15"/>
  <c r="Z564" i="15"/>
  <c r="Z565" i="15"/>
  <c r="Z566" i="15"/>
  <c r="Z567" i="15"/>
  <c r="Z568" i="15"/>
  <c r="Z569" i="15"/>
  <c r="Z570" i="15"/>
  <c r="Z571" i="15"/>
  <c r="Z572" i="15"/>
  <c r="Z573" i="15"/>
  <c r="Z574" i="15"/>
  <c r="Z575" i="15"/>
  <c r="Z576" i="15"/>
  <c r="Z577" i="15"/>
  <c r="Z578" i="15"/>
  <c r="Z579" i="15"/>
  <c r="Z580" i="15"/>
  <c r="Z581" i="15"/>
  <c r="Z582" i="15"/>
  <c r="Z583" i="15"/>
  <c r="Z584" i="15"/>
  <c r="Z585" i="15"/>
  <c r="Z586" i="15"/>
  <c r="Z587" i="15"/>
  <c r="Z588" i="15"/>
  <c r="Z589" i="15"/>
  <c r="Z590" i="15"/>
  <c r="Z591" i="15"/>
  <c r="Z592" i="15"/>
  <c r="Z593" i="15"/>
  <c r="Z594" i="15"/>
  <c r="Z595" i="15"/>
  <c r="Z596" i="15"/>
  <c r="Z597" i="15"/>
  <c r="Z598" i="15"/>
  <c r="Z599" i="15"/>
  <c r="Z600" i="15"/>
  <c r="Z601" i="15"/>
  <c r="Z602" i="15"/>
  <c r="Z603" i="15"/>
  <c r="Z604" i="15"/>
  <c r="Z605" i="15"/>
  <c r="Z606" i="15"/>
  <c r="Z607" i="15"/>
  <c r="Z608" i="15"/>
  <c r="Z609" i="15"/>
  <c r="Z610" i="15"/>
  <c r="Z611" i="15"/>
  <c r="Z612" i="15"/>
  <c r="Z613" i="15"/>
  <c r="Z614" i="15"/>
  <c r="Z615" i="15"/>
  <c r="Z616" i="15"/>
  <c r="Z617" i="15"/>
  <c r="Z618" i="15"/>
  <c r="Z619" i="15"/>
  <c r="Z620" i="15"/>
  <c r="Z621" i="15"/>
  <c r="Z622" i="15"/>
  <c r="Z623" i="15"/>
  <c r="Z624" i="15"/>
  <c r="Z625" i="15"/>
  <c r="Z626" i="15"/>
  <c r="Z627" i="15"/>
  <c r="Z628" i="15"/>
  <c r="Z629" i="15"/>
  <c r="Z630" i="15"/>
  <c r="Z631" i="15"/>
  <c r="Z632" i="15"/>
  <c r="Z633" i="15"/>
  <c r="Z634" i="15"/>
  <c r="Z635" i="15"/>
  <c r="Z636" i="15"/>
  <c r="Z637" i="15"/>
  <c r="Z638" i="15"/>
  <c r="Z639" i="15"/>
  <c r="Z640" i="15"/>
  <c r="Z641" i="15"/>
  <c r="Z642" i="15"/>
  <c r="Z643" i="15"/>
  <c r="Z644" i="15"/>
  <c r="Z645" i="15"/>
  <c r="Z646" i="15"/>
  <c r="Z647" i="15"/>
  <c r="Z648" i="15"/>
  <c r="Z649" i="15"/>
  <c r="Z650" i="15"/>
  <c r="Z651" i="15"/>
  <c r="Z652" i="15"/>
  <c r="Z653" i="15"/>
  <c r="Z654" i="15"/>
  <c r="Z655" i="15"/>
  <c r="Z656" i="15"/>
  <c r="Z657" i="15"/>
  <c r="Z658" i="15"/>
  <c r="Z659" i="15"/>
  <c r="Z660" i="15"/>
  <c r="Z661" i="15"/>
  <c r="Z662" i="15"/>
  <c r="Z663" i="15"/>
  <c r="Z664" i="15"/>
  <c r="Z665" i="15"/>
  <c r="Z666" i="15"/>
  <c r="Z667" i="15"/>
  <c r="Z668" i="15"/>
  <c r="Z669" i="15"/>
  <c r="Z670" i="15"/>
  <c r="Z671" i="15"/>
  <c r="Z672" i="15"/>
  <c r="Z673" i="15"/>
  <c r="Z674" i="15"/>
  <c r="Z675" i="15"/>
  <c r="Z676" i="15"/>
  <c r="Z677" i="15"/>
  <c r="Z678" i="15"/>
  <c r="Z679" i="15"/>
  <c r="Z680" i="15"/>
  <c r="Z681" i="15"/>
  <c r="Z682" i="15"/>
  <c r="Z683" i="15"/>
  <c r="Z684" i="15"/>
  <c r="Z685" i="15"/>
  <c r="Z686" i="15"/>
  <c r="Z687" i="15"/>
  <c r="Z688" i="15"/>
  <c r="Z689" i="15"/>
  <c r="Z690" i="15"/>
  <c r="Z691" i="15"/>
  <c r="Z692" i="15"/>
  <c r="Z693" i="15"/>
  <c r="Z694" i="15"/>
  <c r="Z695" i="15"/>
  <c r="Z696" i="15"/>
  <c r="Z697" i="15"/>
  <c r="Z698" i="15"/>
  <c r="Z699" i="15"/>
  <c r="Z700" i="15"/>
  <c r="Z701" i="15"/>
  <c r="Z702" i="15"/>
  <c r="Z703" i="15"/>
  <c r="Z704" i="15"/>
  <c r="Z705" i="15"/>
  <c r="Z706" i="15"/>
  <c r="Z707" i="15"/>
  <c r="Z708" i="15"/>
  <c r="Z709" i="15"/>
  <c r="Z710" i="15"/>
  <c r="Z711" i="15"/>
  <c r="Z712" i="15"/>
  <c r="Z713" i="15"/>
  <c r="Z714" i="15"/>
  <c r="Z715" i="15"/>
  <c r="Z716" i="15"/>
  <c r="Z717" i="15"/>
  <c r="Z718" i="15"/>
  <c r="Z719" i="15"/>
  <c r="Z720" i="15"/>
  <c r="Z721" i="15"/>
  <c r="Z722" i="15"/>
  <c r="Z723" i="15"/>
  <c r="Z724" i="15"/>
  <c r="Z725" i="15"/>
  <c r="Z726" i="15"/>
  <c r="Z727" i="15"/>
  <c r="Z728" i="15"/>
  <c r="Z729" i="15"/>
  <c r="Z730" i="15"/>
  <c r="Z731" i="15"/>
  <c r="Z732" i="15"/>
  <c r="Z733" i="15"/>
  <c r="Z734" i="15"/>
  <c r="Z735" i="15"/>
  <c r="Z736" i="15"/>
  <c r="Z737" i="15"/>
  <c r="Z738" i="15"/>
  <c r="Z739" i="15"/>
  <c r="Z740" i="15"/>
  <c r="Z741" i="15"/>
  <c r="Z742" i="15"/>
  <c r="Z743" i="15"/>
  <c r="Z744" i="15"/>
  <c r="Z745" i="15"/>
  <c r="Z746" i="15"/>
  <c r="Z747" i="15"/>
  <c r="Z748" i="15"/>
  <c r="Z749" i="15"/>
  <c r="Z750" i="15"/>
  <c r="Z751" i="15"/>
  <c r="Z752" i="15"/>
  <c r="Z753" i="15"/>
  <c r="Z754" i="15"/>
  <c r="Z755" i="15"/>
  <c r="Z756" i="15"/>
  <c r="Z757" i="15"/>
  <c r="Z758" i="15"/>
  <c r="Z759" i="15"/>
  <c r="Z760" i="15"/>
  <c r="Z761" i="15"/>
  <c r="Z762" i="15"/>
  <c r="Z763" i="15"/>
  <c r="Z764" i="15"/>
  <c r="Z765" i="15"/>
  <c r="Z766" i="15"/>
  <c r="Z767" i="15"/>
  <c r="Z768" i="15"/>
  <c r="Z769" i="15"/>
  <c r="Z770" i="15"/>
  <c r="Z771" i="15"/>
  <c r="Z772" i="15"/>
  <c r="Z773" i="15"/>
  <c r="Z774" i="15"/>
  <c r="Z775" i="15"/>
  <c r="Z776" i="15"/>
  <c r="Z777" i="15"/>
  <c r="Z778" i="15"/>
  <c r="Z779" i="15"/>
  <c r="Z780" i="15"/>
  <c r="Z781" i="15"/>
  <c r="Z782" i="15"/>
  <c r="Z783" i="15"/>
  <c r="Z784" i="15"/>
  <c r="Z785" i="15"/>
  <c r="Z786" i="15"/>
  <c r="Z787" i="15"/>
  <c r="Z788" i="15"/>
  <c r="Z789" i="15"/>
  <c r="Z790" i="15"/>
  <c r="Z791" i="15"/>
  <c r="Z792" i="15"/>
  <c r="Z793" i="15"/>
  <c r="Z794" i="15"/>
  <c r="Z795" i="15"/>
  <c r="Z796" i="15"/>
  <c r="Z797" i="15"/>
  <c r="Z798" i="15"/>
  <c r="Z799" i="15"/>
  <c r="Z800" i="15"/>
  <c r="Z801" i="15"/>
  <c r="Z802" i="15"/>
  <c r="Z803" i="15"/>
  <c r="Z804" i="15"/>
  <c r="Z805" i="15"/>
  <c r="Z806" i="15"/>
  <c r="Z807" i="15"/>
  <c r="Z808" i="15"/>
  <c r="Z809" i="15"/>
  <c r="Z810" i="15"/>
  <c r="Z811" i="15"/>
  <c r="Z812" i="15"/>
  <c r="Z813" i="15"/>
  <c r="Z814" i="15"/>
  <c r="Z815" i="15"/>
  <c r="Z816" i="15"/>
  <c r="Z817" i="15"/>
  <c r="Z818" i="15"/>
  <c r="Z819" i="15"/>
  <c r="Z820" i="15"/>
  <c r="Z821" i="15"/>
  <c r="Z822" i="15"/>
  <c r="Z823" i="15"/>
  <c r="Z824" i="15"/>
  <c r="Z825" i="15"/>
  <c r="Z826" i="15"/>
  <c r="Z827" i="15"/>
  <c r="Z828" i="15"/>
  <c r="Z829" i="15"/>
  <c r="Z830" i="15"/>
  <c r="Z831" i="15"/>
  <c r="Z832" i="15"/>
  <c r="Z833" i="15"/>
  <c r="Z834" i="15"/>
  <c r="Z835" i="15"/>
  <c r="Z836" i="15"/>
  <c r="Z837" i="15"/>
  <c r="Z838" i="15"/>
  <c r="Z839" i="15"/>
  <c r="Z840" i="15"/>
  <c r="Z841" i="15"/>
  <c r="Z842" i="15"/>
  <c r="Z843" i="15"/>
  <c r="Z844" i="15"/>
  <c r="Z845" i="15"/>
  <c r="Z846" i="15"/>
  <c r="Z847" i="15"/>
  <c r="Z848" i="15"/>
  <c r="Z849" i="15"/>
  <c r="Z850" i="15"/>
  <c r="Z851" i="15"/>
  <c r="Z852" i="15"/>
  <c r="Z853" i="15"/>
  <c r="Z854" i="15"/>
  <c r="Z855" i="15"/>
  <c r="Z856" i="15"/>
  <c r="Z857" i="15"/>
  <c r="Z858" i="15"/>
  <c r="Z859" i="15"/>
  <c r="Z860" i="15"/>
  <c r="Z861" i="15"/>
  <c r="Z862" i="15"/>
  <c r="Z863" i="15"/>
  <c r="Z864" i="15"/>
  <c r="Z865" i="15"/>
  <c r="Z866" i="15"/>
  <c r="Z867" i="15"/>
  <c r="Z868" i="15"/>
  <c r="Z869" i="15"/>
  <c r="Z870" i="15"/>
  <c r="Z871" i="15"/>
  <c r="Z872" i="15"/>
  <c r="Z873" i="15"/>
  <c r="Z874" i="15"/>
  <c r="Z875" i="15"/>
  <c r="Z876" i="15"/>
  <c r="Z877" i="15"/>
  <c r="Z878" i="15"/>
  <c r="Z879" i="15"/>
  <c r="Z880" i="15"/>
  <c r="Z881" i="15"/>
  <c r="Z882" i="15"/>
  <c r="Z883" i="15"/>
  <c r="Z884" i="15"/>
  <c r="Z885" i="15"/>
  <c r="Z886" i="15"/>
  <c r="Z887" i="15"/>
  <c r="Z888" i="15"/>
  <c r="Z889" i="15"/>
  <c r="Z890" i="15"/>
  <c r="Z891" i="15"/>
  <c r="Z892" i="15"/>
  <c r="Z893" i="15"/>
  <c r="Z894" i="15"/>
  <c r="Z895" i="15"/>
  <c r="Z896" i="15"/>
  <c r="Z897" i="15"/>
  <c r="Z898" i="15"/>
  <c r="Z899" i="15"/>
  <c r="Z900" i="15"/>
  <c r="Z901" i="15"/>
  <c r="Z902" i="15"/>
  <c r="Z903" i="15"/>
  <c r="Z904" i="15"/>
  <c r="Z905" i="15"/>
  <c r="Z906" i="15"/>
  <c r="Z907" i="15"/>
  <c r="Z908" i="15"/>
  <c r="Z909" i="15"/>
  <c r="Z910" i="15"/>
  <c r="Z911" i="15"/>
  <c r="Z912" i="15"/>
  <c r="Z913" i="15"/>
  <c r="Z914" i="15"/>
  <c r="Z915" i="15"/>
  <c r="Z916" i="15"/>
  <c r="Z917" i="15"/>
  <c r="Z918" i="15"/>
  <c r="Z919" i="15"/>
  <c r="Z920" i="15"/>
  <c r="Z921" i="15"/>
  <c r="Z922" i="15"/>
  <c r="Z923" i="15"/>
  <c r="Z924" i="15"/>
  <c r="Z925" i="15"/>
  <c r="Z926" i="15"/>
  <c r="Z927" i="15"/>
  <c r="Z928" i="15"/>
  <c r="Z929" i="15"/>
  <c r="Z930" i="15"/>
  <c r="Z931" i="15"/>
  <c r="Z932" i="15"/>
  <c r="Z933" i="15"/>
  <c r="Z934" i="15"/>
  <c r="Z935" i="15"/>
  <c r="Z936" i="15"/>
  <c r="Z937" i="15"/>
  <c r="Z938" i="15"/>
  <c r="Z939" i="15"/>
  <c r="Z940" i="15"/>
  <c r="Z941" i="15"/>
  <c r="Z942" i="15"/>
  <c r="Z943" i="15"/>
  <c r="Z944" i="15"/>
  <c r="Z945" i="15"/>
  <c r="Z946" i="15"/>
  <c r="Z947" i="15"/>
  <c r="Z948" i="15"/>
  <c r="Z949" i="15"/>
  <c r="Z950" i="15"/>
  <c r="Z951" i="15"/>
  <c r="Z952" i="15"/>
  <c r="Z953" i="15"/>
  <c r="Z954" i="15"/>
  <c r="Z955" i="15"/>
  <c r="Z956" i="15"/>
  <c r="Z957" i="15"/>
  <c r="Z958" i="15"/>
  <c r="Z959" i="15"/>
  <c r="Z960" i="15"/>
  <c r="Z961" i="15"/>
  <c r="Z962" i="15"/>
  <c r="Z963" i="15"/>
  <c r="Z964" i="15"/>
  <c r="Z965" i="15"/>
  <c r="Z966" i="15"/>
  <c r="Z967" i="15"/>
  <c r="Z968" i="15"/>
  <c r="Z969" i="15"/>
  <c r="Z970" i="15"/>
  <c r="Z971" i="15"/>
  <c r="Z972" i="15"/>
  <c r="Z973" i="15"/>
  <c r="Z974" i="15"/>
  <c r="Z975" i="15"/>
  <c r="Z976" i="15"/>
  <c r="Z977" i="15"/>
  <c r="Z978" i="15"/>
  <c r="Z979" i="15"/>
  <c r="Z980" i="15"/>
  <c r="Z981" i="15"/>
  <c r="Z982" i="15"/>
  <c r="Z983" i="15"/>
  <c r="Z984" i="15"/>
  <c r="Z985" i="15"/>
  <c r="Z986" i="15"/>
  <c r="Z987" i="15"/>
  <c r="Z988" i="15"/>
  <c r="Z989" i="15"/>
  <c r="Z990" i="15"/>
  <c r="Z991" i="15"/>
  <c r="Z992" i="15"/>
  <c r="Z993" i="15"/>
  <c r="Z994" i="15"/>
  <c r="Z995" i="15"/>
  <c r="Z996" i="15"/>
  <c r="Z997" i="15"/>
  <c r="Z998" i="15"/>
  <c r="Z999" i="15"/>
  <c r="Z1000" i="15"/>
  <c r="Z1001" i="15"/>
  <c r="Z1002" i="15"/>
  <c r="Z1003" i="15"/>
  <c r="Z1004" i="15"/>
  <c r="Z1005" i="15"/>
  <c r="Z1006" i="15"/>
  <c r="Z1007" i="15"/>
  <c r="Z1008" i="15"/>
  <c r="Z1009" i="15"/>
  <c r="Z1010" i="15"/>
  <c r="Z1011" i="15"/>
  <c r="Z1012" i="15"/>
  <c r="Z1013" i="15"/>
  <c r="Z1014" i="15"/>
  <c r="Z1015" i="15"/>
  <c r="Z1016" i="15"/>
  <c r="Z1017" i="15"/>
  <c r="Z1018" i="15"/>
  <c r="Z1019" i="15"/>
  <c r="Z1020" i="15"/>
  <c r="Z1021" i="15"/>
  <c r="Y2" i="15"/>
  <c r="Y3" i="15"/>
  <c r="Y4" i="15"/>
  <c r="Y5" i="15"/>
  <c r="Y6" i="15"/>
  <c r="Y7" i="15"/>
  <c r="Y8" i="15"/>
  <c r="Y9" i="15"/>
  <c r="Y10" i="15"/>
  <c r="Y11" i="15"/>
  <c r="Y12" i="15"/>
  <c r="Y13" i="15"/>
  <c r="Y14" i="15"/>
  <c r="Y15" i="15"/>
  <c r="Y16" i="15"/>
  <c r="Y17" i="15"/>
  <c r="Y18" i="15"/>
  <c r="Y19" i="15"/>
  <c r="Y20" i="15"/>
  <c r="Y21" i="15"/>
  <c r="Y22" i="15"/>
  <c r="Y23" i="15"/>
  <c r="Y24" i="15"/>
  <c r="Y25" i="15"/>
  <c r="Y26" i="15"/>
  <c r="Y27" i="15"/>
  <c r="Y28" i="15"/>
  <c r="Y29" i="15"/>
  <c r="Y30" i="15"/>
  <c r="Y31" i="15"/>
  <c r="Y32" i="15"/>
  <c r="Y33" i="15"/>
  <c r="Y34" i="15"/>
  <c r="Y35" i="15"/>
  <c r="Y36" i="15"/>
  <c r="Y37" i="15"/>
  <c r="Y38" i="15"/>
  <c r="Y39" i="15"/>
  <c r="Y40" i="15"/>
  <c r="Y41" i="15"/>
  <c r="Y42" i="15"/>
  <c r="Y43" i="15"/>
  <c r="Y44" i="15"/>
  <c r="Y45" i="15"/>
  <c r="Y46" i="15"/>
  <c r="Y47" i="15"/>
  <c r="Y48" i="15"/>
  <c r="Y49" i="15"/>
  <c r="Y50" i="15"/>
  <c r="Y51" i="15"/>
  <c r="Y52" i="15"/>
  <c r="Y53" i="15"/>
  <c r="Y54" i="15"/>
  <c r="Y55" i="15"/>
  <c r="Y56" i="15"/>
  <c r="Y57" i="15"/>
  <c r="Y58" i="15"/>
  <c r="Y59" i="15"/>
  <c r="Y60" i="15"/>
  <c r="Y61" i="15"/>
  <c r="Y62" i="15"/>
  <c r="Y63" i="15"/>
  <c r="Y64" i="15"/>
  <c r="Y65" i="15"/>
  <c r="Y66" i="15"/>
  <c r="Y67" i="15"/>
  <c r="Y68" i="15"/>
  <c r="Y69" i="15"/>
  <c r="Y70" i="15"/>
  <c r="Y71" i="15"/>
  <c r="Y72" i="15"/>
  <c r="Y73" i="15"/>
  <c r="Y74" i="15"/>
  <c r="Y75" i="15"/>
  <c r="Y76" i="15"/>
  <c r="Y77" i="15"/>
  <c r="Y78" i="15"/>
  <c r="Y79" i="15"/>
  <c r="Y80" i="15"/>
  <c r="Y81" i="15"/>
  <c r="Y82" i="15"/>
  <c r="Y83" i="15"/>
  <c r="Y84" i="15"/>
  <c r="Y85" i="15"/>
  <c r="Y86" i="15"/>
  <c r="Y87" i="15"/>
  <c r="Y88" i="15"/>
  <c r="Y89" i="15"/>
  <c r="Y90" i="15"/>
  <c r="Y91" i="15"/>
  <c r="Y92" i="15"/>
  <c r="Y93" i="15"/>
  <c r="Y94" i="15"/>
  <c r="Y95" i="15"/>
  <c r="Y96" i="15"/>
  <c r="Y97" i="15"/>
  <c r="Y98" i="15"/>
  <c r="Y99" i="15"/>
  <c r="Y100" i="15"/>
  <c r="Y101" i="15"/>
  <c r="Y102" i="15"/>
  <c r="Y103" i="15"/>
  <c r="Y104" i="15"/>
  <c r="Y105" i="15"/>
  <c r="Y106" i="15"/>
  <c r="Y107" i="15"/>
  <c r="Y108" i="15"/>
  <c r="Y109" i="15"/>
  <c r="Y110" i="15"/>
  <c r="Y111" i="15"/>
  <c r="Y112" i="15"/>
  <c r="Y113" i="15"/>
  <c r="Y114" i="15"/>
  <c r="Y115" i="15"/>
  <c r="Y116" i="15"/>
  <c r="Y117" i="15"/>
  <c r="Y118" i="15"/>
  <c r="Y119" i="15"/>
  <c r="Y120" i="15"/>
  <c r="Y121" i="15"/>
  <c r="Y122" i="15"/>
  <c r="Y123" i="15"/>
  <c r="Y124" i="15"/>
  <c r="Y125" i="15"/>
  <c r="Y126" i="15"/>
  <c r="Y127" i="15"/>
  <c r="Y128" i="15"/>
  <c r="Y129" i="15"/>
  <c r="Y130" i="15"/>
  <c r="Y131" i="15"/>
  <c r="Y132" i="15"/>
  <c r="Y133" i="15"/>
  <c r="Y134" i="15"/>
  <c r="Y135" i="15"/>
  <c r="Y136" i="15"/>
  <c r="Y137" i="15"/>
  <c r="Y138" i="15"/>
  <c r="Y139" i="15"/>
  <c r="Y140" i="15"/>
  <c r="Y141" i="15"/>
  <c r="Y142" i="15"/>
  <c r="Y143" i="15"/>
  <c r="Y144" i="15"/>
  <c r="Y145" i="15"/>
  <c r="Y146" i="15"/>
  <c r="Y147" i="15"/>
  <c r="Y148" i="15"/>
  <c r="Y149" i="15"/>
  <c r="Y150" i="15"/>
  <c r="Y151" i="15"/>
  <c r="Y152" i="15"/>
  <c r="Y153" i="15"/>
  <c r="Y154" i="15"/>
  <c r="Y155" i="15"/>
  <c r="Y156" i="15"/>
  <c r="Y157" i="15"/>
  <c r="Y158" i="15"/>
  <c r="Y159" i="15"/>
  <c r="Y160" i="15"/>
  <c r="Y161" i="15"/>
  <c r="Y162" i="15"/>
  <c r="Y163" i="15"/>
  <c r="Y164" i="15"/>
  <c r="Y165" i="15"/>
  <c r="Y166" i="15"/>
  <c r="Y167" i="15"/>
  <c r="Y168" i="15"/>
  <c r="Y169" i="15"/>
  <c r="Y170" i="15"/>
  <c r="Y171" i="15"/>
  <c r="Y172" i="15"/>
  <c r="Y173" i="15"/>
  <c r="Y174" i="15"/>
  <c r="Y175" i="15"/>
  <c r="Y176" i="15"/>
  <c r="Y177" i="15"/>
  <c r="Y178" i="15"/>
  <c r="Y179" i="15"/>
  <c r="Y180" i="15"/>
  <c r="Y181" i="15"/>
  <c r="Y182" i="15"/>
  <c r="Y183" i="15"/>
  <c r="Y184" i="15"/>
  <c r="Y185" i="15"/>
  <c r="Y186" i="15"/>
  <c r="Y187" i="15"/>
  <c r="Y188" i="15"/>
  <c r="Y189" i="15"/>
  <c r="Y190" i="15"/>
  <c r="Y191" i="15"/>
  <c r="Y192" i="15"/>
  <c r="Y193" i="15"/>
  <c r="Y194" i="15"/>
  <c r="Y195" i="15"/>
  <c r="Y196" i="15"/>
  <c r="Y197" i="15"/>
  <c r="Y198" i="15"/>
  <c r="Y199" i="15"/>
  <c r="Y200" i="15"/>
  <c r="Y201" i="15"/>
  <c r="Y202" i="15"/>
  <c r="Y203" i="15"/>
  <c r="Y204" i="15"/>
  <c r="Y205" i="15"/>
  <c r="Y206" i="15"/>
  <c r="Y207" i="15"/>
  <c r="Y208" i="15"/>
  <c r="Y209" i="15"/>
  <c r="Y210" i="15"/>
  <c r="Y211" i="15"/>
  <c r="Y212" i="15"/>
  <c r="Y213" i="15"/>
  <c r="Y214" i="15"/>
  <c r="Y215" i="15"/>
  <c r="Y216" i="15"/>
  <c r="Y217" i="15"/>
  <c r="Y218" i="15"/>
  <c r="Y219" i="15"/>
  <c r="Y220" i="15"/>
  <c r="Y221" i="15"/>
  <c r="Y222" i="15"/>
  <c r="Y223" i="15"/>
  <c r="Y224" i="15"/>
  <c r="Y225" i="15"/>
  <c r="Y226" i="15"/>
  <c r="Y227" i="15"/>
  <c r="Y228" i="15"/>
  <c r="Y229" i="15"/>
  <c r="Y230" i="15"/>
  <c r="Y231" i="15"/>
  <c r="Y232" i="15"/>
  <c r="Y233" i="15"/>
  <c r="Y234" i="15"/>
  <c r="Y235" i="15"/>
  <c r="Y236" i="15"/>
  <c r="Y237" i="15"/>
  <c r="Y238" i="15"/>
  <c r="Y239" i="15"/>
  <c r="Y240" i="15"/>
  <c r="Y241" i="15"/>
  <c r="Y242" i="15"/>
  <c r="Y243" i="15"/>
  <c r="Y244" i="15"/>
  <c r="Y245" i="15"/>
  <c r="Y246" i="15"/>
  <c r="Y247" i="15"/>
  <c r="Y248" i="15"/>
  <c r="Y249" i="15"/>
  <c r="Y250" i="15"/>
  <c r="Y251" i="15"/>
  <c r="Y252" i="15"/>
  <c r="Y253" i="15"/>
  <c r="Y254" i="15"/>
  <c r="Y255" i="15"/>
  <c r="Y256" i="15"/>
  <c r="Y257" i="15"/>
  <c r="Y258" i="15"/>
  <c r="Y259" i="15"/>
  <c r="Y260" i="15"/>
  <c r="Y261" i="15"/>
  <c r="Y262" i="15"/>
  <c r="Y263" i="15"/>
  <c r="Y264" i="15"/>
  <c r="Y265" i="15"/>
  <c r="Y266" i="15"/>
  <c r="Y267" i="15"/>
  <c r="Y268" i="15"/>
  <c r="Y269" i="15"/>
  <c r="Y270" i="15"/>
  <c r="Y271" i="15"/>
  <c r="Y272" i="15"/>
  <c r="Y273" i="15"/>
  <c r="Y274" i="15"/>
  <c r="Y275" i="15"/>
  <c r="Y276" i="15"/>
  <c r="Y277" i="15"/>
  <c r="Y278" i="15"/>
  <c r="Y279" i="15"/>
  <c r="Y280" i="15"/>
  <c r="Y281" i="15"/>
  <c r="Y282" i="15"/>
  <c r="Y283" i="15"/>
  <c r="Y284" i="15"/>
  <c r="Y285" i="15"/>
  <c r="Y286" i="15"/>
  <c r="Y287" i="15"/>
  <c r="Y288" i="15"/>
  <c r="Y289" i="15"/>
  <c r="Y290" i="15"/>
  <c r="Y291" i="15"/>
  <c r="Y292" i="15"/>
  <c r="Y293" i="15"/>
  <c r="Y294" i="15"/>
  <c r="Y295" i="15"/>
  <c r="Y296" i="15"/>
  <c r="Y297" i="15"/>
  <c r="Y298" i="15"/>
  <c r="Y299" i="15"/>
  <c r="Y300" i="15"/>
  <c r="Y301" i="15"/>
  <c r="Y302" i="15"/>
  <c r="Y303" i="15"/>
  <c r="Y304" i="15"/>
  <c r="Y305" i="15"/>
  <c r="Y306" i="15"/>
  <c r="Y307" i="15"/>
  <c r="Y308" i="15"/>
  <c r="Y309" i="15"/>
  <c r="Y310" i="15"/>
  <c r="Y311" i="15"/>
  <c r="Y312" i="15"/>
  <c r="Y313" i="15"/>
  <c r="Y314" i="15"/>
  <c r="Y315" i="15"/>
  <c r="Y316" i="15"/>
  <c r="Y317" i="15"/>
  <c r="Y318" i="15"/>
  <c r="Y319" i="15"/>
  <c r="Y320" i="15"/>
  <c r="Y321" i="15"/>
  <c r="Y322" i="15"/>
  <c r="Y323" i="15"/>
  <c r="Y324" i="15"/>
  <c r="Y325" i="15"/>
  <c r="Y326" i="15"/>
  <c r="Y327" i="15"/>
  <c r="Y328" i="15"/>
  <c r="Y329" i="15"/>
  <c r="Y330" i="15"/>
  <c r="Y331" i="15"/>
  <c r="Y332" i="15"/>
  <c r="Y333" i="15"/>
  <c r="Y334" i="15"/>
  <c r="Y335" i="15"/>
  <c r="Y336" i="15"/>
  <c r="Y337" i="15"/>
  <c r="Y338" i="15"/>
  <c r="Y339" i="15"/>
  <c r="Y340" i="15"/>
  <c r="Y341" i="15"/>
  <c r="Y342" i="15"/>
  <c r="Y343" i="15"/>
  <c r="Y344" i="15"/>
  <c r="Y345" i="15"/>
  <c r="Y346" i="15"/>
  <c r="Y347" i="15"/>
  <c r="Y348" i="15"/>
  <c r="Y349" i="15"/>
  <c r="Y350" i="15"/>
  <c r="Y351" i="15"/>
  <c r="Y352" i="15"/>
  <c r="Y353" i="15"/>
  <c r="Y354" i="15"/>
  <c r="Y355" i="15"/>
  <c r="Y356" i="15"/>
  <c r="Y357" i="15"/>
  <c r="Y358" i="15"/>
  <c r="Y359" i="15"/>
  <c r="Y360" i="15"/>
  <c r="Y361" i="15"/>
  <c r="Y362" i="15"/>
  <c r="Y363" i="15"/>
  <c r="Y364" i="15"/>
  <c r="Y365" i="15"/>
  <c r="Y366" i="15"/>
  <c r="Y367" i="15"/>
  <c r="Y368" i="15"/>
  <c r="Y369" i="15"/>
  <c r="Y370" i="15"/>
  <c r="Y371" i="15"/>
  <c r="Y372" i="15"/>
  <c r="Y373" i="15"/>
  <c r="Y374" i="15"/>
  <c r="Y375" i="15"/>
  <c r="Y376" i="15"/>
  <c r="Y377" i="15"/>
  <c r="Y378" i="15"/>
  <c r="Y379" i="15"/>
  <c r="Y380" i="15"/>
  <c r="Y381" i="15"/>
  <c r="Y382" i="15"/>
  <c r="Y383" i="15"/>
  <c r="Y384" i="15"/>
  <c r="Y385" i="15"/>
  <c r="Y386" i="15"/>
  <c r="Y387" i="15"/>
  <c r="Y388" i="15"/>
  <c r="Y389" i="15"/>
  <c r="Y390" i="15"/>
  <c r="Y391" i="15"/>
  <c r="Y392" i="15"/>
  <c r="Y393" i="15"/>
  <c r="Y394" i="15"/>
  <c r="Y395" i="15"/>
  <c r="Y396" i="15"/>
  <c r="Y397" i="15"/>
  <c r="Y398" i="15"/>
  <c r="Y399" i="15"/>
  <c r="Y400" i="15"/>
  <c r="Y401" i="15"/>
  <c r="Y402" i="15"/>
  <c r="Y403" i="15"/>
  <c r="Y404" i="15"/>
  <c r="Y405" i="15"/>
  <c r="Y406" i="15"/>
  <c r="Y407" i="15"/>
  <c r="Y408" i="15"/>
  <c r="Y409" i="15"/>
  <c r="Y410" i="15"/>
  <c r="Y411" i="15"/>
  <c r="Y412" i="15"/>
  <c r="Y413" i="15"/>
  <c r="Y414" i="15"/>
  <c r="Y415" i="15"/>
  <c r="Y416" i="15"/>
  <c r="Y417" i="15"/>
  <c r="Y418" i="15"/>
  <c r="Y419" i="15"/>
  <c r="Y420" i="15"/>
  <c r="Y421" i="15"/>
  <c r="Y422" i="15"/>
  <c r="Y423" i="15"/>
  <c r="Y424" i="15"/>
  <c r="Y425" i="15"/>
  <c r="Y426" i="15"/>
  <c r="Y427" i="15"/>
  <c r="Y428" i="15"/>
  <c r="Y429" i="15"/>
  <c r="Y430" i="15"/>
  <c r="Y431" i="15"/>
  <c r="Y432" i="15"/>
  <c r="Y433" i="15"/>
  <c r="Y434" i="15"/>
  <c r="Y435" i="15"/>
  <c r="Y436" i="15"/>
  <c r="Y437" i="15"/>
  <c r="Y438" i="15"/>
  <c r="Y439" i="15"/>
  <c r="Y440" i="15"/>
  <c r="Y441" i="15"/>
  <c r="Y442" i="15"/>
  <c r="Y443" i="15"/>
  <c r="Y444" i="15"/>
  <c r="Y445" i="15"/>
  <c r="Y446" i="15"/>
  <c r="Y447" i="15"/>
  <c r="Y448" i="15"/>
  <c r="Y449" i="15"/>
  <c r="Y450" i="15"/>
  <c r="Y451" i="15"/>
  <c r="Y452" i="15"/>
  <c r="Y453" i="15"/>
  <c r="Y454" i="15"/>
  <c r="Y455" i="15"/>
  <c r="Y456" i="15"/>
  <c r="Y457" i="15"/>
  <c r="Y458" i="15"/>
  <c r="Y459" i="15"/>
  <c r="Y460" i="15"/>
  <c r="Y461" i="15"/>
  <c r="Y462" i="15"/>
  <c r="Y463" i="15"/>
  <c r="Y464" i="15"/>
  <c r="Y465" i="15"/>
  <c r="Y466" i="15"/>
  <c r="Y467" i="15"/>
  <c r="Y468" i="15"/>
  <c r="Y469" i="15"/>
  <c r="Y470" i="15"/>
  <c r="Y471" i="15"/>
  <c r="Y472" i="15"/>
  <c r="Y473" i="15"/>
  <c r="Y474" i="15"/>
  <c r="Y475" i="15"/>
  <c r="Y476" i="15"/>
  <c r="Y477" i="15"/>
  <c r="Y478" i="15"/>
  <c r="Y479" i="15"/>
  <c r="Y480" i="15"/>
  <c r="Y481" i="15"/>
  <c r="Y482" i="15"/>
  <c r="Y483" i="15"/>
  <c r="Y484" i="15"/>
  <c r="Y485" i="15"/>
  <c r="Y486" i="15"/>
  <c r="Y487" i="15"/>
  <c r="Y488" i="15"/>
  <c r="Y489" i="15"/>
  <c r="Y490" i="15"/>
  <c r="Y491" i="15"/>
  <c r="Y492" i="15"/>
  <c r="Y493" i="15"/>
  <c r="Y494" i="15"/>
  <c r="Y495" i="15"/>
  <c r="Y496" i="15"/>
  <c r="Y497" i="15"/>
  <c r="Y498" i="15"/>
  <c r="Y499" i="15"/>
  <c r="Y500" i="15"/>
  <c r="Y501" i="15"/>
  <c r="Y502" i="15"/>
  <c r="Y503" i="15"/>
  <c r="Y504" i="15"/>
  <c r="Y505" i="15"/>
  <c r="Y506" i="15"/>
  <c r="Y507" i="15"/>
  <c r="Y508" i="15"/>
  <c r="Y509" i="15"/>
  <c r="Y510" i="15"/>
  <c r="Y511" i="15"/>
  <c r="Y512" i="15"/>
  <c r="Y513" i="15"/>
  <c r="Y514" i="15"/>
  <c r="Y515" i="15"/>
  <c r="Y516" i="15"/>
  <c r="Y517" i="15"/>
  <c r="Y518" i="15"/>
  <c r="Y519" i="15"/>
  <c r="Y520" i="15"/>
  <c r="Y521" i="15"/>
  <c r="Y522" i="15"/>
  <c r="Y523" i="15"/>
  <c r="Y524" i="15"/>
  <c r="Y525" i="15"/>
  <c r="Y526" i="15"/>
  <c r="Y527" i="15"/>
  <c r="Y528" i="15"/>
  <c r="Y529" i="15"/>
  <c r="Y530" i="15"/>
  <c r="Y531" i="15"/>
  <c r="Y532" i="15"/>
  <c r="Y533" i="15"/>
  <c r="Y534" i="15"/>
  <c r="Y535" i="15"/>
  <c r="Y536" i="15"/>
  <c r="Y537" i="15"/>
  <c r="Y538" i="15"/>
  <c r="Y539" i="15"/>
  <c r="Y540" i="15"/>
  <c r="Y541" i="15"/>
  <c r="Y542" i="15"/>
  <c r="Y543" i="15"/>
  <c r="Y544" i="15"/>
  <c r="Y545" i="15"/>
  <c r="Y546" i="15"/>
  <c r="Y547" i="15"/>
  <c r="Y548" i="15"/>
  <c r="Y549" i="15"/>
  <c r="Y550" i="15"/>
  <c r="Y551" i="15"/>
  <c r="Y552" i="15"/>
  <c r="Y553" i="15"/>
  <c r="Y554" i="15"/>
  <c r="Y555" i="15"/>
  <c r="Y556" i="15"/>
  <c r="Y557" i="15"/>
  <c r="Y558" i="15"/>
  <c r="Y559" i="15"/>
  <c r="Y560" i="15"/>
  <c r="Y561" i="15"/>
  <c r="Y562" i="15"/>
  <c r="Y563" i="15"/>
  <c r="Y564" i="15"/>
  <c r="Y565" i="15"/>
  <c r="Y566" i="15"/>
  <c r="Y567" i="15"/>
  <c r="Y568" i="15"/>
  <c r="Y569" i="15"/>
  <c r="Y570" i="15"/>
  <c r="Y571" i="15"/>
  <c r="Y572" i="15"/>
  <c r="Y573" i="15"/>
  <c r="Y574" i="15"/>
  <c r="Y575" i="15"/>
  <c r="Y576" i="15"/>
  <c r="Y577" i="15"/>
  <c r="Y578" i="15"/>
  <c r="Y579" i="15"/>
  <c r="Y580" i="15"/>
  <c r="Y581" i="15"/>
  <c r="Y582" i="15"/>
  <c r="Y583" i="15"/>
  <c r="Y584" i="15"/>
  <c r="Y585" i="15"/>
  <c r="Y586" i="15"/>
  <c r="Y587" i="15"/>
  <c r="Y588" i="15"/>
  <c r="Y589" i="15"/>
  <c r="Y590" i="15"/>
  <c r="Y591" i="15"/>
  <c r="Y592" i="15"/>
  <c r="Y593" i="15"/>
  <c r="Y594" i="15"/>
  <c r="Y595" i="15"/>
  <c r="Y596" i="15"/>
  <c r="Y597" i="15"/>
  <c r="Y598" i="15"/>
  <c r="Y599" i="15"/>
  <c r="Y600" i="15"/>
  <c r="Y601" i="15"/>
  <c r="Y602" i="15"/>
  <c r="Y603" i="15"/>
  <c r="Y604" i="15"/>
  <c r="Y605" i="15"/>
  <c r="Y606" i="15"/>
  <c r="Y607" i="15"/>
  <c r="Y608" i="15"/>
  <c r="Y609" i="15"/>
  <c r="Y610" i="15"/>
  <c r="Y611" i="15"/>
  <c r="Y612" i="15"/>
  <c r="Y613" i="15"/>
  <c r="Y614" i="15"/>
  <c r="Y615" i="15"/>
  <c r="Y616" i="15"/>
  <c r="Y617" i="15"/>
  <c r="Y618" i="15"/>
  <c r="Y619" i="15"/>
  <c r="Y620" i="15"/>
  <c r="Y621" i="15"/>
  <c r="Y622" i="15"/>
  <c r="Y623" i="15"/>
  <c r="Y624" i="15"/>
  <c r="Y625" i="15"/>
  <c r="Y626" i="15"/>
  <c r="Y627" i="15"/>
  <c r="Y628" i="15"/>
  <c r="Y629" i="15"/>
  <c r="Y630" i="15"/>
  <c r="Y631" i="15"/>
  <c r="Y632" i="15"/>
  <c r="Y633" i="15"/>
  <c r="Y634" i="15"/>
  <c r="Y635" i="15"/>
  <c r="Y636" i="15"/>
  <c r="Y637" i="15"/>
  <c r="Y638" i="15"/>
  <c r="Y639" i="15"/>
  <c r="Y640" i="15"/>
  <c r="Y641" i="15"/>
  <c r="Y642" i="15"/>
  <c r="Y643" i="15"/>
  <c r="Y644" i="15"/>
  <c r="Y645" i="15"/>
  <c r="Y646" i="15"/>
  <c r="Y647" i="15"/>
  <c r="Y648" i="15"/>
  <c r="Y649" i="15"/>
  <c r="Y650" i="15"/>
  <c r="Y651" i="15"/>
  <c r="Y652" i="15"/>
  <c r="Y653" i="15"/>
  <c r="Y654" i="15"/>
  <c r="Y655" i="15"/>
  <c r="Y656" i="15"/>
  <c r="Y657" i="15"/>
  <c r="Y658" i="15"/>
  <c r="Y659" i="15"/>
  <c r="Y660" i="15"/>
  <c r="Y661" i="15"/>
  <c r="Y662" i="15"/>
  <c r="Y663" i="15"/>
  <c r="Y664" i="15"/>
  <c r="Y665" i="15"/>
  <c r="Y666" i="15"/>
  <c r="Y667" i="15"/>
  <c r="Y668" i="15"/>
  <c r="Y669" i="15"/>
  <c r="Y670" i="15"/>
  <c r="Y671" i="15"/>
  <c r="Y672" i="15"/>
  <c r="Y673" i="15"/>
  <c r="Y674" i="15"/>
  <c r="Y675" i="15"/>
  <c r="Y676" i="15"/>
  <c r="Y677" i="15"/>
  <c r="Y678" i="15"/>
  <c r="Y679" i="15"/>
  <c r="Y680" i="15"/>
  <c r="Y681" i="15"/>
  <c r="Y682" i="15"/>
  <c r="Y683" i="15"/>
  <c r="Y684" i="15"/>
  <c r="Y685" i="15"/>
  <c r="Y686" i="15"/>
  <c r="Y687" i="15"/>
  <c r="Y688" i="15"/>
  <c r="Y689" i="15"/>
  <c r="Y690" i="15"/>
  <c r="Y691" i="15"/>
  <c r="Y692" i="15"/>
  <c r="Y693" i="15"/>
  <c r="Y694" i="15"/>
  <c r="Y695" i="15"/>
  <c r="Y696" i="15"/>
  <c r="Y697" i="15"/>
  <c r="Y698" i="15"/>
  <c r="Y699" i="15"/>
  <c r="Y700" i="15"/>
  <c r="Y701" i="15"/>
  <c r="Y702" i="15"/>
  <c r="Y703" i="15"/>
  <c r="Y704" i="15"/>
  <c r="Y705" i="15"/>
  <c r="Y706" i="15"/>
  <c r="Y707" i="15"/>
  <c r="Y708" i="15"/>
  <c r="Y709" i="15"/>
  <c r="Y710" i="15"/>
  <c r="Y711" i="15"/>
  <c r="Y712" i="15"/>
  <c r="Y713" i="15"/>
  <c r="Y714" i="15"/>
  <c r="Y715" i="15"/>
  <c r="Y716" i="15"/>
  <c r="Y717" i="15"/>
  <c r="Y718" i="15"/>
  <c r="Y719" i="15"/>
  <c r="Y720" i="15"/>
  <c r="Y721" i="15"/>
  <c r="Y722" i="15"/>
  <c r="Y723" i="15"/>
  <c r="Y724" i="15"/>
  <c r="Y725" i="15"/>
  <c r="Y726" i="15"/>
  <c r="Y727" i="15"/>
  <c r="Y728" i="15"/>
  <c r="Y729" i="15"/>
  <c r="Y730" i="15"/>
  <c r="Y731" i="15"/>
  <c r="Y732" i="15"/>
  <c r="Y733" i="15"/>
  <c r="Y734" i="15"/>
  <c r="Y735" i="15"/>
  <c r="Y736" i="15"/>
  <c r="Y737" i="15"/>
  <c r="Y738" i="15"/>
  <c r="Y739" i="15"/>
  <c r="Y740" i="15"/>
  <c r="Y741" i="15"/>
  <c r="Y742" i="15"/>
  <c r="Y743" i="15"/>
  <c r="Y744" i="15"/>
  <c r="Y745" i="15"/>
  <c r="Y746" i="15"/>
  <c r="Y747" i="15"/>
  <c r="Y748" i="15"/>
  <c r="Y749" i="15"/>
  <c r="Y750" i="15"/>
  <c r="Y751" i="15"/>
  <c r="Y752" i="15"/>
  <c r="Y753" i="15"/>
  <c r="Y754" i="15"/>
  <c r="Y755" i="15"/>
  <c r="Y756" i="15"/>
  <c r="Y757" i="15"/>
  <c r="Y758" i="15"/>
  <c r="Y759" i="15"/>
  <c r="Y760" i="15"/>
  <c r="Y761" i="15"/>
  <c r="Y762" i="15"/>
  <c r="Y763" i="15"/>
  <c r="Y764" i="15"/>
  <c r="Y765" i="15"/>
  <c r="Y766" i="15"/>
  <c r="Y767" i="15"/>
  <c r="Y768" i="15"/>
  <c r="Y769" i="15"/>
  <c r="Y770" i="15"/>
  <c r="Y771" i="15"/>
  <c r="Y772" i="15"/>
  <c r="Y773" i="15"/>
  <c r="Y774" i="15"/>
  <c r="Y775" i="15"/>
  <c r="Y776" i="15"/>
  <c r="Y777" i="15"/>
  <c r="Y778" i="15"/>
  <c r="Y779" i="15"/>
  <c r="Y780" i="15"/>
  <c r="Y781" i="15"/>
  <c r="Y782" i="15"/>
  <c r="Y783" i="15"/>
  <c r="Y784" i="15"/>
  <c r="Y785" i="15"/>
  <c r="Y786" i="15"/>
  <c r="Y787" i="15"/>
  <c r="Y788" i="15"/>
  <c r="Y789" i="15"/>
  <c r="Y790" i="15"/>
  <c r="Y791" i="15"/>
  <c r="Y792" i="15"/>
  <c r="Y793" i="15"/>
  <c r="Y794" i="15"/>
  <c r="Y795" i="15"/>
  <c r="Y796" i="15"/>
  <c r="Y797" i="15"/>
  <c r="Y798" i="15"/>
  <c r="Y799" i="15"/>
  <c r="Y800" i="15"/>
  <c r="Y801" i="15"/>
  <c r="Y802" i="15"/>
  <c r="Y803" i="15"/>
  <c r="Y804" i="15"/>
  <c r="Y805" i="15"/>
  <c r="Y806" i="15"/>
  <c r="Y807" i="15"/>
  <c r="Y808" i="15"/>
  <c r="Y809" i="15"/>
  <c r="Y810" i="15"/>
  <c r="Y811" i="15"/>
  <c r="Y812" i="15"/>
  <c r="Y813" i="15"/>
  <c r="Y814" i="15"/>
  <c r="Y815" i="15"/>
  <c r="Y816" i="15"/>
  <c r="Y817" i="15"/>
  <c r="Y818" i="15"/>
  <c r="Y819" i="15"/>
  <c r="Y820" i="15"/>
  <c r="Y821" i="15"/>
  <c r="Y822" i="15"/>
  <c r="Y823" i="15"/>
  <c r="Y824" i="15"/>
  <c r="Y825" i="15"/>
  <c r="Y826" i="15"/>
  <c r="Y827" i="15"/>
  <c r="Y828" i="15"/>
  <c r="Y829" i="15"/>
  <c r="Y830" i="15"/>
  <c r="Y831" i="15"/>
  <c r="Y832" i="15"/>
  <c r="Y833" i="15"/>
  <c r="Y834" i="15"/>
  <c r="Y835" i="15"/>
  <c r="Y836" i="15"/>
  <c r="Y837" i="15"/>
  <c r="Y838" i="15"/>
  <c r="Y839" i="15"/>
  <c r="Y840" i="15"/>
  <c r="Y841" i="15"/>
  <c r="Y842" i="15"/>
  <c r="Y843" i="15"/>
  <c r="Y844" i="15"/>
  <c r="Y845" i="15"/>
  <c r="Y846" i="15"/>
  <c r="Y847" i="15"/>
  <c r="Y848" i="15"/>
  <c r="Y849" i="15"/>
  <c r="Y850" i="15"/>
  <c r="Y851" i="15"/>
  <c r="Y852" i="15"/>
  <c r="Y853" i="15"/>
  <c r="Y854" i="15"/>
  <c r="Y855" i="15"/>
  <c r="Y856" i="15"/>
  <c r="Y857" i="15"/>
  <c r="Y858" i="15"/>
  <c r="Y859" i="15"/>
  <c r="Y860" i="15"/>
  <c r="Y861" i="15"/>
  <c r="Y862" i="15"/>
  <c r="Y863" i="15"/>
  <c r="Y864" i="15"/>
  <c r="Y865" i="15"/>
  <c r="Y866" i="15"/>
  <c r="Y867" i="15"/>
  <c r="Y868" i="15"/>
  <c r="Y869" i="15"/>
  <c r="Y870" i="15"/>
  <c r="Y871" i="15"/>
  <c r="Y872" i="15"/>
  <c r="Y873" i="15"/>
  <c r="Y874" i="15"/>
  <c r="Y875" i="15"/>
  <c r="Y876" i="15"/>
  <c r="Y877" i="15"/>
  <c r="Y878" i="15"/>
  <c r="Y879" i="15"/>
  <c r="Y880" i="15"/>
  <c r="Y881" i="15"/>
  <c r="Y882" i="15"/>
  <c r="Y883" i="15"/>
  <c r="Y884" i="15"/>
  <c r="Y885" i="15"/>
  <c r="Y886" i="15"/>
  <c r="Y887" i="15"/>
  <c r="Y888" i="15"/>
  <c r="Y889" i="15"/>
  <c r="Y890" i="15"/>
  <c r="Y891" i="15"/>
  <c r="Y892" i="15"/>
  <c r="Y893" i="15"/>
  <c r="Y894" i="15"/>
  <c r="Y895" i="15"/>
  <c r="Y896" i="15"/>
  <c r="Y897" i="15"/>
  <c r="Y898" i="15"/>
  <c r="Y899" i="15"/>
  <c r="Y900" i="15"/>
  <c r="Y901" i="15"/>
  <c r="Y902" i="15"/>
  <c r="Y903" i="15"/>
  <c r="Y904" i="15"/>
  <c r="Y905" i="15"/>
  <c r="Y906" i="15"/>
  <c r="Y907" i="15"/>
  <c r="Y908" i="15"/>
  <c r="Y909" i="15"/>
  <c r="Y910" i="15"/>
  <c r="Y911" i="15"/>
  <c r="Y912" i="15"/>
  <c r="Y913" i="15"/>
  <c r="Y914" i="15"/>
  <c r="Y915" i="15"/>
  <c r="Y916" i="15"/>
  <c r="Y917" i="15"/>
  <c r="Y918" i="15"/>
  <c r="Y919" i="15"/>
  <c r="Y920" i="15"/>
  <c r="Y921" i="15"/>
  <c r="Y922" i="15"/>
  <c r="Y923" i="15"/>
  <c r="Y924" i="15"/>
  <c r="Y925" i="15"/>
  <c r="Y926" i="15"/>
  <c r="Y927" i="15"/>
  <c r="Y928" i="15"/>
  <c r="Y929" i="15"/>
  <c r="Y930" i="15"/>
  <c r="Y931" i="15"/>
  <c r="Y932" i="15"/>
  <c r="Y933" i="15"/>
  <c r="Y934" i="15"/>
  <c r="Y935" i="15"/>
  <c r="Y936" i="15"/>
  <c r="Y937" i="15"/>
  <c r="Y938" i="15"/>
  <c r="Y939" i="15"/>
  <c r="Y940" i="15"/>
  <c r="Y941" i="15"/>
  <c r="Y942" i="15"/>
  <c r="Y943" i="15"/>
  <c r="Y944" i="15"/>
  <c r="Y945" i="15"/>
  <c r="Y946" i="15"/>
  <c r="Y947" i="15"/>
  <c r="Y948" i="15"/>
  <c r="Y949" i="15"/>
  <c r="Y950" i="15"/>
  <c r="Y951" i="15"/>
  <c r="Y952" i="15"/>
  <c r="Y953" i="15"/>
  <c r="Y954" i="15"/>
  <c r="Y955" i="15"/>
  <c r="Y956" i="15"/>
  <c r="Y957" i="15"/>
  <c r="Y958" i="15"/>
  <c r="Y959" i="15"/>
  <c r="Y960" i="15"/>
  <c r="Y961" i="15"/>
  <c r="Y962" i="15"/>
  <c r="Y963" i="15"/>
  <c r="Y964" i="15"/>
  <c r="Y965" i="15"/>
  <c r="Y966" i="15"/>
  <c r="Y967" i="15"/>
  <c r="Y968" i="15"/>
  <c r="Y969" i="15"/>
  <c r="Y970" i="15"/>
  <c r="Y971" i="15"/>
  <c r="Y972" i="15"/>
  <c r="Y973" i="15"/>
  <c r="Y974" i="15"/>
  <c r="Y975" i="15"/>
  <c r="Y976" i="15"/>
  <c r="Y977" i="15"/>
  <c r="Y978" i="15"/>
  <c r="Y979" i="15"/>
  <c r="Y980" i="15"/>
  <c r="Y981" i="15"/>
  <c r="Y982" i="15"/>
  <c r="Y983" i="15"/>
  <c r="Y984" i="15"/>
  <c r="Y985" i="15"/>
  <c r="Y986" i="15"/>
  <c r="Y987" i="15"/>
  <c r="Y988" i="15"/>
  <c r="Y989" i="15"/>
  <c r="Y990" i="15"/>
  <c r="Y991" i="15"/>
  <c r="Y992" i="15"/>
  <c r="Y993" i="15"/>
  <c r="Y994" i="15"/>
  <c r="Y995" i="15"/>
  <c r="Y996" i="15"/>
  <c r="Y997" i="15"/>
  <c r="Y998" i="15"/>
  <c r="Y999" i="15"/>
  <c r="Y1000" i="15"/>
  <c r="Y1001" i="15"/>
  <c r="Y1002" i="15"/>
  <c r="Y1003" i="15"/>
  <c r="Y1004" i="15"/>
  <c r="Y1005" i="15"/>
  <c r="Y1006" i="15"/>
  <c r="Y1007" i="15"/>
  <c r="Y1008" i="15"/>
  <c r="Y1009" i="15"/>
  <c r="Y1010" i="15"/>
  <c r="Y1011" i="15"/>
  <c r="Y1012" i="15"/>
  <c r="Y1013" i="15"/>
  <c r="Y1014" i="15"/>
  <c r="Y1015" i="15"/>
  <c r="Y1016" i="15"/>
  <c r="Y1017" i="15"/>
  <c r="Y1018" i="15"/>
  <c r="Y1019" i="15"/>
  <c r="Y1020" i="15"/>
  <c r="Y1021" i="15"/>
  <c r="V2" i="15"/>
  <c r="V3" i="15"/>
  <c r="V4" i="15"/>
  <c r="V5" i="15"/>
  <c r="V6" i="15"/>
  <c r="V7" i="15"/>
  <c r="V8" i="15"/>
  <c r="V9" i="15"/>
  <c r="V10" i="15"/>
  <c r="V11" i="15"/>
  <c r="V12" i="15"/>
  <c r="V13" i="15"/>
  <c r="V14" i="15"/>
  <c r="V15" i="15"/>
  <c r="V16" i="15"/>
  <c r="V17" i="15"/>
  <c r="V18" i="15"/>
  <c r="V19" i="15"/>
  <c r="V20" i="15"/>
  <c r="V21" i="15"/>
  <c r="V22" i="15"/>
  <c r="V23" i="15"/>
  <c r="V24" i="15"/>
  <c r="V25" i="15"/>
  <c r="V26" i="15"/>
  <c r="V27" i="15"/>
  <c r="V28" i="15"/>
  <c r="V29" i="15"/>
  <c r="V30" i="15"/>
  <c r="V31" i="15"/>
  <c r="V32" i="15"/>
  <c r="V33" i="15"/>
  <c r="V34" i="15"/>
  <c r="V35" i="15"/>
  <c r="V36" i="15"/>
  <c r="V37" i="15"/>
  <c r="V38" i="15"/>
  <c r="V39" i="15"/>
  <c r="V40" i="15"/>
  <c r="V41" i="15"/>
  <c r="V42" i="15"/>
  <c r="V43"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V84" i="15"/>
  <c r="V85" i="15"/>
  <c r="V86" i="15"/>
  <c r="V87" i="15"/>
  <c r="V88" i="15"/>
  <c r="V89" i="15"/>
  <c r="V90" i="15"/>
  <c r="V91" i="15"/>
  <c r="V92" i="15"/>
  <c r="V93" i="15"/>
  <c r="V94" i="15"/>
  <c r="V95" i="15"/>
  <c r="V96" i="15"/>
  <c r="V97" i="15"/>
  <c r="V98" i="15"/>
  <c r="V99" i="15"/>
  <c r="V100" i="15"/>
  <c r="V101" i="15"/>
  <c r="V102" i="15"/>
  <c r="V103" i="15"/>
  <c r="V104" i="15"/>
  <c r="V105" i="15"/>
  <c r="V106" i="15"/>
  <c r="V107" i="15"/>
  <c r="V108" i="15"/>
  <c r="V109" i="15"/>
  <c r="V110" i="15"/>
  <c r="V111" i="15"/>
  <c r="V112" i="15"/>
  <c r="V113" i="15"/>
  <c r="V114" i="15"/>
  <c r="V115" i="15"/>
  <c r="V116" i="15"/>
  <c r="V117" i="15"/>
  <c r="V118" i="15"/>
  <c r="V119" i="15"/>
  <c r="V120" i="15"/>
  <c r="V121" i="15"/>
  <c r="V122" i="15"/>
  <c r="V123" i="15"/>
  <c r="V124" i="15"/>
  <c r="V125" i="15"/>
  <c r="V126" i="15"/>
  <c r="V127" i="15"/>
  <c r="V128" i="15"/>
  <c r="V129" i="15"/>
  <c r="V130" i="15"/>
  <c r="V131" i="15"/>
  <c r="V132" i="15"/>
  <c r="V133" i="15"/>
  <c r="V134" i="15"/>
  <c r="V135" i="15"/>
  <c r="V136" i="15"/>
  <c r="V137" i="15"/>
  <c r="V138" i="15"/>
  <c r="V139" i="15"/>
  <c r="V140" i="15"/>
  <c r="V141" i="15"/>
  <c r="V142" i="15"/>
  <c r="V143" i="15"/>
  <c r="V144" i="15"/>
  <c r="V145" i="15"/>
  <c r="V146" i="15"/>
  <c r="V147" i="15"/>
  <c r="V148" i="15"/>
  <c r="V149" i="15"/>
  <c r="V150" i="15"/>
  <c r="V151" i="15"/>
  <c r="V152" i="15"/>
  <c r="V153" i="15"/>
  <c r="V154" i="15"/>
  <c r="V155" i="15"/>
  <c r="V156" i="15"/>
  <c r="V157" i="15"/>
  <c r="V158" i="15"/>
  <c r="V159" i="15"/>
  <c r="V160" i="15"/>
  <c r="V161" i="15"/>
  <c r="V162" i="15"/>
  <c r="V163" i="15"/>
  <c r="V164" i="15"/>
  <c r="V165" i="15"/>
  <c r="V166" i="15"/>
  <c r="V167" i="15"/>
  <c r="V168" i="15"/>
  <c r="V169" i="15"/>
  <c r="V170" i="15"/>
  <c r="V171" i="15"/>
  <c r="V172" i="15"/>
  <c r="V173" i="15"/>
  <c r="V174" i="15"/>
  <c r="V175" i="15"/>
  <c r="V176" i="15"/>
  <c r="V177" i="15"/>
  <c r="V178" i="15"/>
  <c r="V179" i="15"/>
  <c r="V180" i="15"/>
  <c r="V181" i="15"/>
  <c r="V182" i="15"/>
  <c r="V183" i="15"/>
  <c r="V184" i="15"/>
  <c r="V185" i="15"/>
  <c r="V186" i="15"/>
  <c r="V187" i="15"/>
  <c r="V188" i="15"/>
  <c r="V189" i="15"/>
  <c r="V190" i="15"/>
  <c r="V191" i="15"/>
  <c r="V192" i="15"/>
  <c r="V193" i="15"/>
  <c r="V194" i="15"/>
  <c r="V195" i="15"/>
  <c r="V196" i="15"/>
  <c r="V197" i="15"/>
  <c r="V198" i="15"/>
  <c r="V199" i="15"/>
  <c r="V200" i="15"/>
  <c r="V201" i="15"/>
  <c r="V202" i="15"/>
  <c r="V203" i="15"/>
  <c r="V204" i="15"/>
  <c r="V205" i="15"/>
  <c r="V206" i="15"/>
  <c r="V207" i="15"/>
  <c r="V208" i="15"/>
  <c r="V209" i="15"/>
  <c r="V210" i="15"/>
  <c r="V211" i="15"/>
  <c r="V212" i="15"/>
  <c r="V213" i="15"/>
  <c r="V214" i="15"/>
  <c r="V215" i="15"/>
  <c r="V216" i="15"/>
  <c r="V217" i="15"/>
  <c r="V218" i="15"/>
  <c r="V219" i="15"/>
  <c r="V220" i="15"/>
  <c r="V221" i="15"/>
  <c r="V222" i="15"/>
  <c r="V223" i="15"/>
  <c r="V224" i="15"/>
  <c r="V225" i="15"/>
  <c r="V226" i="15"/>
  <c r="V227" i="15"/>
  <c r="V228" i="15"/>
  <c r="V229" i="15"/>
  <c r="V230" i="15"/>
  <c r="V231" i="15"/>
  <c r="V232" i="15"/>
  <c r="V233" i="15"/>
  <c r="V234" i="15"/>
  <c r="V235" i="15"/>
  <c r="V236" i="15"/>
  <c r="V237" i="15"/>
  <c r="V238" i="15"/>
  <c r="V239" i="15"/>
  <c r="V240" i="15"/>
  <c r="V241" i="15"/>
  <c r="V242" i="15"/>
  <c r="V243" i="15"/>
  <c r="V244" i="15"/>
  <c r="V245" i="15"/>
  <c r="V246" i="15"/>
  <c r="V247" i="15"/>
  <c r="V248" i="15"/>
  <c r="V249" i="15"/>
  <c r="V250" i="15"/>
  <c r="V251" i="15"/>
  <c r="V252" i="15"/>
  <c r="V253" i="15"/>
  <c r="V254" i="15"/>
  <c r="V255" i="15"/>
  <c r="V256" i="15"/>
  <c r="V257" i="15"/>
  <c r="V258" i="15"/>
  <c r="V259" i="15"/>
  <c r="V260" i="15"/>
  <c r="V261" i="15"/>
  <c r="V262" i="15"/>
  <c r="V263" i="15"/>
  <c r="V264" i="15"/>
  <c r="V265" i="15"/>
  <c r="V266" i="15"/>
  <c r="V267" i="15"/>
  <c r="V268" i="15"/>
  <c r="V269" i="15"/>
  <c r="V270" i="15"/>
  <c r="V271" i="15"/>
  <c r="V272" i="15"/>
  <c r="V273" i="15"/>
  <c r="V274" i="15"/>
  <c r="V275" i="15"/>
  <c r="V276" i="15"/>
  <c r="V277" i="15"/>
  <c r="V278" i="15"/>
  <c r="V279" i="15"/>
  <c r="V280" i="15"/>
  <c r="V281" i="15"/>
  <c r="V282" i="15"/>
  <c r="V283" i="15"/>
  <c r="V284" i="15"/>
  <c r="V285" i="15"/>
  <c r="V286" i="15"/>
  <c r="V287" i="15"/>
  <c r="V288" i="15"/>
  <c r="V289" i="15"/>
  <c r="V290" i="15"/>
  <c r="V291" i="15"/>
  <c r="V292" i="15"/>
  <c r="V293" i="15"/>
  <c r="V294" i="15"/>
  <c r="V295" i="15"/>
  <c r="V296" i="15"/>
  <c r="V297" i="15"/>
  <c r="V298" i="15"/>
  <c r="V299" i="15"/>
  <c r="V300" i="15"/>
  <c r="V301" i="15"/>
  <c r="V302" i="15"/>
  <c r="V303" i="15"/>
  <c r="V304" i="15"/>
  <c r="V305" i="15"/>
  <c r="V306" i="15"/>
  <c r="V307" i="15"/>
  <c r="V308" i="15"/>
  <c r="V309" i="15"/>
  <c r="V310" i="15"/>
  <c r="V311" i="15"/>
  <c r="V312" i="15"/>
  <c r="V313" i="15"/>
  <c r="V314" i="15"/>
  <c r="V315" i="15"/>
  <c r="V316" i="15"/>
  <c r="V317" i="15"/>
  <c r="V318" i="15"/>
  <c r="V319" i="15"/>
  <c r="V320" i="15"/>
  <c r="V321" i="15"/>
  <c r="V322" i="15"/>
  <c r="V323" i="15"/>
  <c r="V324" i="15"/>
  <c r="V325" i="15"/>
  <c r="V326" i="15"/>
  <c r="V327" i="15"/>
  <c r="V328" i="15"/>
  <c r="V329" i="15"/>
  <c r="V330" i="15"/>
  <c r="V331" i="15"/>
  <c r="V332" i="15"/>
  <c r="V333" i="15"/>
  <c r="V334" i="15"/>
  <c r="V335" i="15"/>
  <c r="V336" i="15"/>
  <c r="V337" i="15"/>
  <c r="V338" i="15"/>
  <c r="V339" i="15"/>
  <c r="V340" i="15"/>
  <c r="V341" i="15"/>
  <c r="V342" i="15"/>
  <c r="V343" i="15"/>
  <c r="V344" i="15"/>
  <c r="V345" i="15"/>
  <c r="V346" i="15"/>
  <c r="V347" i="15"/>
  <c r="V348" i="15"/>
  <c r="V349" i="15"/>
  <c r="V350" i="15"/>
  <c r="V351" i="15"/>
  <c r="V352" i="15"/>
  <c r="V353" i="15"/>
  <c r="V354" i="15"/>
  <c r="V355" i="15"/>
  <c r="V356" i="15"/>
  <c r="V357" i="15"/>
  <c r="V358" i="15"/>
  <c r="V359" i="15"/>
  <c r="V360" i="15"/>
  <c r="V361" i="15"/>
  <c r="V362" i="15"/>
  <c r="V363" i="15"/>
  <c r="V364" i="15"/>
  <c r="V365" i="15"/>
  <c r="V366" i="15"/>
  <c r="V367" i="15"/>
  <c r="V368" i="15"/>
  <c r="V369" i="15"/>
  <c r="V370" i="15"/>
  <c r="V371" i="15"/>
  <c r="V372" i="15"/>
  <c r="V373" i="15"/>
  <c r="V374" i="15"/>
  <c r="V375" i="15"/>
  <c r="V376" i="15"/>
  <c r="V377" i="15"/>
  <c r="V378" i="15"/>
  <c r="V379" i="15"/>
  <c r="V380" i="15"/>
  <c r="V381" i="15"/>
  <c r="V382" i="15"/>
  <c r="V383" i="15"/>
  <c r="V384" i="15"/>
  <c r="V385" i="15"/>
  <c r="V386" i="15"/>
  <c r="V387" i="15"/>
  <c r="V388" i="15"/>
  <c r="V389" i="15"/>
  <c r="V390" i="15"/>
  <c r="V391" i="15"/>
  <c r="V392" i="15"/>
  <c r="V393" i="15"/>
  <c r="V394" i="15"/>
  <c r="V395" i="15"/>
  <c r="V396" i="15"/>
  <c r="V397" i="15"/>
  <c r="V398" i="15"/>
  <c r="V399" i="15"/>
  <c r="V400" i="15"/>
  <c r="V401" i="15"/>
  <c r="V402" i="15"/>
  <c r="V403" i="15"/>
  <c r="V404" i="15"/>
  <c r="V405" i="15"/>
  <c r="V406" i="15"/>
  <c r="V407" i="15"/>
  <c r="V408" i="15"/>
  <c r="V409" i="15"/>
  <c r="V410" i="15"/>
  <c r="V411" i="15"/>
  <c r="V412" i="15"/>
  <c r="V413" i="15"/>
  <c r="V414" i="15"/>
  <c r="V415" i="15"/>
  <c r="V416" i="15"/>
  <c r="V417" i="15"/>
  <c r="V418" i="15"/>
  <c r="V419" i="15"/>
  <c r="V420" i="15"/>
  <c r="V421" i="15"/>
  <c r="V422" i="15"/>
  <c r="V423" i="15"/>
  <c r="V424" i="15"/>
  <c r="V425" i="15"/>
  <c r="V426" i="15"/>
  <c r="V427" i="15"/>
  <c r="V428" i="15"/>
  <c r="V429" i="15"/>
  <c r="V430" i="15"/>
  <c r="V431" i="15"/>
  <c r="V432" i="15"/>
  <c r="V433" i="15"/>
  <c r="V434" i="15"/>
  <c r="V435" i="15"/>
  <c r="V436" i="15"/>
  <c r="V437" i="15"/>
  <c r="V438" i="15"/>
  <c r="V439" i="15"/>
  <c r="V440" i="15"/>
  <c r="V441" i="15"/>
  <c r="V442" i="15"/>
  <c r="V443" i="15"/>
  <c r="V444" i="15"/>
  <c r="V445" i="15"/>
  <c r="V446" i="15"/>
  <c r="V447" i="15"/>
  <c r="V448" i="15"/>
  <c r="V449" i="15"/>
  <c r="V450" i="15"/>
  <c r="V451" i="15"/>
  <c r="V452" i="15"/>
  <c r="V453" i="15"/>
  <c r="V454" i="15"/>
  <c r="V455" i="15"/>
  <c r="V456" i="15"/>
  <c r="V457" i="15"/>
  <c r="V458" i="15"/>
  <c r="V459" i="15"/>
  <c r="V460" i="15"/>
  <c r="V461" i="15"/>
  <c r="V462" i="15"/>
  <c r="V463" i="15"/>
  <c r="V464" i="15"/>
  <c r="V465" i="15"/>
  <c r="V466" i="15"/>
  <c r="V467" i="15"/>
  <c r="V468" i="15"/>
  <c r="V469" i="15"/>
  <c r="V470" i="15"/>
  <c r="V471" i="15"/>
  <c r="V472" i="15"/>
  <c r="V473" i="15"/>
  <c r="V474" i="15"/>
  <c r="V475" i="15"/>
  <c r="V476" i="15"/>
  <c r="V477" i="15"/>
  <c r="V478" i="15"/>
  <c r="V479" i="15"/>
  <c r="V480" i="15"/>
  <c r="V481" i="15"/>
  <c r="V482" i="15"/>
  <c r="V483" i="15"/>
  <c r="V484" i="15"/>
  <c r="V485" i="15"/>
  <c r="V486" i="15"/>
  <c r="V487" i="15"/>
  <c r="V488" i="15"/>
  <c r="V489" i="15"/>
  <c r="V490" i="15"/>
  <c r="V491" i="15"/>
  <c r="V492" i="15"/>
  <c r="V493" i="15"/>
  <c r="V494" i="15"/>
  <c r="V495" i="15"/>
  <c r="V496" i="15"/>
  <c r="V497" i="15"/>
  <c r="V498" i="15"/>
  <c r="V499" i="15"/>
  <c r="V500" i="15"/>
  <c r="V501" i="15"/>
  <c r="V502" i="15"/>
  <c r="V503" i="15"/>
  <c r="V504" i="15"/>
  <c r="V505" i="15"/>
  <c r="V506" i="15"/>
  <c r="V507" i="15"/>
  <c r="V508" i="15"/>
  <c r="V509" i="15"/>
  <c r="V510" i="15"/>
  <c r="V511" i="15"/>
  <c r="V512" i="15"/>
  <c r="V513" i="15"/>
  <c r="V514" i="15"/>
  <c r="V515" i="15"/>
  <c r="V516" i="15"/>
  <c r="V517" i="15"/>
  <c r="V518" i="15"/>
  <c r="V519" i="15"/>
  <c r="V520" i="15"/>
  <c r="V521" i="15"/>
  <c r="V522" i="15"/>
  <c r="V523" i="15"/>
  <c r="V524" i="15"/>
  <c r="V525" i="15"/>
  <c r="V526" i="15"/>
  <c r="V527" i="15"/>
  <c r="V528" i="15"/>
  <c r="V529" i="15"/>
  <c r="V530" i="15"/>
  <c r="V531" i="15"/>
  <c r="V532" i="15"/>
  <c r="V533" i="15"/>
  <c r="V534" i="15"/>
  <c r="V535" i="15"/>
  <c r="V536" i="15"/>
  <c r="V537" i="15"/>
  <c r="V538" i="15"/>
  <c r="V539" i="15"/>
  <c r="V540" i="15"/>
  <c r="V541" i="15"/>
  <c r="V542" i="15"/>
  <c r="V543" i="15"/>
  <c r="V544" i="15"/>
  <c r="V545" i="15"/>
  <c r="V546" i="15"/>
  <c r="V547" i="15"/>
  <c r="V548" i="15"/>
  <c r="V549" i="15"/>
  <c r="V550" i="15"/>
  <c r="V551" i="15"/>
  <c r="V552" i="15"/>
  <c r="V553" i="15"/>
  <c r="V554" i="15"/>
  <c r="V555" i="15"/>
  <c r="V556" i="15"/>
  <c r="V557" i="15"/>
  <c r="V558" i="15"/>
  <c r="V559" i="15"/>
  <c r="V560" i="15"/>
  <c r="V561" i="15"/>
  <c r="V562" i="15"/>
  <c r="V563" i="15"/>
  <c r="V564" i="15"/>
  <c r="V565" i="15"/>
  <c r="V566" i="15"/>
  <c r="V567" i="15"/>
  <c r="V568" i="15"/>
  <c r="V569" i="15"/>
  <c r="V570" i="15"/>
  <c r="V571" i="15"/>
  <c r="V572" i="15"/>
  <c r="V573" i="15"/>
  <c r="V574" i="15"/>
  <c r="V575" i="15"/>
  <c r="V576" i="15"/>
  <c r="V577" i="15"/>
  <c r="V578" i="15"/>
  <c r="V579" i="15"/>
  <c r="V580" i="15"/>
  <c r="V581" i="15"/>
  <c r="V582" i="15"/>
  <c r="V583" i="15"/>
  <c r="V584" i="15"/>
  <c r="V585" i="15"/>
  <c r="V586" i="15"/>
  <c r="V587" i="15"/>
  <c r="V588" i="15"/>
  <c r="V589" i="15"/>
  <c r="V590" i="15"/>
  <c r="V591" i="15"/>
  <c r="V592" i="15"/>
  <c r="V593" i="15"/>
  <c r="V594" i="15"/>
  <c r="V595" i="15"/>
  <c r="V596" i="15"/>
  <c r="V597" i="15"/>
  <c r="V598" i="15"/>
  <c r="V599" i="15"/>
  <c r="V600" i="15"/>
  <c r="V601" i="15"/>
  <c r="V602" i="15"/>
  <c r="V603" i="15"/>
  <c r="V604" i="15"/>
  <c r="V605" i="15"/>
  <c r="V606" i="15"/>
  <c r="V607" i="15"/>
  <c r="V608" i="15"/>
  <c r="V609" i="15"/>
  <c r="V610" i="15"/>
  <c r="V611" i="15"/>
  <c r="V612" i="15"/>
  <c r="V613" i="15"/>
  <c r="V614" i="15"/>
  <c r="V615" i="15"/>
  <c r="V616" i="15"/>
  <c r="V617" i="15"/>
  <c r="V618" i="15"/>
  <c r="V619" i="15"/>
  <c r="V620" i="15"/>
  <c r="V621" i="15"/>
  <c r="V622" i="15"/>
  <c r="V623" i="15"/>
  <c r="V624" i="15"/>
  <c r="V625" i="15"/>
  <c r="V626" i="15"/>
  <c r="V627" i="15"/>
  <c r="V628" i="15"/>
  <c r="V629" i="15"/>
  <c r="V630" i="15"/>
  <c r="V631" i="15"/>
  <c r="V632" i="15"/>
  <c r="V633" i="15"/>
  <c r="V634" i="15"/>
  <c r="V635" i="15"/>
  <c r="V636" i="15"/>
  <c r="V637" i="15"/>
  <c r="V638" i="15"/>
  <c r="V639" i="15"/>
  <c r="V640" i="15"/>
  <c r="V641" i="15"/>
  <c r="V642" i="15"/>
  <c r="V643" i="15"/>
  <c r="V644" i="15"/>
  <c r="V645" i="15"/>
  <c r="V646" i="15"/>
  <c r="V647" i="15"/>
  <c r="V648" i="15"/>
  <c r="V649" i="15"/>
  <c r="V650" i="15"/>
  <c r="V651" i="15"/>
  <c r="V652" i="15"/>
  <c r="V653" i="15"/>
  <c r="V654" i="15"/>
  <c r="V655" i="15"/>
  <c r="V656" i="15"/>
  <c r="V657" i="15"/>
  <c r="V658" i="15"/>
  <c r="V659" i="15"/>
  <c r="V660" i="15"/>
  <c r="V661" i="15"/>
  <c r="V662" i="15"/>
  <c r="V663" i="15"/>
  <c r="V664" i="15"/>
  <c r="V665" i="15"/>
  <c r="V666" i="15"/>
  <c r="V667" i="15"/>
  <c r="V668" i="15"/>
  <c r="V669" i="15"/>
  <c r="V670" i="15"/>
  <c r="V671" i="15"/>
  <c r="V672" i="15"/>
  <c r="V673" i="15"/>
  <c r="V674" i="15"/>
  <c r="V675" i="15"/>
  <c r="V676" i="15"/>
  <c r="V677" i="15"/>
  <c r="V678" i="15"/>
  <c r="V679" i="15"/>
  <c r="V680" i="15"/>
  <c r="V681" i="15"/>
  <c r="V682" i="15"/>
  <c r="V683" i="15"/>
  <c r="V684" i="15"/>
  <c r="V685" i="15"/>
  <c r="V686" i="15"/>
  <c r="V687" i="15"/>
  <c r="V688" i="15"/>
  <c r="V689" i="15"/>
  <c r="V690" i="15"/>
  <c r="V691" i="15"/>
  <c r="V692" i="15"/>
  <c r="V693" i="15"/>
  <c r="V694" i="15"/>
  <c r="V695" i="15"/>
  <c r="V696" i="15"/>
  <c r="V697" i="15"/>
  <c r="V698" i="15"/>
  <c r="V699" i="15"/>
  <c r="V700" i="15"/>
  <c r="V701" i="15"/>
  <c r="V702" i="15"/>
  <c r="V703" i="15"/>
  <c r="V704" i="15"/>
  <c r="V705" i="15"/>
  <c r="V706" i="15"/>
  <c r="V707" i="15"/>
  <c r="V708" i="15"/>
  <c r="V709" i="15"/>
  <c r="V710" i="15"/>
  <c r="V711" i="15"/>
  <c r="V712" i="15"/>
  <c r="V713" i="15"/>
  <c r="V714" i="15"/>
  <c r="V715" i="15"/>
  <c r="V716" i="15"/>
  <c r="V717" i="15"/>
  <c r="V718" i="15"/>
  <c r="V719" i="15"/>
  <c r="V720" i="15"/>
  <c r="V721" i="15"/>
  <c r="V722" i="15"/>
  <c r="V723" i="15"/>
  <c r="V724" i="15"/>
  <c r="V725" i="15"/>
  <c r="V726" i="15"/>
  <c r="V727" i="15"/>
  <c r="V728" i="15"/>
  <c r="V729" i="15"/>
  <c r="V730" i="15"/>
  <c r="V731" i="15"/>
  <c r="V732" i="15"/>
  <c r="V733" i="15"/>
  <c r="V734" i="15"/>
  <c r="V735" i="15"/>
  <c r="V736" i="15"/>
  <c r="V737" i="15"/>
  <c r="V738" i="15"/>
  <c r="V739" i="15"/>
  <c r="V740" i="15"/>
  <c r="V741" i="15"/>
  <c r="V742" i="15"/>
  <c r="V743" i="15"/>
  <c r="V744" i="15"/>
  <c r="V745" i="15"/>
  <c r="V746" i="15"/>
  <c r="V747" i="15"/>
  <c r="V748" i="15"/>
  <c r="V749" i="15"/>
  <c r="V750" i="15"/>
  <c r="V751" i="15"/>
  <c r="V752" i="15"/>
  <c r="V753" i="15"/>
  <c r="V754" i="15"/>
  <c r="V755" i="15"/>
  <c r="V756" i="15"/>
  <c r="V757" i="15"/>
  <c r="V758" i="15"/>
  <c r="V759" i="15"/>
  <c r="V760" i="15"/>
  <c r="V761" i="15"/>
  <c r="V762" i="15"/>
  <c r="V763" i="15"/>
  <c r="V764" i="15"/>
  <c r="V765" i="15"/>
  <c r="V766" i="15"/>
  <c r="V767" i="15"/>
  <c r="V768" i="15"/>
  <c r="V769" i="15"/>
  <c r="V770" i="15"/>
  <c r="V771" i="15"/>
  <c r="V772" i="15"/>
  <c r="V773" i="15"/>
  <c r="V774" i="15"/>
  <c r="V775" i="15"/>
  <c r="V776" i="15"/>
  <c r="V777" i="15"/>
  <c r="V778" i="15"/>
  <c r="V779" i="15"/>
  <c r="V780" i="15"/>
  <c r="V781" i="15"/>
  <c r="V782" i="15"/>
  <c r="V783" i="15"/>
  <c r="V784" i="15"/>
  <c r="V785" i="15"/>
  <c r="V786" i="15"/>
  <c r="V787" i="15"/>
  <c r="V788" i="15"/>
  <c r="V789" i="15"/>
  <c r="V790" i="15"/>
  <c r="V791" i="15"/>
  <c r="V792" i="15"/>
  <c r="V793" i="15"/>
  <c r="V794" i="15"/>
  <c r="V795" i="15"/>
  <c r="V796" i="15"/>
  <c r="V797" i="15"/>
  <c r="V798" i="15"/>
  <c r="V799" i="15"/>
  <c r="V800" i="15"/>
  <c r="V801" i="15"/>
  <c r="V802" i="15"/>
  <c r="V803" i="15"/>
  <c r="V804" i="15"/>
  <c r="V805" i="15"/>
  <c r="V806" i="15"/>
  <c r="V807" i="15"/>
  <c r="V808" i="15"/>
  <c r="V809" i="15"/>
  <c r="V810" i="15"/>
  <c r="V811" i="15"/>
  <c r="V812" i="15"/>
  <c r="V813" i="15"/>
  <c r="V814" i="15"/>
  <c r="V815" i="15"/>
  <c r="V816" i="15"/>
  <c r="V817" i="15"/>
  <c r="V818" i="15"/>
  <c r="V819" i="15"/>
  <c r="V820" i="15"/>
  <c r="V821" i="15"/>
  <c r="V822" i="15"/>
  <c r="V823" i="15"/>
  <c r="V824" i="15"/>
  <c r="V825" i="15"/>
  <c r="V826" i="15"/>
  <c r="V827" i="15"/>
  <c r="V828" i="15"/>
  <c r="V829" i="15"/>
  <c r="V830" i="15"/>
  <c r="V831" i="15"/>
  <c r="V832" i="15"/>
  <c r="V833" i="15"/>
  <c r="V834" i="15"/>
  <c r="V835" i="15"/>
  <c r="V836" i="15"/>
  <c r="V837" i="15"/>
  <c r="V838" i="15"/>
  <c r="V839" i="15"/>
  <c r="V840" i="15"/>
  <c r="V841" i="15"/>
  <c r="V842" i="15"/>
  <c r="V843" i="15"/>
  <c r="V844" i="15"/>
  <c r="V845" i="15"/>
  <c r="V846" i="15"/>
  <c r="V847" i="15"/>
  <c r="V848" i="15"/>
  <c r="V849" i="15"/>
  <c r="V850" i="15"/>
  <c r="V851" i="15"/>
  <c r="V852" i="15"/>
  <c r="V853" i="15"/>
  <c r="V854" i="15"/>
  <c r="V855" i="15"/>
  <c r="V856" i="15"/>
  <c r="V857" i="15"/>
  <c r="V858" i="15"/>
  <c r="V859" i="15"/>
  <c r="V860" i="15"/>
  <c r="V861" i="15"/>
  <c r="V862" i="15"/>
  <c r="V863" i="15"/>
  <c r="V864" i="15"/>
  <c r="V865" i="15"/>
  <c r="V866" i="15"/>
  <c r="V867" i="15"/>
  <c r="V868" i="15"/>
  <c r="V869" i="15"/>
  <c r="V870" i="15"/>
  <c r="V871" i="15"/>
  <c r="V872" i="15"/>
  <c r="V873" i="15"/>
  <c r="V874" i="15"/>
  <c r="V875" i="15"/>
  <c r="V876" i="15"/>
  <c r="V877" i="15"/>
  <c r="V878" i="15"/>
  <c r="V879" i="15"/>
  <c r="V880" i="15"/>
  <c r="V881" i="15"/>
  <c r="V882" i="15"/>
  <c r="V883" i="15"/>
  <c r="V884" i="15"/>
  <c r="V885" i="15"/>
  <c r="V886" i="15"/>
  <c r="V887" i="15"/>
  <c r="V888" i="15"/>
  <c r="V889" i="15"/>
  <c r="V890" i="15"/>
  <c r="V891" i="15"/>
  <c r="V892" i="15"/>
  <c r="V893" i="15"/>
  <c r="V894" i="15"/>
  <c r="V895" i="15"/>
  <c r="V896" i="15"/>
  <c r="V897" i="15"/>
  <c r="V898" i="15"/>
  <c r="V899" i="15"/>
  <c r="V900" i="15"/>
  <c r="V901" i="15"/>
  <c r="V902" i="15"/>
  <c r="V903" i="15"/>
  <c r="V904" i="15"/>
  <c r="V905" i="15"/>
  <c r="V906" i="15"/>
  <c r="V907" i="15"/>
  <c r="V908" i="15"/>
  <c r="V909" i="15"/>
  <c r="V910" i="15"/>
  <c r="V911" i="15"/>
  <c r="V912" i="15"/>
  <c r="V913" i="15"/>
  <c r="V914" i="15"/>
  <c r="V915" i="15"/>
  <c r="V916" i="15"/>
  <c r="V917" i="15"/>
  <c r="V918" i="15"/>
  <c r="V919" i="15"/>
  <c r="V920" i="15"/>
  <c r="V921" i="15"/>
  <c r="V922" i="15"/>
  <c r="V923" i="15"/>
  <c r="V924" i="15"/>
  <c r="V925" i="15"/>
  <c r="V926" i="15"/>
  <c r="V927" i="15"/>
  <c r="V928" i="15"/>
  <c r="V929" i="15"/>
  <c r="V930" i="15"/>
  <c r="V931" i="15"/>
  <c r="V932" i="15"/>
  <c r="V933" i="15"/>
  <c r="V934" i="15"/>
  <c r="V935" i="15"/>
  <c r="V936" i="15"/>
  <c r="V937" i="15"/>
  <c r="V938" i="15"/>
  <c r="V939" i="15"/>
  <c r="V940" i="15"/>
  <c r="V941" i="15"/>
  <c r="V942" i="15"/>
  <c r="V943" i="15"/>
  <c r="V944" i="15"/>
  <c r="V945" i="15"/>
  <c r="V946" i="15"/>
  <c r="V947" i="15"/>
  <c r="V948" i="15"/>
  <c r="V949" i="15"/>
  <c r="V950" i="15"/>
  <c r="V951" i="15"/>
  <c r="V952" i="15"/>
  <c r="V953" i="15"/>
  <c r="V954" i="15"/>
  <c r="V955" i="15"/>
  <c r="V956" i="15"/>
  <c r="V957" i="15"/>
  <c r="V958" i="15"/>
  <c r="V959" i="15"/>
  <c r="V960" i="15"/>
  <c r="V961" i="15"/>
  <c r="V962" i="15"/>
  <c r="V963" i="15"/>
  <c r="V964" i="15"/>
  <c r="V965" i="15"/>
  <c r="V966" i="15"/>
  <c r="V967" i="15"/>
  <c r="V968" i="15"/>
  <c r="V969" i="15"/>
  <c r="V970" i="15"/>
  <c r="V971" i="15"/>
  <c r="V972" i="15"/>
  <c r="V973" i="15"/>
  <c r="V974" i="15"/>
  <c r="V975" i="15"/>
  <c r="V976" i="15"/>
  <c r="V977" i="15"/>
  <c r="V978" i="15"/>
  <c r="V979" i="15"/>
  <c r="V980" i="15"/>
  <c r="V981" i="15"/>
  <c r="V982" i="15"/>
  <c r="V983" i="15"/>
  <c r="V984" i="15"/>
  <c r="V985" i="15"/>
  <c r="V986" i="15"/>
  <c r="V987" i="15"/>
  <c r="V988" i="15"/>
  <c r="V989" i="15"/>
  <c r="V990" i="15"/>
  <c r="V991" i="15"/>
  <c r="V992" i="15"/>
  <c r="V993" i="15"/>
  <c r="V994" i="15"/>
  <c r="V995" i="15"/>
  <c r="V996" i="15"/>
  <c r="V997" i="15"/>
  <c r="V998" i="15"/>
  <c r="V999" i="15"/>
  <c r="V1000" i="15"/>
  <c r="V1001" i="15"/>
  <c r="V1002" i="15"/>
  <c r="V1003" i="15"/>
  <c r="V1004" i="15"/>
  <c r="V1005" i="15"/>
  <c r="V1006" i="15"/>
  <c r="V1007" i="15"/>
  <c r="V1008" i="15"/>
  <c r="V1009" i="15"/>
  <c r="V1010" i="15"/>
  <c r="V1011" i="15"/>
  <c r="V1012" i="15"/>
  <c r="V1013" i="15"/>
  <c r="V1014" i="15"/>
  <c r="V1015" i="15"/>
  <c r="V1016" i="15"/>
  <c r="V1017" i="15"/>
  <c r="V1018" i="15"/>
  <c r="V1019" i="15"/>
  <c r="V1020" i="15"/>
  <c r="V1021" i="15"/>
  <c r="U2" i="15"/>
  <c r="U3" i="15"/>
  <c r="U4" i="15"/>
  <c r="U5" i="15"/>
  <c r="U6" i="15"/>
  <c r="U7" i="15"/>
  <c r="U8" i="15"/>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U84" i="15"/>
  <c r="U85" i="15"/>
  <c r="U86" i="15"/>
  <c r="U87" i="15"/>
  <c r="U88" i="15"/>
  <c r="U89" i="15"/>
  <c r="U90" i="15"/>
  <c r="U91" i="15"/>
  <c r="U92" i="15"/>
  <c r="U93" i="15"/>
  <c r="U94" i="15"/>
  <c r="U95" i="15"/>
  <c r="U96" i="15"/>
  <c r="U97" i="15"/>
  <c r="U98" i="15"/>
  <c r="U99" i="15"/>
  <c r="U100" i="15"/>
  <c r="U101" i="15"/>
  <c r="U102" i="15"/>
  <c r="U103" i="15"/>
  <c r="U104" i="15"/>
  <c r="U105" i="15"/>
  <c r="U106" i="15"/>
  <c r="U107" i="15"/>
  <c r="U108" i="15"/>
  <c r="U109" i="15"/>
  <c r="U110" i="15"/>
  <c r="U111" i="15"/>
  <c r="U112" i="15"/>
  <c r="U113" i="15"/>
  <c r="U114" i="15"/>
  <c r="U115" i="15"/>
  <c r="U116" i="15"/>
  <c r="U117" i="15"/>
  <c r="U118" i="15"/>
  <c r="U119" i="15"/>
  <c r="U120" i="15"/>
  <c r="U121" i="15"/>
  <c r="U122" i="15"/>
  <c r="U123" i="15"/>
  <c r="U124" i="15"/>
  <c r="U125" i="15"/>
  <c r="U126" i="15"/>
  <c r="U127" i="15"/>
  <c r="U128" i="15"/>
  <c r="U129" i="15"/>
  <c r="U130" i="15"/>
  <c r="U131" i="15"/>
  <c r="U132" i="15"/>
  <c r="U133" i="15"/>
  <c r="U134" i="15"/>
  <c r="U135" i="15"/>
  <c r="U136" i="15"/>
  <c r="U137" i="15"/>
  <c r="U138" i="15"/>
  <c r="U139" i="15"/>
  <c r="U140" i="15"/>
  <c r="U141" i="15"/>
  <c r="U142" i="15"/>
  <c r="U143" i="15"/>
  <c r="U144" i="15"/>
  <c r="U145" i="15"/>
  <c r="U146" i="15"/>
  <c r="U147" i="15"/>
  <c r="U148" i="15"/>
  <c r="U149" i="15"/>
  <c r="U150" i="15"/>
  <c r="U151" i="15"/>
  <c r="U152" i="15"/>
  <c r="U153" i="15"/>
  <c r="U154" i="15"/>
  <c r="U155" i="15"/>
  <c r="U156" i="15"/>
  <c r="U157" i="15"/>
  <c r="U158" i="15"/>
  <c r="U159" i="15"/>
  <c r="U160" i="15"/>
  <c r="U161" i="15"/>
  <c r="U162" i="15"/>
  <c r="U163" i="15"/>
  <c r="U164" i="15"/>
  <c r="U165" i="15"/>
  <c r="U166" i="15"/>
  <c r="U167" i="15"/>
  <c r="U168" i="15"/>
  <c r="U169" i="15"/>
  <c r="U170" i="15"/>
  <c r="U171" i="15"/>
  <c r="U172" i="15"/>
  <c r="U173" i="15"/>
  <c r="U174" i="15"/>
  <c r="U175" i="15"/>
  <c r="U176" i="15"/>
  <c r="U177" i="15"/>
  <c r="U178" i="15"/>
  <c r="U179" i="15"/>
  <c r="U180" i="15"/>
  <c r="U181" i="15"/>
  <c r="U182" i="15"/>
  <c r="U183" i="15"/>
  <c r="U184" i="15"/>
  <c r="U185" i="15"/>
  <c r="U186" i="15"/>
  <c r="U187" i="15"/>
  <c r="U188" i="15"/>
  <c r="U189" i="15"/>
  <c r="U190" i="15"/>
  <c r="U191" i="15"/>
  <c r="U192" i="15"/>
  <c r="U193" i="15"/>
  <c r="U194" i="15"/>
  <c r="U195" i="15"/>
  <c r="U196" i="15"/>
  <c r="U197" i="15"/>
  <c r="U198" i="15"/>
  <c r="U199" i="15"/>
  <c r="U200" i="15"/>
  <c r="U201" i="15"/>
  <c r="U202" i="15"/>
  <c r="U203" i="15"/>
  <c r="U204" i="15"/>
  <c r="U205" i="15"/>
  <c r="U206" i="15"/>
  <c r="U207" i="15"/>
  <c r="U208" i="15"/>
  <c r="U209" i="15"/>
  <c r="U210" i="15"/>
  <c r="U211" i="15"/>
  <c r="U212" i="15"/>
  <c r="U213" i="15"/>
  <c r="U214" i="15"/>
  <c r="U215" i="15"/>
  <c r="U216" i="15"/>
  <c r="U217" i="15"/>
  <c r="U218" i="15"/>
  <c r="U219" i="15"/>
  <c r="U220" i="15"/>
  <c r="U221" i="15"/>
  <c r="U222" i="15"/>
  <c r="U223" i="15"/>
  <c r="U224" i="15"/>
  <c r="U225" i="15"/>
  <c r="U226" i="15"/>
  <c r="U227" i="15"/>
  <c r="U228" i="15"/>
  <c r="U229" i="15"/>
  <c r="U230" i="15"/>
  <c r="U231" i="15"/>
  <c r="U232" i="15"/>
  <c r="U233" i="15"/>
  <c r="U234" i="15"/>
  <c r="U235" i="15"/>
  <c r="U236" i="15"/>
  <c r="U237" i="15"/>
  <c r="U238" i="15"/>
  <c r="U239" i="15"/>
  <c r="U240" i="15"/>
  <c r="U241" i="15"/>
  <c r="U242" i="15"/>
  <c r="U243" i="15"/>
  <c r="U244" i="15"/>
  <c r="U245" i="15"/>
  <c r="U246" i="15"/>
  <c r="U247" i="15"/>
  <c r="U248" i="15"/>
  <c r="U249" i="15"/>
  <c r="U250" i="15"/>
  <c r="U251" i="15"/>
  <c r="U252" i="15"/>
  <c r="U253" i="15"/>
  <c r="U254" i="15"/>
  <c r="U255" i="15"/>
  <c r="U256" i="15"/>
  <c r="U257" i="15"/>
  <c r="U258" i="15"/>
  <c r="U259" i="15"/>
  <c r="U260" i="15"/>
  <c r="U261" i="15"/>
  <c r="U262" i="15"/>
  <c r="U263" i="15"/>
  <c r="U264" i="15"/>
  <c r="U265" i="15"/>
  <c r="U266" i="15"/>
  <c r="U267" i="15"/>
  <c r="U268" i="15"/>
  <c r="U269" i="15"/>
  <c r="U270" i="15"/>
  <c r="U271" i="15"/>
  <c r="U272" i="15"/>
  <c r="U273" i="15"/>
  <c r="U274" i="15"/>
  <c r="U275" i="15"/>
  <c r="U276" i="15"/>
  <c r="U277" i="15"/>
  <c r="U278" i="15"/>
  <c r="U279" i="15"/>
  <c r="U280" i="15"/>
  <c r="U281" i="15"/>
  <c r="U282" i="15"/>
  <c r="U283" i="15"/>
  <c r="U284" i="15"/>
  <c r="U285" i="15"/>
  <c r="U286" i="15"/>
  <c r="U287" i="15"/>
  <c r="U288" i="15"/>
  <c r="U289" i="15"/>
  <c r="U290" i="15"/>
  <c r="U291" i="15"/>
  <c r="U292" i="15"/>
  <c r="U293" i="15"/>
  <c r="U294" i="15"/>
  <c r="U295" i="15"/>
  <c r="U296" i="15"/>
  <c r="U297" i="15"/>
  <c r="U298" i="15"/>
  <c r="U299" i="15"/>
  <c r="U300" i="15"/>
  <c r="U301" i="15"/>
  <c r="U302" i="15"/>
  <c r="U303" i="15"/>
  <c r="U304" i="15"/>
  <c r="U305" i="15"/>
  <c r="U306" i="15"/>
  <c r="U307" i="15"/>
  <c r="U308" i="15"/>
  <c r="U309" i="15"/>
  <c r="U310" i="15"/>
  <c r="U311" i="15"/>
  <c r="U312" i="15"/>
  <c r="U313" i="15"/>
  <c r="U314" i="15"/>
  <c r="U315" i="15"/>
  <c r="U316" i="15"/>
  <c r="U317" i="15"/>
  <c r="U318" i="15"/>
  <c r="U319" i="15"/>
  <c r="U320" i="15"/>
  <c r="U321" i="15"/>
  <c r="U322" i="15"/>
  <c r="U323" i="15"/>
  <c r="U324" i="15"/>
  <c r="U325" i="15"/>
  <c r="U326" i="15"/>
  <c r="U327" i="15"/>
  <c r="U328" i="15"/>
  <c r="U329" i="15"/>
  <c r="U330" i="15"/>
  <c r="U331" i="15"/>
  <c r="U332" i="15"/>
  <c r="U333" i="15"/>
  <c r="U334" i="15"/>
  <c r="U335" i="15"/>
  <c r="U336" i="15"/>
  <c r="U337" i="15"/>
  <c r="U338" i="15"/>
  <c r="U339" i="15"/>
  <c r="U340" i="15"/>
  <c r="U341" i="15"/>
  <c r="U342" i="15"/>
  <c r="U343" i="15"/>
  <c r="U344" i="15"/>
  <c r="U345" i="15"/>
  <c r="U346" i="15"/>
  <c r="U347" i="15"/>
  <c r="U348" i="15"/>
  <c r="U349" i="15"/>
  <c r="U350" i="15"/>
  <c r="U351" i="15"/>
  <c r="U352" i="15"/>
  <c r="U353" i="15"/>
  <c r="U354" i="15"/>
  <c r="U355" i="15"/>
  <c r="U356" i="15"/>
  <c r="U357" i="15"/>
  <c r="U358" i="15"/>
  <c r="U359" i="15"/>
  <c r="U360" i="15"/>
  <c r="U361" i="15"/>
  <c r="U362" i="15"/>
  <c r="U363" i="15"/>
  <c r="U364" i="15"/>
  <c r="U365" i="15"/>
  <c r="U366" i="15"/>
  <c r="U367" i="15"/>
  <c r="U368" i="15"/>
  <c r="U369" i="15"/>
  <c r="U370" i="15"/>
  <c r="U371" i="15"/>
  <c r="U372" i="15"/>
  <c r="U373" i="15"/>
  <c r="U374" i="15"/>
  <c r="U375" i="15"/>
  <c r="U376" i="15"/>
  <c r="U377" i="15"/>
  <c r="U378" i="15"/>
  <c r="U379" i="15"/>
  <c r="U380" i="15"/>
  <c r="U381" i="15"/>
  <c r="U382" i="15"/>
  <c r="U383" i="15"/>
  <c r="U384" i="15"/>
  <c r="U385" i="15"/>
  <c r="U386" i="15"/>
  <c r="U387" i="15"/>
  <c r="U388" i="15"/>
  <c r="U389" i="15"/>
  <c r="U390" i="15"/>
  <c r="U391" i="15"/>
  <c r="U392" i="15"/>
  <c r="U393" i="15"/>
  <c r="U394" i="15"/>
  <c r="U395" i="15"/>
  <c r="U396" i="15"/>
  <c r="U397" i="15"/>
  <c r="U398" i="15"/>
  <c r="U399" i="15"/>
  <c r="U400" i="15"/>
  <c r="U401" i="15"/>
  <c r="U402" i="15"/>
  <c r="U403" i="15"/>
  <c r="U404" i="15"/>
  <c r="U405" i="15"/>
  <c r="U406" i="15"/>
  <c r="U407" i="15"/>
  <c r="U408" i="15"/>
  <c r="U409" i="15"/>
  <c r="U410" i="15"/>
  <c r="U411" i="15"/>
  <c r="U412" i="15"/>
  <c r="U413" i="15"/>
  <c r="U414" i="15"/>
  <c r="U415" i="15"/>
  <c r="U416" i="15"/>
  <c r="U417" i="15"/>
  <c r="U418" i="15"/>
  <c r="U419" i="15"/>
  <c r="U420" i="15"/>
  <c r="U421" i="15"/>
  <c r="U422" i="15"/>
  <c r="U423" i="15"/>
  <c r="U424" i="15"/>
  <c r="U425" i="15"/>
  <c r="U426" i="15"/>
  <c r="U427" i="15"/>
  <c r="U428" i="15"/>
  <c r="U429" i="15"/>
  <c r="U430" i="15"/>
  <c r="U431" i="15"/>
  <c r="U432" i="15"/>
  <c r="U433" i="15"/>
  <c r="U434" i="15"/>
  <c r="U435" i="15"/>
  <c r="U436" i="15"/>
  <c r="U437" i="15"/>
  <c r="U438" i="15"/>
  <c r="U439" i="15"/>
  <c r="U440" i="15"/>
  <c r="U441" i="15"/>
  <c r="U442" i="15"/>
  <c r="U443" i="15"/>
  <c r="U444" i="15"/>
  <c r="U445" i="15"/>
  <c r="U446" i="15"/>
  <c r="U447" i="15"/>
  <c r="U448" i="15"/>
  <c r="U449" i="15"/>
  <c r="U450" i="15"/>
  <c r="U451" i="15"/>
  <c r="U452" i="15"/>
  <c r="U453" i="15"/>
  <c r="U454" i="15"/>
  <c r="U455" i="15"/>
  <c r="U456" i="15"/>
  <c r="U457" i="15"/>
  <c r="U458" i="15"/>
  <c r="U459" i="15"/>
  <c r="U460" i="15"/>
  <c r="U461" i="15"/>
  <c r="U462" i="15"/>
  <c r="U463" i="15"/>
  <c r="U464" i="15"/>
  <c r="U465" i="15"/>
  <c r="U466" i="15"/>
  <c r="U467" i="15"/>
  <c r="U468" i="15"/>
  <c r="U469" i="15"/>
  <c r="U470" i="15"/>
  <c r="U471" i="15"/>
  <c r="U472" i="15"/>
  <c r="U473" i="15"/>
  <c r="U474" i="15"/>
  <c r="U475" i="15"/>
  <c r="U476" i="15"/>
  <c r="U477" i="15"/>
  <c r="U478" i="15"/>
  <c r="U479" i="15"/>
  <c r="U480" i="15"/>
  <c r="U481" i="15"/>
  <c r="U482" i="15"/>
  <c r="U483" i="15"/>
  <c r="U484" i="15"/>
  <c r="U485" i="15"/>
  <c r="U486" i="15"/>
  <c r="U487" i="15"/>
  <c r="U488" i="15"/>
  <c r="U489" i="15"/>
  <c r="U490" i="15"/>
  <c r="U491" i="15"/>
  <c r="U492" i="15"/>
  <c r="U493" i="15"/>
  <c r="U494" i="15"/>
  <c r="U495" i="15"/>
  <c r="U496" i="15"/>
  <c r="U497" i="15"/>
  <c r="U498" i="15"/>
  <c r="U499" i="15"/>
  <c r="U500" i="15"/>
  <c r="U501" i="15"/>
  <c r="U502" i="15"/>
  <c r="U503" i="15"/>
  <c r="U504" i="15"/>
  <c r="U505" i="15"/>
  <c r="U506" i="15"/>
  <c r="U507" i="15"/>
  <c r="U508" i="15"/>
  <c r="U509" i="15"/>
  <c r="U510" i="15"/>
  <c r="U511" i="15"/>
  <c r="U512" i="15"/>
  <c r="U513" i="15"/>
  <c r="U514" i="15"/>
  <c r="U515" i="15"/>
  <c r="U516" i="15"/>
  <c r="U517" i="15"/>
  <c r="U518" i="15"/>
  <c r="U519" i="15"/>
  <c r="U520" i="15"/>
  <c r="U521" i="15"/>
  <c r="U522" i="15"/>
  <c r="U523" i="15"/>
  <c r="U524" i="15"/>
  <c r="U525" i="15"/>
  <c r="U526" i="15"/>
  <c r="U527" i="15"/>
  <c r="U528" i="15"/>
  <c r="U529" i="15"/>
  <c r="U530" i="15"/>
  <c r="U531" i="15"/>
  <c r="U532" i="15"/>
  <c r="U533" i="15"/>
  <c r="U534" i="15"/>
  <c r="U535" i="15"/>
  <c r="U536" i="15"/>
  <c r="U537" i="15"/>
  <c r="U538" i="15"/>
  <c r="U539" i="15"/>
  <c r="U540" i="15"/>
  <c r="U541" i="15"/>
  <c r="U542" i="15"/>
  <c r="U543" i="15"/>
  <c r="U544" i="15"/>
  <c r="U545" i="15"/>
  <c r="U546" i="15"/>
  <c r="U547" i="15"/>
  <c r="U548" i="15"/>
  <c r="U549" i="15"/>
  <c r="U550" i="15"/>
  <c r="U551" i="15"/>
  <c r="U552" i="15"/>
  <c r="U553" i="15"/>
  <c r="U554" i="15"/>
  <c r="U555" i="15"/>
  <c r="U556" i="15"/>
  <c r="U557" i="15"/>
  <c r="U558" i="15"/>
  <c r="U559" i="15"/>
  <c r="U560" i="15"/>
  <c r="U561" i="15"/>
  <c r="U562" i="15"/>
  <c r="U563" i="15"/>
  <c r="U564" i="15"/>
  <c r="U565" i="15"/>
  <c r="U566" i="15"/>
  <c r="U567" i="15"/>
  <c r="U568" i="15"/>
  <c r="U569" i="15"/>
  <c r="U570" i="15"/>
  <c r="U571" i="15"/>
  <c r="U572" i="15"/>
  <c r="U573" i="15"/>
  <c r="U574" i="15"/>
  <c r="U575" i="15"/>
  <c r="U576" i="15"/>
  <c r="U577" i="15"/>
  <c r="U578" i="15"/>
  <c r="U579" i="15"/>
  <c r="U580" i="15"/>
  <c r="U581" i="15"/>
  <c r="U582" i="15"/>
  <c r="U583" i="15"/>
  <c r="U584" i="15"/>
  <c r="U585" i="15"/>
  <c r="U586" i="15"/>
  <c r="U587" i="15"/>
  <c r="U588" i="15"/>
  <c r="U589" i="15"/>
  <c r="U590" i="15"/>
  <c r="U591" i="15"/>
  <c r="U592" i="15"/>
  <c r="U593" i="15"/>
  <c r="U594" i="15"/>
  <c r="U595" i="15"/>
  <c r="U596" i="15"/>
  <c r="U597" i="15"/>
  <c r="U598" i="15"/>
  <c r="U599" i="15"/>
  <c r="U600" i="15"/>
  <c r="U601" i="15"/>
  <c r="U602" i="15"/>
  <c r="U603" i="15"/>
  <c r="U604" i="15"/>
  <c r="U605" i="15"/>
  <c r="U606" i="15"/>
  <c r="U607" i="15"/>
  <c r="U608" i="15"/>
  <c r="U609" i="15"/>
  <c r="U610" i="15"/>
  <c r="U611" i="15"/>
  <c r="U612" i="15"/>
  <c r="U613" i="15"/>
  <c r="U614" i="15"/>
  <c r="U615" i="15"/>
  <c r="U616" i="15"/>
  <c r="U617" i="15"/>
  <c r="U618" i="15"/>
  <c r="U619" i="15"/>
  <c r="U620" i="15"/>
  <c r="U621" i="15"/>
  <c r="U622" i="15"/>
  <c r="U623" i="15"/>
  <c r="U624" i="15"/>
  <c r="U625" i="15"/>
  <c r="U626" i="15"/>
  <c r="U627" i="15"/>
  <c r="U628" i="15"/>
  <c r="U629" i="15"/>
  <c r="U630" i="15"/>
  <c r="U631" i="15"/>
  <c r="U632" i="15"/>
  <c r="U633" i="15"/>
  <c r="U634" i="15"/>
  <c r="U635" i="15"/>
  <c r="U636" i="15"/>
  <c r="U637" i="15"/>
  <c r="U638" i="15"/>
  <c r="U639" i="15"/>
  <c r="U640" i="15"/>
  <c r="U641" i="15"/>
  <c r="U642" i="15"/>
  <c r="U643" i="15"/>
  <c r="U644" i="15"/>
  <c r="U645" i="15"/>
  <c r="U646" i="15"/>
  <c r="U647" i="15"/>
  <c r="U648" i="15"/>
  <c r="U649" i="15"/>
  <c r="U650" i="15"/>
  <c r="U651" i="15"/>
  <c r="U652" i="15"/>
  <c r="U653" i="15"/>
  <c r="U654" i="15"/>
  <c r="U655" i="15"/>
  <c r="U656" i="15"/>
  <c r="U657" i="15"/>
  <c r="U658" i="15"/>
  <c r="U659" i="15"/>
  <c r="U660" i="15"/>
  <c r="U661" i="15"/>
  <c r="U662" i="15"/>
  <c r="U663" i="15"/>
  <c r="U664" i="15"/>
  <c r="U665" i="15"/>
  <c r="U666" i="15"/>
  <c r="U667" i="15"/>
  <c r="U668" i="15"/>
  <c r="U669" i="15"/>
  <c r="U670" i="15"/>
  <c r="U671" i="15"/>
  <c r="U672" i="15"/>
  <c r="U673" i="15"/>
  <c r="U674" i="15"/>
  <c r="U675" i="15"/>
  <c r="U676" i="15"/>
  <c r="U677" i="15"/>
  <c r="U678" i="15"/>
  <c r="U679" i="15"/>
  <c r="U680" i="15"/>
  <c r="U681" i="15"/>
  <c r="U682" i="15"/>
  <c r="U683" i="15"/>
  <c r="U684" i="15"/>
  <c r="U685" i="15"/>
  <c r="U686" i="15"/>
  <c r="U687" i="15"/>
  <c r="U688" i="15"/>
  <c r="U689" i="15"/>
  <c r="U690" i="15"/>
  <c r="U691" i="15"/>
  <c r="U692" i="15"/>
  <c r="U693" i="15"/>
  <c r="U694" i="15"/>
  <c r="U695" i="15"/>
  <c r="U696" i="15"/>
  <c r="U697" i="15"/>
  <c r="U698" i="15"/>
  <c r="U699" i="15"/>
  <c r="U700" i="15"/>
  <c r="U701" i="15"/>
  <c r="U702" i="15"/>
  <c r="U703" i="15"/>
  <c r="U704" i="15"/>
  <c r="U705" i="15"/>
  <c r="U706" i="15"/>
  <c r="U707" i="15"/>
  <c r="U708" i="15"/>
  <c r="U709" i="15"/>
  <c r="U710" i="15"/>
  <c r="U711" i="15"/>
  <c r="U712" i="15"/>
  <c r="U713" i="15"/>
  <c r="U714" i="15"/>
  <c r="U715" i="15"/>
  <c r="U716" i="15"/>
  <c r="U717" i="15"/>
  <c r="U718" i="15"/>
  <c r="U719" i="15"/>
  <c r="U720" i="15"/>
  <c r="U721" i="15"/>
  <c r="U722" i="15"/>
  <c r="U723" i="15"/>
  <c r="U724" i="15"/>
  <c r="U725" i="15"/>
  <c r="U726" i="15"/>
  <c r="U727" i="15"/>
  <c r="U728" i="15"/>
  <c r="U729" i="15"/>
  <c r="U730" i="15"/>
  <c r="U731" i="15"/>
  <c r="U732" i="15"/>
  <c r="U733" i="15"/>
  <c r="U734" i="15"/>
  <c r="U735" i="15"/>
  <c r="U736" i="15"/>
  <c r="U737" i="15"/>
  <c r="U738" i="15"/>
  <c r="U739" i="15"/>
  <c r="U740" i="15"/>
  <c r="U741" i="15"/>
  <c r="U742" i="15"/>
  <c r="U743" i="15"/>
  <c r="U744" i="15"/>
  <c r="U745" i="15"/>
  <c r="U746" i="15"/>
  <c r="U747" i="15"/>
  <c r="U748" i="15"/>
  <c r="U749" i="15"/>
  <c r="U750" i="15"/>
  <c r="U751" i="15"/>
  <c r="U752" i="15"/>
  <c r="U753" i="15"/>
  <c r="U754" i="15"/>
  <c r="U755" i="15"/>
  <c r="U756" i="15"/>
  <c r="U757" i="15"/>
  <c r="U758" i="15"/>
  <c r="U759" i="15"/>
  <c r="U760" i="15"/>
  <c r="U761" i="15"/>
  <c r="U762" i="15"/>
  <c r="U763" i="15"/>
  <c r="U764" i="15"/>
  <c r="U765" i="15"/>
  <c r="U766" i="15"/>
  <c r="U767" i="15"/>
  <c r="U768" i="15"/>
  <c r="U769" i="15"/>
  <c r="U770" i="15"/>
  <c r="U771" i="15"/>
  <c r="U772" i="15"/>
  <c r="U773" i="15"/>
  <c r="U774" i="15"/>
  <c r="U775" i="15"/>
  <c r="U776" i="15"/>
  <c r="U777" i="15"/>
  <c r="U778" i="15"/>
  <c r="U779" i="15"/>
  <c r="U780" i="15"/>
  <c r="U781" i="15"/>
  <c r="U782" i="15"/>
  <c r="U783" i="15"/>
  <c r="U784" i="15"/>
  <c r="U785" i="15"/>
  <c r="U786" i="15"/>
  <c r="U787" i="15"/>
  <c r="U788" i="15"/>
  <c r="U789" i="15"/>
  <c r="U790" i="15"/>
  <c r="U791" i="15"/>
  <c r="U792" i="15"/>
  <c r="U793" i="15"/>
  <c r="U794" i="15"/>
  <c r="U795" i="15"/>
  <c r="U796" i="15"/>
  <c r="U797" i="15"/>
  <c r="U798" i="15"/>
  <c r="U799" i="15"/>
  <c r="U800" i="15"/>
  <c r="U801" i="15"/>
  <c r="U802" i="15"/>
  <c r="U803" i="15"/>
  <c r="U804" i="15"/>
  <c r="U805" i="15"/>
  <c r="U806" i="15"/>
  <c r="U807" i="15"/>
  <c r="U808" i="15"/>
  <c r="U809" i="15"/>
  <c r="U810" i="15"/>
  <c r="U811" i="15"/>
  <c r="U812" i="15"/>
  <c r="U813" i="15"/>
  <c r="U814" i="15"/>
  <c r="U815" i="15"/>
  <c r="U816" i="15"/>
  <c r="U817" i="15"/>
  <c r="U818" i="15"/>
  <c r="U819" i="15"/>
  <c r="U820" i="15"/>
  <c r="U821" i="15"/>
  <c r="U822" i="15"/>
  <c r="U823" i="15"/>
  <c r="U824" i="15"/>
  <c r="U825" i="15"/>
  <c r="U826" i="15"/>
  <c r="U827" i="15"/>
  <c r="U828" i="15"/>
  <c r="U829" i="15"/>
  <c r="U830" i="15"/>
  <c r="U831" i="15"/>
  <c r="U832" i="15"/>
  <c r="U833" i="15"/>
  <c r="U834" i="15"/>
  <c r="U835" i="15"/>
  <c r="U836" i="15"/>
  <c r="U837" i="15"/>
  <c r="U838" i="15"/>
  <c r="U839" i="15"/>
  <c r="U840" i="15"/>
  <c r="U841" i="15"/>
  <c r="U842" i="15"/>
  <c r="U843" i="15"/>
  <c r="U844" i="15"/>
  <c r="U845" i="15"/>
  <c r="U846" i="15"/>
  <c r="U847" i="15"/>
  <c r="U848" i="15"/>
  <c r="U849" i="15"/>
  <c r="U850" i="15"/>
  <c r="U851" i="15"/>
  <c r="U852" i="15"/>
  <c r="U853" i="15"/>
  <c r="U854" i="15"/>
  <c r="U855" i="15"/>
  <c r="U856" i="15"/>
  <c r="U857" i="15"/>
  <c r="U858" i="15"/>
  <c r="U859" i="15"/>
  <c r="U860" i="15"/>
  <c r="U861" i="15"/>
  <c r="U862" i="15"/>
  <c r="U863" i="15"/>
  <c r="U864" i="15"/>
  <c r="U865" i="15"/>
  <c r="U866" i="15"/>
  <c r="U867" i="15"/>
  <c r="U868" i="15"/>
  <c r="U869" i="15"/>
  <c r="U870" i="15"/>
  <c r="U871" i="15"/>
  <c r="U872" i="15"/>
  <c r="U873" i="15"/>
  <c r="U874" i="15"/>
  <c r="U875" i="15"/>
  <c r="U876" i="15"/>
  <c r="U877" i="15"/>
  <c r="U878" i="15"/>
  <c r="U879" i="15"/>
  <c r="U880" i="15"/>
  <c r="U881" i="15"/>
  <c r="U882" i="15"/>
  <c r="U883" i="15"/>
  <c r="U884" i="15"/>
  <c r="U885" i="15"/>
  <c r="U886" i="15"/>
  <c r="U887" i="15"/>
  <c r="U888" i="15"/>
  <c r="U889" i="15"/>
  <c r="U890" i="15"/>
  <c r="U891" i="15"/>
  <c r="U892" i="15"/>
  <c r="U893" i="15"/>
  <c r="U894" i="15"/>
  <c r="U895" i="15"/>
  <c r="U896" i="15"/>
  <c r="U897" i="15"/>
  <c r="U898" i="15"/>
  <c r="U899" i="15"/>
  <c r="U900" i="15"/>
  <c r="U901" i="15"/>
  <c r="U902" i="15"/>
  <c r="U903" i="15"/>
  <c r="U904" i="15"/>
  <c r="U905" i="15"/>
  <c r="U906" i="15"/>
  <c r="U907" i="15"/>
  <c r="U908" i="15"/>
  <c r="U909" i="15"/>
  <c r="U910" i="15"/>
  <c r="U911" i="15"/>
  <c r="U912" i="15"/>
  <c r="U913" i="15"/>
  <c r="U914" i="15"/>
  <c r="U915" i="15"/>
  <c r="U916" i="15"/>
  <c r="U917" i="15"/>
  <c r="U918" i="15"/>
  <c r="U919" i="15"/>
  <c r="U920" i="15"/>
  <c r="U921" i="15"/>
  <c r="U922" i="15"/>
  <c r="U923" i="15"/>
  <c r="U924" i="15"/>
  <c r="U925" i="15"/>
  <c r="U926" i="15"/>
  <c r="U927" i="15"/>
  <c r="U928" i="15"/>
  <c r="U929" i="15"/>
  <c r="U930" i="15"/>
  <c r="U931" i="15"/>
  <c r="U932" i="15"/>
  <c r="U933" i="15"/>
  <c r="U934" i="15"/>
  <c r="U935" i="15"/>
  <c r="U936" i="15"/>
  <c r="U937" i="15"/>
  <c r="U938" i="15"/>
  <c r="U939" i="15"/>
  <c r="U940" i="15"/>
  <c r="U941" i="15"/>
  <c r="U942" i="15"/>
  <c r="U943" i="15"/>
  <c r="U944" i="15"/>
  <c r="U945" i="15"/>
  <c r="U946" i="15"/>
  <c r="U947" i="15"/>
  <c r="U948" i="15"/>
  <c r="U949" i="15"/>
  <c r="U950" i="15"/>
  <c r="U951" i="15"/>
  <c r="U952" i="15"/>
  <c r="U953" i="15"/>
  <c r="U954" i="15"/>
  <c r="U955" i="15"/>
  <c r="U956" i="15"/>
  <c r="U957" i="15"/>
  <c r="U958" i="15"/>
  <c r="U959" i="15"/>
  <c r="U960" i="15"/>
  <c r="U961" i="15"/>
  <c r="U962" i="15"/>
  <c r="U963" i="15"/>
  <c r="U964" i="15"/>
  <c r="U965" i="15"/>
  <c r="U966" i="15"/>
  <c r="U967" i="15"/>
  <c r="U968" i="15"/>
  <c r="U969" i="15"/>
  <c r="U970" i="15"/>
  <c r="U971" i="15"/>
  <c r="U972" i="15"/>
  <c r="U973" i="15"/>
  <c r="U974" i="15"/>
  <c r="U975" i="15"/>
  <c r="U976" i="15"/>
  <c r="U977" i="15"/>
  <c r="U978" i="15"/>
  <c r="U979" i="15"/>
  <c r="U980" i="15"/>
  <c r="U981" i="15"/>
  <c r="U982" i="15"/>
  <c r="U983" i="15"/>
  <c r="U984" i="15"/>
  <c r="U985" i="15"/>
  <c r="U986" i="15"/>
  <c r="U987" i="15"/>
  <c r="U988" i="15"/>
  <c r="U989" i="15"/>
  <c r="U990" i="15"/>
  <c r="U991" i="15"/>
  <c r="U992" i="15"/>
  <c r="U993" i="15"/>
  <c r="U994" i="15"/>
  <c r="U995" i="15"/>
  <c r="U996" i="15"/>
  <c r="U997" i="15"/>
  <c r="U998" i="15"/>
  <c r="U999" i="15"/>
  <c r="U1000" i="15"/>
  <c r="U1001" i="15"/>
  <c r="U1002" i="15"/>
  <c r="U1003" i="15"/>
  <c r="U1004" i="15"/>
  <c r="U1005" i="15"/>
  <c r="U1006" i="15"/>
  <c r="U1007" i="15"/>
  <c r="U1008" i="15"/>
  <c r="U1009" i="15"/>
  <c r="U1010" i="15"/>
  <c r="U1011" i="15"/>
  <c r="U1012" i="15"/>
  <c r="U1013" i="15"/>
  <c r="U1014" i="15"/>
  <c r="U1015" i="15"/>
  <c r="U1016" i="15"/>
  <c r="U1017" i="15"/>
  <c r="U1018" i="15"/>
  <c r="U1019" i="15"/>
  <c r="U1020" i="15"/>
  <c r="U1021" i="15"/>
  <c r="T2" i="15"/>
  <c r="T3" i="15"/>
  <c r="T4" i="15"/>
  <c r="T5" i="15"/>
  <c r="T6" i="15"/>
  <c r="T7" i="15"/>
  <c r="T8" i="15"/>
  <c r="T9" i="15"/>
  <c r="T10" i="15"/>
  <c r="T11" i="15"/>
  <c r="T12" i="15"/>
  <c r="T13" i="15"/>
  <c r="T14" i="15"/>
  <c r="T15" i="15"/>
  <c r="T16" i="15"/>
  <c r="T17" i="15"/>
  <c r="T18" i="15"/>
  <c r="T19" i="15"/>
  <c r="T20" i="15"/>
  <c r="T21" i="15"/>
  <c r="T22" i="15"/>
  <c r="T23" i="15"/>
  <c r="T24" i="15"/>
  <c r="T25" i="15"/>
  <c r="T26" i="15"/>
  <c r="T27" i="15"/>
  <c r="T28" i="15"/>
  <c r="T29" i="15"/>
  <c r="T30" i="15"/>
  <c r="T31" i="15"/>
  <c r="T32" i="15"/>
  <c r="T33" i="15"/>
  <c r="T34" i="15"/>
  <c r="T35" i="15"/>
  <c r="T36" i="15"/>
  <c r="T37" i="15"/>
  <c r="T38" i="15"/>
  <c r="T39" i="15"/>
  <c r="T40" i="15"/>
  <c r="T41" i="15"/>
  <c r="T42" i="15"/>
  <c r="T43" i="15"/>
  <c r="T44" i="15"/>
  <c r="T45" i="15"/>
  <c r="T46" i="15"/>
  <c r="T47" i="15"/>
  <c r="T48" i="15"/>
  <c r="T49" i="15"/>
  <c r="T50" i="15"/>
  <c r="T51" i="15"/>
  <c r="T52" i="15"/>
  <c r="T53" i="15"/>
  <c r="T54" i="15"/>
  <c r="T55" i="15"/>
  <c r="T56" i="15"/>
  <c r="T57" i="15"/>
  <c r="T58" i="15"/>
  <c r="T59" i="15"/>
  <c r="T60" i="15"/>
  <c r="T61" i="15"/>
  <c r="T62" i="15"/>
  <c r="T63" i="15"/>
  <c r="T64" i="15"/>
  <c r="T65" i="15"/>
  <c r="T66" i="15"/>
  <c r="T67" i="15"/>
  <c r="T68" i="15"/>
  <c r="T69" i="15"/>
  <c r="T70" i="15"/>
  <c r="T71" i="15"/>
  <c r="T72" i="15"/>
  <c r="T73" i="15"/>
  <c r="T74" i="15"/>
  <c r="T75" i="15"/>
  <c r="T76" i="15"/>
  <c r="T77" i="15"/>
  <c r="T78" i="15"/>
  <c r="T79" i="15"/>
  <c r="T80" i="15"/>
  <c r="T81" i="15"/>
  <c r="T82" i="15"/>
  <c r="T83" i="15"/>
  <c r="T84" i="15"/>
  <c r="T85" i="15"/>
  <c r="T86" i="15"/>
  <c r="T87" i="15"/>
  <c r="T88" i="15"/>
  <c r="T89" i="15"/>
  <c r="T90" i="15"/>
  <c r="T91" i="15"/>
  <c r="T92" i="15"/>
  <c r="T93" i="15"/>
  <c r="T94" i="15"/>
  <c r="T95" i="15"/>
  <c r="T96" i="15"/>
  <c r="T97" i="15"/>
  <c r="T98" i="15"/>
  <c r="T99" i="15"/>
  <c r="T100" i="15"/>
  <c r="T101" i="15"/>
  <c r="T102" i="15"/>
  <c r="T103" i="15"/>
  <c r="T104" i="15"/>
  <c r="T105" i="15"/>
  <c r="T106" i="15"/>
  <c r="T107" i="15"/>
  <c r="T108" i="15"/>
  <c r="T109" i="15"/>
  <c r="T110" i="15"/>
  <c r="T111" i="15"/>
  <c r="T112" i="15"/>
  <c r="T113" i="15"/>
  <c r="T114" i="15"/>
  <c r="T115" i="15"/>
  <c r="T116" i="15"/>
  <c r="T117" i="15"/>
  <c r="T118" i="15"/>
  <c r="T119" i="15"/>
  <c r="T120" i="15"/>
  <c r="T121" i="15"/>
  <c r="T122" i="15"/>
  <c r="T123" i="15"/>
  <c r="T124" i="15"/>
  <c r="T125" i="15"/>
  <c r="T126" i="15"/>
  <c r="T127" i="15"/>
  <c r="T128" i="15"/>
  <c r="T129" i="15"/>
  <c r="T130" i="15"/>
  <c r="T131" i="15"/>
  <c r="T132" i="15"/>
  <c r="T133" i="15"/>
  <c r="T134" i="15"/>
  <c r="T135" i="15"/>
  <c r="T136" i="15"/>
  <c r="T137" i="15"/>
  <c r="T138" i="15"/>
  <c r="T139" i="15"/>
  <c r="T140" i="15"/>
  <c r="T141" i="15"/>
  <c r="T142" i="15"/>
  <c r="T143" i="15"/>
  <c r="T144" i="15"/>
  <c r="T145" i="15"/>
  <c r="T146" i="15"/>
  <c r="T147" i="15"/>
  <c r="T148" i="15"/>
  <c r="T149" i="15"/>
  <c r="T150" i="15"/>
  <c r="T151" i="15"/>
  <c r="T152" i="15"/>
  <c r="T153" i="15"/>
  <c r="T154" i="15"/>
  <c r="T155" i="15"/>
  <c r="T156" i="15"/>
  <c r="T157" i="15"/>
  <c r="T158" i="15"/>
  <c r="T159" i="15"/>
  <c r="T160" i="15"/>
  <c r="T161" i="15"/>
  <c r="T162" i="15"/>
  <c r="T163" i="15"/>
  <c r="T164" i="15"/>
  <c r="T165" i="15"/>
  <c r="T166" i="15"/>
  <c r="T167" i="15"/>
  <c r="T168" i="15"/>
  <c r="T169" i="15"/>
  <c r="T170" i="15"/>
  <c r="T171" i="15"/>
  <c r="T172" i="15"/>
  <c r="T173" i="15"/>
  <c r="T174" i="15"/>
  <c r="T175" i="15"/>
  <c r="T176" i="15"/>
  <c r="T177" i="15"/>
  <c r="T178" i="15"/>
  <c r="T179" i="15"/>
  <c r="T180" i="15"/>
  <c r="T181" i="15"/>
  <c r="T182" i="15"/>
  <c r="T183" i="15"/>
  <c r="T184" i="15"/>
  <c r="T185" i="15"/>
  <c r="T186" i="15"/>
  <c r="T187" i="15"/>
  <c r="T188" i="15"/>
  <c r="T189" i="15"/>
  <c r="T190" i="15"/>
  <c r="T191" i="15"/>
  <c r="T192" i="15"/>
  <c r="T193" i="15"/>
  <c r="T194" i="15"/>
  <c r="T195" i="15"/>
  <c r="T196" i="15"/>
  <c r="T197" i="15"/>
  <c r="T198" i="15"/>
  <c r="T199" i="15"/>
  <c r="T200" i="15"/>
  <c r="T201" i="15"/>
  <c r="T202" i="15"/>
  <c r="T203" i="15"/>
  <c r="T204" i="15"/>
  <c r="T205" i="15"/>
  <c r="T206" i="15"/>
  <c r="T207" i="15"/>
  <c r="T208" i="15"/>
  <c r="T209" i="15"/>
  <c r="T210" i="15"/>
  <c r="T211" i="15"/>
  <c r="T212" i="15"/>
  <c r="T213" i="15"/>
  <c r="T214" i="15"/>
  <c r="T215" i="15"/>
  <c r="T216" i="15"/>
  <c r="T217" i="15"/>
  <c r="T218" i="15"/>
  <c r="T219" i="15"/>
  <c r="T220" i="15"/>
  <c r="T221" i="15"/>
  <c r="T222" i="15"/>
  <c r="T223" i="15"/>
  <c r="T224" i="15"/>
  <c r="T225" i="15"/>
  <c r="T226" i="15"/>
  <c r="T227" i="15"/>
  <c r="T228" i="15"/>
  <c r="T229" i="15"/>
  <c r="T230" i="15"/>
  <c r="T231" i="15"/>
  <c r="T232" i="15"/>
  <c r="T233" i="15"/>
  <c r="T234" i="15"/>
  <c r="T235" i="15"/>
  <c r="T236" i="15"/>
  <c r="T237" i="15"/>
  <c r="T238" i="15"/>
  <c r="T239" i="15"/>
  <c r="T240" i="15"/>
  <c r="T241" i="15"/>
  <c r="T242" i="15"/>
  <c r="T243" i="15"/>
  <c r="T244" i="15"/>
  <c r="T245" i="15"/>
  <c r="T246" i="15"/>
  <c r="T247" i="15"/>
  <c r="T248" i="15"/>
  <c r="T249" i="15"/>
  <c r="T250" i="15"/>
  <c r="T251" i="15"/>
  <c r="T252" i="15"/>
  <c r="T253" i="15"/>
  <c r="T254" i="15"/>
  <c r="T255" i="15"/>
  <c r="T256" i="15"/>
  <c r="T257" i="15"/>
  <c r="T258" i="15"/>
  <c r="T259" i="15"/>
  <c r="T260" i="15"/>
  <c r="T261" i="15"/>
  <c r="T262" i="15"/>
  <c r="T263" i="15"/>
  <c r="T264" i="15"/>
  <c r="T265" i="15"/>
  <c r="T266" i="15"/>
  <c r="T267" i="15"/>
  <c r="T268" i="15"/>
  <c r="T269" i="15"/>
  <c r="T270" i="15"/>
  <c r="T271" i="15"/>
  <c r="T272" i="15"/>
  <c r="T273" i="15"/>
  <c r="T274" i="15"/>
  <c r="T275" i="15"/>
  <c r="T276" i="15"/>
  <c r="T277" i="15"/>
  <c r="T278" i="15"/>
  <c r="T279" i="15"/>
  <c r="T280" i="15"/>
  <c r="T281" i="15"/>
  <c r="T282" i="15"/>
  <c r="T283" i="15"/>
  <c r="T284" i="15"/>
  <c r="T285" i="15"/>
  <c r="T286" i="15"/>
  <c r="T287" i="15"/>
  <c r="T288" i="15"/>
  <c r="T289" i="15"/>
  <c r="T290" i="15"/>
  <c r="T291" i="15"/>
  <c r="T292" i="15"/>
  <c r="T293" i="15"/>
  <c r="T294" i="15"/>
  <c r="T295" i="15"/>
  <c r="T296" i="15"/>
  <c r="T297" i="15"/>
  <c r="T298" i="15"/>
  <c r="T299" i="15"/>
  <c r="T300" i="15"/>
  <c r="T301" i="15"/>
  <c r="T302" i="15"/>
  <c r="T303" i="15"/>
  <c r="T304" i="15"/>
  <c r="T305" i="15"/>
  <c r="T306" i="15"/>
  <c r="T307" i="15"/>
  <c r="T308" i="15"/>
  <c r="T309" i="15"/>
  <c r="T310" i="15"/>
  <c r="T311" i="15"/>
  <c r="T312" i="15"/>
  <c r="T313" i="15"/>
  <c r="T314" i="15"/>
  <c r="T315" i="15"/>
  <c r="T316" i="15"/>
  <c r="T317" i="15"/>
  <c r="T318" i="15"/>
  <c r="T319" i="15"/>
  <c r="T320" i="15"/>
  <c r="T321" i="15"/>
  <c r="T322" i="15"/>
  <c r="T323" i="15"/>
  <c r="T324" i="15"/>
  <c r="T325" i="15"/>
  <c r="T326" i="15"/>
  <c r="T327" i="15"/>
  <c r="T328" i="15"/>
  <c r="T329" i="15"/>
  <c r="T330" i="15"/>
  <c r="T331" i="15"/>
  <c r="T332" i="15"/>
  <c r="T333" i="15"/>
  <c r="T334" i="15"/>
  <c r="T335" i="15"/>
  <c r="T336" i="15"/>
  <c r="T337" i="15"/>
  <c r="T338" i="15"/>
  <c r="T339" i="15"/>
  <c r="T340" i="15"/>
  <c r="T341" i="15"/>
  <c r="T342" i="15"/>
  <c r="T343" i="15"/>
  <c r="T344" i="15"/>
  <c r="T345" i="15"/>
  <c r="T346" i="15"/>
  <c r="T347" i="15"/>
  <c r="T348" i="15"/>
  <c r="T349" i="15"/>
  <c r="T350" i="15"/>
  <c r="T351" i="15"/>
  <c r="T352" i="15"/>
  <c r="T353" i="15"/>
  <c r="T354" i="15"/>
  <c r="T355" i="15"/>
  <c r="T356" i="15"/>
  <c r="T357" i="15"/>
  <c r="T358" i="15"/>
  <c r="T359" i="15"/>
  <c r="T360" i="15"/>
  <c r="T361" i="15"/>
  <c r="T362" i="15"/>
  <c r="T363" i="15"/>
  <c r="T364" i="15"/>
  <c r="T365" i="15"/>
  <c r="T366" i="15"/>
  <c r="T367" i="15"/>
  <c r="T368" i="15"/>
  <c r="T369" i="15"/>
  <c r="T370" i="15"/>
  <c r="T371" i="15"/>
  <c r="T372" i="15"/>
  <c r="T373" i="15"/>
  <c r="T374" i="15"/>
  <c r="T375" i="15"/>
  <c r="T376" i="15"/>
  <c r="T377" i="15"/>
  <c r="T378" i="15"/>
  <c r="T379" i="15"/>
  <c r="T380" i="15"/>
  <c r="T381" i="15"/>
  <c r="T382" i="15"/>
  <c r="T383" i="15"/>
  <c r="T384" i="15"/>
  <c r="T385" i="15"/>
  <c r="T386" i="15"/>
  <c r="T387" i="15"/>
  <c r="T388" i="15"/>
  <c r="T389" i="15"/>
  <c r="T390" i="15"/>
  <c r="T391" i="15"/>
  <c r="T392" i="15"/>
  <c r="T393" i="15"/>
  <c r="T394" i="15"/>
  <c r="T395" i="15"/>
  <c r="T396" i="15"/>
  <c r="T397" i="15"/>
  <c r="T398" i="15"/>
  <c r="T399" i="15"/>
  <c r="T400" i="15"/>
  <c r="T401" i="15"/>
  <c r="T402" i="15"/>
  <c r="T403" i="15"/>
  <c r="T404" i="15"/>
  <c r="T405" i="15"/>
  <c r="T406" i="15"/>
  <c r="T407" i="15"/>
  <c r="T408" i="15"/>
  <c r="T409" i="15"/>
  <c r="T410" i="15"/>
  <c r="T411" i="15"/>
  <c r="T412" i="15"/>
  <c r="T413" i="15"/>
  <c r="T414" i="15"/>
  <c r="T415" i="15"/>
  <c r="T416" i="15"/>
  <c r="T417" i="15"/>
  <c r="T418" i="15"/>
  <c r="T419" i="15"/>
  <c r="T420" i="15"/>
  <c r="T421" i="15"/>
  <c r="T422" i="15"/>
  <c r="T423" i="15"/>
  <c r="T424" i="15"/>
  <c r="T425" i="15"/>
  <c r="T426" i="15"/>
  <c r="T427" i="15"/>
  <c r="T428" i="15"/>
  <c r="T429" i="15"/>
  <c r="T430" i="15"/>
  <c r="T431" i="15"/>
  <c r="T432" i="15"/>
  <c r="T433" i="15"/>
  <c r="T434" i="15"/>
  <c r="T435" i="15"/>
  <c r="T436" i="15"/>
  <c r="T437" i="15"/>
  <c r="T438" i="15"/>
  <c r="T439" i="15"/>
  <c r="T440" i="15"/>
  <c r="T441" i="15"/>
  <c r="T442" i="15"/>
  <c r="T443" i="15"/>
  <c r="T444" i="15"/>
  <c r="T445" i="15"/>
  <c r="T446" i="15"/>
  <c r="T447" i="15"/>
  <c r="T448" i="15"/>
  <c r="T449" i="15"/>
  <c r="T450" i="15"/>
  <c r="T451" i="15"/>
  <c r="T452" i="15"/>
  <c r="T453" i="15"/>
  <c r="T454" i="15"/>
  <c r="T455" i="15"/>
  <c r="T456" i="15"/>
  <c r="T457" i="15"/>
  <c r="T458" i="15"/>
  <c r="T459" i="15"/>
  <c r="T460" i="15"/>
  <c r="T461" i="15"/>
  <c r="T462" i="15"/>
  <c r="T463" i="15"/>
  <c r="T464" i="15"/>
  <c r="T465" i="15"/>
  <c r="T466" i="15"/>
  <c r="T467" i="15"/>
  <c r="T468" i="15"/>
  <c r="T469" i="15"/>
  <c r="T470" i="15"/>
  <c r="T471" i="15"/>
  <c r="T472" i="15"/>
  <c r="T473" i="15"/>
  <c r="T474" i="15"/>
  <c r="T475" i="15"/>
  <c r="T476" i="15"/>
  <c r="T477" i="15"/>
  <c r="T478" i="15"/>
  <c r="T479" i="15"/>
  <c r="T480" i="15"/>
  <c r="T481" i="15"/>
  <c r="T482" i="15"/>
  <c r="T483" i="15"/>
  <c r="T484" i="15"/>
  <c r="T485" i="15"/>
  <c r="T486" i="15"/>
  <c r="T487" i="15"/>
  <c r="T488" i="15"/>
  <c r="T489" i="15"/>
  <c r="T490" i="15"/>
  <c r="T491" i="15"/>
  <c r="T492" i="15"/>
  <c r="T493" i="15"/>
  <c r="T494" i="15"/>
  <c r="T495" i="15"/>
  <c r="T496" i="15"/>
  <c r="T497" i="15"/>
  <c r="T498" i="15"/>
  <c r="T499" i="15"/>
  <c r="T500" i="15"/>
  <c r="T501" i="15"/>
  <c r="T502" i="15"/>
  <c r="T503" i="15"/>
  <c r="T504" i="15"/>
  <c r="T505" i="15"/>
  <c r="T506" i="15"/>
  <c r="T507" i="15"/>
  <c r="T508" i="15"/>
  <c r="T509" i="15"/>
  <c r="T510" i="15"/>
  <c r="T511" i="15"/>
  <c r="T512" i="15"/>
  <c r="T513" i="15"/>
  <c r="T514" i="15"/>
  <c r="T515" i="15"/>
  <c r="T516" i="15"/>
  <c r="T517" i="15"/>
  <c r="T518" i="15"/>
  <c r="T519" i="15"/>
  <c r="T520" i="15"/>
  <c r="T521" i="15"/>
  <c r="T522" i="15"/>
  <c r="T523" i="15"/>
  <c r="T524" i="15"/>
  <c r="T525" i="15"/>
  <c r="T526" i="15"/>
  <c r="T527" i="15"/>
  <c r="T528" i="15"/>
  <c r="T529" i="15"/>
  <c r="T530" i="15"/>
  <c r="T531" i="15"/>
  <c r="T532" i="15"/>
  <c r="T533" i="15"/>
  <c r="T534" i="15"/>
  <c r="T535" i="15"/>
  <c r="T536" i="15"/>
  <c r="T537" i="15"/>
  <c r="T538" i="15"/>
  <c r="T539" i="15"/>
  <c r="T540" i="15"/>
  <c r="T541" i="15"/>
  <c r="T542" i="15"/>
  <c r="T543" i="15"/>
  <c r="T544" i="15"/>
  <c r="T545" i="15"/>
  <c r="T546" i="15"/>
  <c r="T547" i="15"/>
  <c r="T548" i="15"/>
  <c r="T549" i="15"/>
  <c r="T550" i="15"/>
  <c r="T551" i="15"/>
  <c r="T552" i="15"/>
  <c r="T553" i="15"/>
  <c r="T554" i="15"/>
  <c r="T555" i="15"/>
  <c r="T556" i="15"/>
  <c r="T557" i="15"/>
  <c r="T558" i="15"/>
  <c r="T559" i="15"/>
  <c r="T560" i="15"/>
  <c r="T561" i="15"/>
  <c r="T562" i="15"/>
  <c r="T563" i="15"/>
  <c r="T564" i="15"/>
  <c r="T565" i="15"/>
  <c r="T566" i="15"/>
  <c r="T567" i="15"/>
  <c r="T568" i="15"/>
  <c r="T569" i="15"/>
  <c r="T570" i="15"/>
  <c r="T571" i="15"/>
  <c r="T572" i="15"/>
  <c r="T573" i="15"/>
  <c r="T574" i="15"/>
  <c r="T575" i="15"/>
  <c r="T576" i="15"/>
  <c r="T577" i="15"/>
  <c r="T578" i="15"/>
  <c r="T579" i="15"/>
  <c r="T580" i="15"/>
  <c r="T581" i="15"/>
  <c r="T582" i="15"/>
  <c r="T583" i="15"/>
  <c r="T584" i="15"/>
  <c r="T585" i="15"/>
  <c r="T586" i="15"/>
  <c r="T587" i="15"/>
  <c r="T588" i="15"/>
  <c r="T589" i="15"/>
  <c r="T590" i="15"/>
  <c r="T591" i="15"/>
  <c r="T592" i="15"/>
  <c r="T593" i="15"/>
  <c r="T594" i="15"/>
  <c r="T595" i="15"/>
  <c r="T596" i="15"/>
  <c r="T597" i="15"/>
  <c r="T598" i="15"/>
  <c r="T599" i="15"/>
  <c r="T600" i="15"/>
  <c r="T601" i="15"/>
  <c r="T602" i="15"/>
  <c r="T603" i="15"/>
  <c r="T604" i="15"/>
  <c r="T605" i="15"/>
  <c r="T606" i="15"/>
  <c r="T607" i="15"/>
  <c r="T608" i="15"/>
  <c r="T609" i="15"/>
  <c r="T610" i="15"/>
  <c r="T611" i="15"/>
  <c r="T612" i="15"/>
  <c r="T613" i="15"/>
  <c r="T614" i="15"/>
  <c r="T615" i="15"/>
  <c r="T616" i="15"/>
  <c r="T617" i="15"/>
  <c r="T618" i="15"/>
  <c r="T619" i="15"/>
  <c r="T620" i="15"/>
  <c r="T621" i="15"/>
  <c r="T622" i="15"/>
  <c r="T623" i="15"/>
  <c r="T624" i="15"/>
  <c r="T625" i="15"/>
  <c r="T626" i="15"/>
  <c r="T627" i="15"/>
  <c r="T628" i="15"/>
  <c r="T629" i="15"/>
  <c r="T630" i="15"/>
  <c r="T631" i="15"/>
  <c r="T632" i="15"/>
  <c r="T633" i="15"/>
  <c r="T634" i="15"/>
  <c r="T635" i="15"/>
  <c r="T636" i="15"/>
  <c r="T637" i="15"/>
  <c r="T638" i="15"/>
  <c r="T639" i="15"/>
  <c r="T640" i="15"/>
  <c r="T641" i="15"/>
  <c r="T642" i="15"/>
  <c r="T643" i="15"/>
  <c r="T644" i="15"/>
  <c r="T645" i="15"/>
  <c r="T646" i="15"/>
  <c r="T647" i="15"/>
  <c r="T648" i="15"/>
  <c r="T649" i="15"/>
  <c r="T650" i="15"/>
  <c r="T651" i="15"/>
  <c r="T652" i="15"/>
  <c r="T653" i="15"/>
  <c r="T654" i="15"/>
  <c r="T655" i="15"/>
  <c r="T656" i="15"/>
  <c r="T657" i="15"/>
  <c r="T658" i="15"/>
  <c r="T659" i="15"/>
  <c r="T660" i="15"/>
  <c r="T661" i="15"/>
  <c r="T662" i="15"/>
  <c r="T663" i="15"/>
  <c r="T664" i="15"/>
  <c r="T665" i="15"/>
  <c r="T666" i="15"/>
  <c r="T667" i="15"/>
  <c r="T668" i="15"/>
  <c r="T669" i="15"/>
  <c r="T670" i="15"/>
  <c r="T671" i="15"/>
  <c r="T672" i="15"/>
  <c r="T673" i="15"/>
  <c r="T674" i="15"/>
  <c r="T675" i="15"/>
  <c r="T676" i="15"/>
  <c r="T677" i="15"/>
  <c r="T678" i="15"/>
  <c r="T679" i="15"/>
  <c r="T680" i="15"/>
  <c r="T681" i="15"/>
  <c r="T682" i="15"/>
  <c r="T683" i="15"/>
  <c r="T684" i="15"/>
  <c r="T685" i="15"/>
  <c r="T686" i="15"/>
  <c r="T687" i="15"/>
  <c r="T688" i="15"/>
  <c r="T689" i="15"/>
  <c r="T690" i="15"/>
  <c r="T691" i="15"/>
  <c r="T692" i="15"/>
  <c r="T693" i="15"/>
  <c r="T694" i="15"/>
  <c r="T695" i="15"/>
  <c r="T696" i="15"/>
  <c r="T697" i="15"/>
  <c r="T698" i="15"/>
  <c r="T699" i="15"/>
  <c r="T700" i="15"/>
  <c r="T701" i="15"/>
  <c r="T702" i="15"/>
  <c r="T703" i="15"/>
  <c r="T704" i="15"/>
  <c r="T705" i="15"/>
  <c r="T706" i="15"/>
  <c r="T707" i="15"/>
  <c r="T708" i="15"/>
  <c r="T709" i="15"/>
  <c r="T710" i="15"/>
  <c r="T711" i="15"/>
  <c r="T712" i="15"/>
  <c r="T713" i="15"/>
  <c r="T714" i="15"/>
  <c r="T715" i="15"/>
  <c r="T716" i="15"/>
  <c r="T717" i="15"/>
  <c r="T718" i="15"/>
  <c r="T719" i="15"/>
  <c r="T720" i="15"/>
  <c r="T721" i="15"/>
  <c r="T722" i="15"/>
  <c r="T723" i="15"/>
  <c r="T724" i="15"/>
  <c r="T725" i="15"/>
  <c r="T726" i="15"/>
  <c r="T727" i="15"/>
  <c r="T728" i="15"/>
  <c r="T729" i="15"/>
  <c r="T730" i="15"/>
  <c r="T731" i="15"/>
  <c r="T732" i="15"/>
  <c r="T733" i="15"/>
  <c r="T734" i="15"/>
  <c r="T735" i="15"/>
  <c r="T736" i="15"/>
  <c r="T737" i="15"/>
  <c r="T738" i="15"/>
  <c r="T739" i="15"/>
  <c r="T740" i="15"/>
  <c r="T741" i="15"/>
  <c r="T742" i="15"/>
  <c r="T743" i="15"/>
  <c r="T744" i="15"/>
  <c r="T745" i="15"/>
  <c r="T746" i="15"/>
  <c r="T747" i="15"/>
  <c r="T748" i="15"/>
  <c r="T749" i="15"/>
  <c r="T750" i="15"/>
  <c r="T751" i="15"/>
  <c r="T752" i="15"/>
  <c r="T753" i="15"/>
  <c r="T754" i="15"/>
  <c r="T755" i="15"/>
  <c r="T756" i="15"/>
  <c r="T757" i="15"/>
  <c r="T758" i="15"/>
  <c r="T759" i="15"/>
  <c r="T760" i="15"/>
  <c r="T761" i="15"/>
  <c r="T762" i="15"/>
  <c r="T763" i="15"/>
  <c r="T764" i="15"/>
  <c r="T765" i="15"/>
  <c r="T766" i="15"/>
  <c r="T767" i="15"/>
  <c r="T768" i="15"/>
  <c r="T769" i="15"/>
  <c r="T770" i="15"/>
  <c r="T771" i="15"/>
  <c r="T772" i="15"/>
  <c r="T773" i="15"/>
  <c r="T774" i="15"/>
  <c r="T775" i="15"/>
  <c r="T776" i="15"/>
  <c r="T777" i="15"/>
  <c r="T778" i="15"/>
  <c r="T779" i="15"/>
  <c r="T780" i="15"/>
  <c r="T781" i="15"/>
  <c r="T782" i="15"/>
  <c r="T783" i="15"/>
  <c r="T784" i="15"/>
  <c r="T785" i="15"/>
  <c r="T786" i="15"/>
  <c r="T787" i="15"/>
  <c r="T788" i="15"/>
  <c r="T789" i="15"/>
  <c r="T790" i="15"/>
  <c r="T791" i="15"/>
  <c r="T792" i="15"/>
  <c r="T793" i="15"/>
  <c r="T794" i="15"/>
  <c r="T795" i="15"/>
  <c r="T796" i="15"/>
  <c r="T797" i="15"/>
  <c r="T798" i="15"/>
  <c r="T799" i="15"/>
  <c r="T800" i="15"/>
  <c r="T801" i="15"/>
  <c r="T802" i="15"/>
  <c r="T803" i="15"/>
  <c r="T804" i="15"/>
  <c r="T805" i="15"/>
  <c r="T806" i="15"/>
  <c r="T807" i="15"/>
  <c r="T808" i="15"/>
  <c r="T809" i="15"/>
  <c r="T810" i="15"/>
  <c r="T811" i="15"/>
  <c r="T812" i="15"/>
  <c r="T813" i="15"/>
  <c r="T814" i="15"/>
  <c r="T815" i="15"/>
  <c r="T816" i="15"/>
  <c r="T817" i="15"/>
  <c r="T818" i="15"/>
  <c r="T819" i="15"/>
  <c r="T820" i="15"/>
  <c r="T821" i="15"/>
  <c r="T822" i="15"/>
  <c r="T823" i="15"/>
  <c r="T824" i="15"/>
  <c r="T825" i="15"/>
  <c r="T826" i="15"/>
  <c r="T827" i="15"/>
  <c r="T828" i="15"/>
  <c r="T829" i="15"/>
  <c r="T830" i="15"/>
  <c r="T831" i="15"/>
  <c r="T832" i="15"/>
  <c r="T833" i="15"/>
  <c r="T834" i="15"/>
  <c r="T835" i="15"/>
  <c r="T836" i="15"/>
  <c r="T837" i="15"/>
  <c r="T838" i="15"/>
  <c r="T839" i="15"/>
  <c r="T840" i="15"/>
  <c r="T841" i="15"/>
  <c r="T842" i="15"/>
  <c r="T843" i="15"/>
  <c r="T844" i="15"/>
  <c r="T845" i="15"/>
  <c r="T846" i="15"/>
  <c r="T847" i="15"/>
  <c r="T848" i="15"/>
  <c r="T849" i="15"/>
  <c r="T850" i="15"/>
  <c r="T851" i="15"/>
  <c r="T852" i="15"/>
  <c r="T853" i="15"/>
  <c r="T854" i="15"/>
  <c r="T855" i="15"/>
  <c r="T856" i="15"/>
  <c r="T857" i="15"/>
  <c r="T858" i="15"/>
  <c r="T859" i="15"/>
  <c r="T860" i="15"/>
  <c r="T861" i="15"/>
  <c r="T862" i="15"/>
  <c r="T863" i="15"/>
  <c r="T864" i="15"/>
  <c r="T865" i="15"/>
  <c r="T866" i="15"/>
  <c r="T867" i="15"/>
  <c r="T868" i="15"/>
  <c r="T869" i="15"/>
  <c r="T870" i="15"/>
  <c r="T871" i="15"/>
  <c r="T872" i="15"/>
  <c r="T873" i="15"/>
  <c r="T874" i="15"/>
  <c r="T875" i="15"/>
  <c r="T876" i="15"/>
  <c r="T877" i="15"/>
  <c r="T878" i="15"/>
  <c r="T879" i="15"/>
  <c r="T880" i="15"/>
  <c r="T881" i="15"/>
  <c r="T882" i="15"/>
  <c r="T883" i="15"/>
  <c r="T884" i="15"/>
  <c r="T885" i="15"/>
  <c r="T886" i="15"/>
  <c r="T887" i="15"/>
  <c r="T888" i="15"/>
  <c r="T889" i="15"/>
  <c r="T890" i="15"/>
  <c r="T891" i="15"/>
  <c r="T892" i="15"/>
  <c r="T893" i="15"/>
  <c r="T894" i="15"/>
  <c r="T895" i="15"/>
  <c r="T896" i="15"/>
  <c r="T897" i="15"/>
  <c r="T898" i="15"/>
  <c r="T899" i="15"/>
  <c r="T900" i="15"/>
  <c r="T901" i="15"/>
  <c r="T902" i="15"/>
  <c r="T903" i="15"/>
  <c r="T904" i="15"/>
  <c r="T905" i="15"/>
  <c r="T906" i="15"/>
  <c r="T907" i="15"/>
  <c r="T908" i="15"/>
  <c r="T909" i="15"/>
  <c r="T910" i="15"/>
  <c r="T911" i="15"/>
  <c r="T912" i="15"/>
  <c r="T913" i="15"/>
  <c r="T914" i="15"/>
  <c r="T915" i="15"/>
  <c r="T916" i="15"/>
  <c r="T917" i="15"/>
  <c r="T918" i="15"/>
  <c r="T919" i="15"/>
  <c r="T920" i="15"/>
  <c r="T921" i="15"/>
  <c r="T922" i="15"/>
  <c r="T923" i="15"/>
  <c r="T924" i="15"/>
  <c r="T925" i="15"/>
  <c r="T926" i="15"/>
  <c r="T927" i="15"/>
  <c r="T928" i="15"/>
  <c r="T929" i="15"/>
  <c r="T930" i="15"/>
  <c r="T931" i="15"/>
  <c r="T932" i="15"/>
  <c r="T933" i="15"/>
  <c r="T934" i="15"/>
  <c r="T935" i="15"/>
  <c r="T936" i="15"/>
  <c r="T937" i="15"/>
  <c r="T938" i="15"/>
  <c r="T939" i="15"/>
  <c r="T940" i="15"/>
  <c r="T941" i="15"/>
  <c r="T942" i="15"/>
  <c r="T943" i="15"/>
  <c r="T944" i="15"/>
  <c r="T945" i="15"/>
  <c r="T946" i="15"/>
  <c r="T947" i="15"/>
  <c r="T948" i="15"/>
  <c r="T949" i="15"/>
  <c r="T950" i="15"/>
  <c r="T951" i="15"/>
  <c r="T952" i="15"/>
  <c r="T953" i="15"/>
  <c r="T954" i="15"/>
  <c r="T955" i="15"/>
  <c r="T956" i="15"/>
  <c r="T957" i="15"/>
  <c r="T958" i="15"/>
  <c r="T959" i="15"/>
  <c r="T960" i="15"/>
  <c r="T961" i="15"/>
  <c r="T962" i="15"/>
  <c r="T963" i="15"/>
  <c r="T964" i="15"/>
  <c r="T965" i="15"/>
  <c r="T966" i="15"/>
  <c r="T967" i="15"/>
  <c r="T968" i="15"/>
  <c r="T969" i="15"/>
  <c r="T970" i="15"/>
  <c r="T971" i="15"/>
  <c r="T972" i="15"/>
  <c r="T973" i="15"/>
  <c r="T974" i="15"/>
  <c r="T975" i="15"/>
  <c r="T976" i="15"/>
  <c r="T977" i="15"/>
  <c r="T978" i="15"/>
  <c r="T979" i="15"/>
  <c r="T980" i="15"/>
  <c r="T981" i="15"/>
  <c r="T982" i="15"/>
  <c r="T983" i="15"/>
  <c r="T984" i="15"/>
  <c r="T985" i="15"/>
  <c r="T986" i="15"/>
  <c r="T987" i="15"/>
  <c r="T988" i="15"/>
  <c r="T989" i="15"/>
  <c r="T990" i="15"/>
  <c r="T991" i="15"/>
  <c r="T992" i="15"/>
  <c r="T993" i="15"/>
  <c r="T994" i="15"/>
  <c r="T995" i="15"/>
  <c r="T996" i="15"/>
  <c r="T997" i="15"/>
  <c r="T998" i="15"/>
  <c r="T999" i="15"/>
  <c r="T1000" i="15"/>
  <c r="T1001" i="15"/>
  <c r="T1002" i="15"/>
  <c r="T1003" i="15"/>
  <c r="T1004" i="15"/>
  <c r="T1005" i="15"/>
  <c r="T1006" i="15"/>
  <c r="T1007" i="15"/>
  <c r="T1008" i="15"/>
  <c r="T1009" i="15"/>
  <c r="T1010" i="15"/>
  <c r="T1011" i="15"/>
  <c r="T1012" i="15"/>
  <c r="T1013" i="15"/>
  <c r="T1014" i="15"/>
  <c r="T1015" i="15"/>
  <c r="T1016" i="15"/>
  <c r="T1017" i="15"/>
  <c r="T1018" i="15"/>
  <c r="T1019" i="15"/>
  <c r="T1020" i="15"/>
  <c r="T1021" i="15"/>
  <c r="R2" i="15"/>
  <c r="R3" i="15"/>
  <c r="R4" i="15"/>
  <c r="R5" i="15"/>
  <c r="R6" i="15"/>
  <c r="R7" i="15"/>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R207" i="15"/>
  <c r="R208" i="15"/>
  <c r="R209" i="15"/>
  <c r="R210" i="15"/>
  <c r="R211" i="15"/>
  <c r="R212" i="15"/>
  <c r="R213" i="15"/>
  <c r="R214" i="15"/>
  <c r="R215" i="15"/>
  <c r="R216" i="15"/>
  <c r="R217" i="15"/>
  <c r="R218" i="15"/>
  <c r="R219" i="15"/>
  <c r="R220" i="15"/>
  <c r="R221" i="15"/>
  <c r="R222" i="15"/>
  <c r="R223" i="15"/>
  <c r="R224" i="15"/>
  <c r="R225" i="15"/>
  <c r="R226" i="15"/>
  <c r="R227" i="15"/>
  <c r="R228" i="15"/>
  <c r="R229" i="15"/>
  <c r="R230" i="15"/>
  <c r="R231" i="15"/>
  <c r="R232" i="15"/>
  <c r="R233" i="15"/>
  <c r="R234" i="15"/>
  <c r="R235" i="15"/>
  <c r="R236" i="15"/>
  <c r="R237" i="15"/>
  <c r="R238" i="15"/>
  <c r="R239" i="15"/>
  <c r="R240" i="15"/>
  <c r="R241" i="15"/>
  <c r="R242" i="15"/>
  <c r="R243" i="15"/>
  <c r="R244" i="15"/>
  <c r="R245" i="15"/>
  <c r="R246" i="15"/>
  <c r="R247" i="15"/>
  <c r="R248" i="15"/>
  <c r="R249" i="15"/>
  <c r="R250" i="15"/>
  <c r="R251" i="15"/>
  <c r="R252" i="15"/>
  <c r="R253" i="15"/>
  <c r="R254" i="15"/>
  <c r="R255" i="15"/>
  <c r="R256" i="15"/>
  <c r="R257" i="15"/>
  <c r="R258" i="15"/>
  <c r="R259" i="15"/>
  <c r="R260" i="15"/>
  <c r="R261" i="15"/>
  <c r="R262" i="15"/>
  <c r="R263" i="15"/>
  <c r="R264" i="15"/>
  <c r="R265" i="15"/>
  <c r="R266" i="15"/>
  <c r="R267" i="15"/>
  <c r="R268" i="15"/>
  <c r="R269" i="15"/>
  <c r="R270" i="15"/>
  <c r="R271" i="15"/>
  <c r="R272" i="15"/>
  <c r="R273" i="15"/>
  <c r="R274" i="15"/>
  <c r="R275" i="15"/>
  <c r="R276" i="15"/>
  <c r="R277" i="15"/>
  <c r="R278" i="15"/>
  <c r="R279" i="15"/>
  <c r="R280" i="15"/>
  <c r="R281" i="15"/>
  <c r="R282" i="15"/>
  <c r="R283" i="15"/>
  <c r="R284" i="15"/>
  <c r="R285" i="15"/>
  <c r="R286" i="15"/>
  <c r="R287" i="15"/>
  <c r="R288" i="15"/>
  <c r="R289" i="15"/>
  <c r="R290" i="15"/>
  <c r="R291" i="15"/>
  <c r="R292" i="15"/>
  <c r="R293" i="15"/>
  <c r="R294" i="15"/>
  <c r="R295" i="15"/>
  <c r="R296" i="15"/>
  <c r="R297" i="15"/>
  <c r="R298" i="15"/>
  <c r="R299" i="15"/>
  <c r="R300" i="15"/>
  <c r="R301" i="15"/>
  <c r="R302" i="15"/>
  <c r="R303" i="15"/>
  <c r="R304" i="15"/>
  <c r="R305" i="15"/>
  <c r="R306" i="15"/>
  <c r="R307" i="15"/>
  <c r="R308" i="15"/>
  <c r="R309" i="15"/>
  <c r="R310" i="15"/>
  <c r="R311" i="15"/>
  <c r="R312" i="15"/>
  <c r="R313" i="15"/>
  <c r="R314" i="15"/>
  <c r="R315" i="15"/>
  <c r="R316" i="15"/>
  <c r="R317" i="15"/>
  <c r="R318" i="15"/>
  <c r="R319" i="15"/>
  <c r="R320" i="15"/>
  <c r="R321" i="15"/>
  <c r="R322" i="15"/>
  <c r="R323" i="15"/>
  <c r="R324" i="15"/>
  <c r="R325" i="15"/>
  <c r="R326" i="15"/>
  <c r="R327" i="15"/>
  <c r="R328" i="15"/>
  <c r="R329" i="15"/>
  <c r="R330" i="15"/>
  <c r="R331" i="15"/>
  <c r="R332" i="15"/>
  <c r="R333" i="15"/>
  <c r="R334" i="15"/>
  <c r="R335" i="15"/>
  <c r="R336" i="15"/>
  <c r="R337" i="15"/>
  <c r="R338" i="15"/>
  <c r="R339" i="15"/>
  <c r="R340" i="15"/>
  <c r="R341" i="15"/>
  <c r="R342" i="15"/>
  <c r="R343" i="15"/>
  <c r="R344" i="15"/>
  <c r="R345" i="15"/>
  <c r="R346" i="15"/>
  <c r="R347" i="15"/>
  <c r="R348" i="15"/>
  <c r="R349" i="15"/>
  <c r="R350" i="15"/>
  <c r="R351" i="15"/>
  <c r="R352" i="15"/>
  <c r="R353" i="15"/>
  <c r="R354" i="15"/>
  <c r="R355" i="15"/>
  <c r="R356" i="15"/>
  <c r="R357" i="15"/>
  <c r="R358" i="15"/>
  <c r="R359" i="15"/>
  <c r="R360" i="15"/>
  <c r="R361" i="15"/>
  <c r="R362" i="15"/>
  <c r="R363" i="15"/>
  <c r="R364" i="15"/>
  <c r="R365" i="15"/>
  <c r="R366" i="15"/>
  <c r="R367" i="15"/>
  <c r="R368" i="15"/>
  <c r="R369" i="15"/>
  <c r="R370" i="15"/>
  <c r="R371" i="15"/>
  <c r="R372" i="15"/>
  <c r="R373" i="15"/>
  <c r="R374" i="15"/>
  <c r="R375" i="15"/>
  <c r="R376" i="15"/>
  <c r="R377" i="15"/>
  <c r="R378" i="15"/>
  <c r="R379" i="15"/>
  <c r="R380" i="15"/>
  <c r="R381" i="15"/>
  <c r="R382" i="15"/>
  <c r="R383" i="15"/>
  <c r="R384" i="15"/>
  <c r="R385" i="15"/>
  <c r="R386" i="15"/>
  <c r="R387" i="15"/>
  <c r="R388" i="15"/>
  <c r="R389" i="15"/>
  <c r="R390" i="15"/>
  <c r="R391" i="15"/>
  <c r="R392" i="15"/>
  <c r="R393" i="15"/>
  <c r="R394" i="15"/>
  <c r="R395" i="15"/>
  <c r="R396" i="15"/>
  <c r="R397" i="15"/>
  <c r="R398" i="15"/>
  <c r="R399" i="15"/>
  <c r="R400" i="15"/>
  <c r="R401" i="15"/>
  <c r="R402" i="15"/>
  <c r="R403" i="15"/>
  <c r="R404" i="15"/>
  <c r="R405" i="15"/>
  <c r="R406" i="15"/>
  <c r="R407" i="15"/>
  <c r="R408" i="15"/>
  <c r="R409" i="15"/>
  <c r="R410" i="15"/>
  <c r="R411" i="15"/>
  <c r="R412" i="15"/>
  <c r="R413" i="15"/>
  <c r="R414" i="15"/>
  <c r="R415" i="15"/>
  <c r="R416" i="15"/>
  <c r="R417" i="15"/>
  <c r="R418" i="15"/>
  <c r="R419" i="15"/>
  <c r="R420" i="15"/>
  <c r="R421" i="15"/>
  <c r="R422" i="15"/>
  <c r="R423" i="15"/>
  <c r="R424" i="15"/>
  <c r="R425" i="15"/>
  <c r="R426" i="15"/>
  <c r="R427" i="15"/>
  <c r="R428" i="15"/>
  <c r="R429" i="15"/>
  <c r="R430" i="15"/>
  <c r="R431" i="15"/>
  <c r="R432" i="15"/>
  <c r="R433" i="15"/>
  <c r="R434" i="15"/>
  <c r="R435" i="15"/>
  <c r="R436" i="15"/>
  <c r="R437" i="15"/>
  <c r="R438" i="15"/>
  <c r="R439" i="15"/>
  <c r="R440" i="15"/>
  <c r="R441" i="15"/>
  <c r="R442" i="15"/>
  <c r="R443" i="15"/>
  <c r="R444" i="15"/>
  <c r="R445" i="15"/>
  <c r="R446" i="15"/>
  <c r="R447" i="15"/>
  <c r="R448" i="15"/>
  <c r="R449" i="15"/>
  <c r="R450" i="15"/>
  <c r="R451" i="15"/>
  <c r="R452" i="15"/>
  <c r="R453" i="15"/>
  <c r="R454" i="15"/>
  <c r="R455" i="15"/>
  <c r="R456" i="15"/>
  <c r="R457" i="15"/>
  <c r="R458" i="15"/>
  <c r="R459" i="15"/>
  <c r="R460" i="15"/>
  <c r="R461" i="15"/>
  <c r="R462" i="15"/>
  <c r="R463" i="15"/>
  <c r="R464" i="15"/>
  <c r="R465" i="15"/>
  <c r="R466" i="15"/>
  <c r="R467" i="15"/>
  <c r="R468" i="15"/>
  <c r="R469" i="15"/>
  <c r="R470" i="15"/>
  <c r="R471" i="15"/>
  <c r="R472" i="15"/>
  <c r="R473" i="15"/>
  <c r="R474" i="15"/>
  <c r="R475" i="15"/>
  <c r="R476" i="15"/>
  <c r="R477" i="15"/>
  <c r="R478" i="15"/>
  <c r="R479" i="15"/>
  <c r="R480" i="15"/>
  <c r="R481" i="15"/>
  <c r="R482" i="15"/>
  <c r="R483" i="15"/>
  <c r="R484" i="15"/>
  <c r="R485" i="15"/>
  <c r="R486" i="15"/>
  <c r="R487" i="15"/>
  <c r="R488" i="15"/>
  <c r="R489" i="15"/>
  <c r="R490" i="15"/>
  <c r="R491" i="15"/>
  <c r="R492" i="15"/>
  <c r="R493" i="15"/>
  <c r="R494" i="15"/>
  <c r="R495" i="15"/>
  <c r="R496" i="15"/>
  <c r="R497" i="15"/>
  <c r="R498" i="15"/>
  <c r="R499" i="15"/>
  <c r="R500" i="15"/>
  <c r="R501" i="15"/>
  <c r="R502" i="15"/>
  <c r="R503" i="15"/>
  <c r="R504" i="15"/>
  <c r="R505" i="15"/>
  <c r="R506" i="15"/>
  <c r="R507" i="15"/>
  <c r="R508" i="15"/>
  <c r="R509" i="15"/>
  <c r="R510" i="15"/>
  <c r="R511" i="15"/>
  <c r="R512" i="15"/>
  <c r="R513" i="15"/>
  <c r="R514" i="15"/>
  <c r="R515" i="15"/>
  <c r="R516" i="15"/>
  <c r="R517" i="15"/>
  <c r="R518" i="15"/>
  <c r="R519" i="15"/>
  <c r="R520" i="15"/>
  <c r="R521" i="15"/>
  <c r="R522" i="15"/>
  <c r="R523" i="15"/>
  <c r="R524" i="15"/>
  <c r="R525" i="15"/>
  <c r="R526" i="15"/>
  <c r="R527" i="15"/>
  <c r="R528" i="15"/>
  <c r="R529" i="15"/>
  <c r="R530" i="15"/>
  <c r="R531" i="15"/>
  <c r="R532" i="15"/>
  <c r="R533" i="15"/>
  <c r="R534" i="15"/>
  <c r="R535" i="15"/>
  <c r="R536" i="15"/>
  <c r="R537" i="15"/>
  <c r="R538" i="15"/>
  <c r="R539" i="15"/>
  <c r="R540" i="15"/>
  <c r="R541" i="15"/>
  <c r="R542" i="15"/>
  <c r="R543" i="15"/>
  <c r="R544" i="15"/>
  <c r="R545" i="15"/>
  <c r="R546" i="15"/>
  <c r="R547" i="15"/>
  <c r="R548" i="15"/>
  <c r="R549" i="15"/>
  <c r="R550" i="15"/>
  <c r="R551" i="15"/>
  <c r="R552" i="15"/>
  <c r="R553" i="15"/>
  <c r="R554" i="15"/>
  <c r="R555" i="15"/>
  <c r="R556" i="15"/>
  <c r="R557" i="15"/>
  <c r="R558" i="15"/>
  <c r="R559" i="15"/>
  <c r="R560" i="15"/>
  <c r="R561" i="15"/>
  <c r="R562" i="15"/>
  <c r="R563" i="15"/>
  <c r="R564" i="15"/>
  <c r="R565" i="15"/>
  <c r="R566" i="15"/>
  <c r="R567" i="15"/>
  <c r="R568" i="15"/>
  <c r="R569" i="15"/>
  <c r="R570" i="15"/>
  <c r="R571" i="15"/>
  <c r="R572" i="15"/>
  <c r="R573" i="15"/>
  <c r="R574" i="15"/>
  <c r="R575" i="15"/>
  <c r="R576" i="15"/>
  <c r="R577" i="15"/>
  <c r="R578" i="15"/>
  <c r="R579" i="15"/>
  <c r="R580" i="15"/>
  <c r="R581" i="15"/>
  <c r="R582" i="15"/>
  <c r="R583" i="15"/>
  <c r="R584" i="15"/>
  <c r="R585" i="15"/>
  <c r="R586" i="15"/>
  <c r="R587" i="15"/>
  <c r="R588" i="15"/>
  <c r="R589" i="15"/>
  <c r="R590" i="15"/>
  <c r="R591" i="15"/>
  <c r="R592" i="15"/>
  <c r="R593" i="15"/>
  <c r="R594" i="15"/>
  <c r="R595" i="15"/>
  <c r="R596" i="15"/>
  <c r="R597" i="15"/>
  <c r="R598" i="15"/>
  <c r="R599" i="15"/>
  <c r="R600" i="15"/>
  <c r="R601" i="15"/>
  <c r="R602" i="15"/>
  <c r="R603" i="15"/>
  <c r="R604" i="15"/>
  <c r="R605" i="15"/>
  <c r="R606" i="15"/>
  <c r="R607" i="15"/>
  <c r="R608" i="15"/>
  <c r="R609" i="15"/>
  <c r="R610" i="15"/>
  <c r="R611" i="15"/>
  <c r="R612" i="15"/>
  <c r="R613" i="15"/>
  <c r="R614" i="15"/>
  <c r="R615" i="15"/>
  <c r="R616" i="15"/>
  <c r="R617" i="15"/>
  <c r="R618" i="15"/>
  <c r="R619" i="15"/>
  <c r="R620" i="15"/>
  <c r="R621" i="15"/>
  <c r="R622" i="15"/>
  <c r="R623" i="15"/>
  <c r="R624" i="15"/>
  <c r="R625" i="15"/>
  <c r="R626" i="15"/>
  <c r="R627" i="15"/>
  <c r="R628" i="15"/>
  <c r="R629" i="15"/>
  <c r="R630" i="15"/>
  <c r="R631" i="15"/>
  <c r="R632" i="15"/>
  <c r="R633" i="15"/>
  <c r="R634" i="15"/>
  <c r="R635" i="15"/>
  <c r="R636" i="15"/>
  <c r="R637" i="15"/>
  <c r="R638" i="15"/>
  <c r="R639" i="15"/>
  <c r="R640" i="15"/>
  <c r="R641" i="15"/>
  <c r="R642" i="15"/>
  <c r="R643" i="15"/>
  <c r="R644" i="15"/>
  <c r="R645" i="15"/>
  <c r="R646" i="15"/>
  <c r="R647" i="15"/>
  <c r="R648" i="15"/>
  <c r="R649" i="15"/>
  <c r="R650" i="15"/>
  <c r="R651" i="15"/>
  <c r="R652" i="15"/>
  <c r="R653" i="15"/>
  <c r="R654" i="15"/>
  <c r="R655" i="15"/>
  <c r="R656" i="15"/>
  <c r="R657" i="15"/>
  <c r="R658" i="15"/>
  <c r="R659" i="15"/>
  <c r="R660" i="15"/>
  <c r="R661" i="15"/>
  <c r="R662" i="15"/>
  <c r="R663" i="15"/>
  <c r="R664" i="15"/>
  <c r="R665" i="15"/>
  <c r="R666" i="15"/>
  <c r="R667" i="15"/>
  <c r="R668" i="15"/>
  <c r="R669" i="15"/>
  <c r="R670" i="15"/>
  <c r="R671" i="15"/>
  <c r="R672" i="15"/>
  <c r="R673" i="15"/>
  <c r="R674" i="15"/>
  <c r="R675" i="15"/>
  <c r="R676" i="15"/>
  <c r="R677" i="15"/>
  <c r="R678" i="15"/>
  <c r="R679" i="15"/>
  <c r="R680" i="15"/>
  <c r="R681" i="15"/>
  <c r="R682" i="15"/>
  <c r="R683" i="15"/>
  <c r="R684" i="15"/>
  <c r="R685" i="15"/>
  <c r="R686" i="15"/>
  <c r="R687" i="15"/>
  <c r="R688" i="15"/>
  <c r="R689" i="15"/>
  <c r="R690" i="15"/>
  <c r="R691" i="15"/>
  <c r="R692" i="15"/>
  <c r="R693" i="15"/>
  <c r="R694" i="15"/>
  <c r="R695" i="15"/>
  <c r="R696" i="15"/>
  <c r="R697" i="15"/>
  <c r="R698" i="15"/>
  <c r="R699" i="15"/>
  <c r="R700" i="15"/>
  <c r="R701" i="15"/>
  <c r="R702" i="15"/>
  <c r="R703" i="15"/>
  <c r="R704" i="15"/>
  <c r="R705" i="15"/>
  <c r="R706" i="15"/>
  <c r="R707" i="15"/>
  <c r="R708" i="15"/>
  <c r="R709" i="15"/>
  <c r="R710" i="15"/>
  <c r="R711" i="15"/>
  <c r="R712" i="15"/>
  <c r="R713" i="15"/>
  <c r="R714" i="15"/>
  <c r="R715" i="15"/>
  <c r="R716" i="15"/>
  <c r="R717" i="15"/>
  <c r="R718" i="15"/>
  <c r="R719" i="15"/>
  <c r="R720" i="15"/>
  <c r="R721" i="15"/>
  <c r="R722" i="15"/>
  <c r="R723" i="15"/>
  <c r="R724" i="15"/>
  <c r="R725" i="15"/>
  <c r="R726" i="15"/>
  <c r="R727" i="15"/>
  <c r="R728" i="15"/>
  <c r="R729" i="15"/>
  <c r="R730" i="15"/>
  <c r="R731" i="15"/>
  <c r="R732" i="15"/>
  <c r="R733" i="15"/>
  <c r="R734" i="15"/>
  <c r="R735" i="15"/>
  <c r="R736" i="15"/>
  <c r="R737" i="15"/>
  <c r="R738" i="15"/>
  <c r="R739" i="15"/>
  <c r="R740" i="15"/>
  <c r="R741" i="15"/>
  <c r="R742" i="15"/>
  <c r="R743" i="15"/>
  <c r="R744" i="15"/>
  <c r="R745" i="15"/>
  <c r="R746" i="15"/>
  <c r="R747" i="15"/>
  <c r="R748" i="15"/>
  <c r="R749" i="15"/>
  <c r="R750" i="15"/>
  <c r="R751" i="15"/>
  <c r="R752" i="15"/>
  <c r="R753" i="15"/>
  <c r="R754" i="15"/>
  <c r="R755" i="15"/>
  <c r="R756" i="15"/>
  <c r="R757" i="15"/>
  <c r="R758" i="15"/>
  <c r="R759" i="15"/>
  <c r="R760" i="15"/>
  <c r="R761" i="15"/>
  <c r="R762" i="15"/>
  <c r="R763" i="15"/>
  <c r="R764" i="15"/>
  <c r="R765" i="15"/>
  <c r="R766" i="15"/>
  <c r="R767" i="15"/>
  <c r="R768" i="15"/>
  <c r="R769" i="15"/>
  <c r="R770" i="15"/>
  <c r="R771" i="15"/>
  <c r="R772" i="15"/>
  <c r="R773" i="15"/>
  <c r="R774" i="15"/>
  <c r="R775" i="15"/>
  <c r="R776" i="15"/>
  <c r="R777" i="15"/>
  <c r="R778" i="15"/>
  <c r="R779" i="15"/>
  <c r="R780" i="15"/>
  <c r="R781" i="15"/>
  <c r="R782" i="15"/>
  <c r="R783" i="15"/>
  <c r="R784" i="15"/>
  <c r="R785" i="15"/>
  <c r="R786" i="15"/>
  <c r="R787" i="15"/>
  <c r="R788" i="15"/>
  <c r="R789" i="15"/>
  <c r="R790" i="15"/>
  <c r="R791" i="15"/>
  <c r="R792" i="15"/>
  <c r="R793" i="15"/>
  <c r="R794" i="15"/>
  <c r="R795" i="15"/>
  <c r="R796" i="15"/>
  <c r="R797" i="15"/>
  <c r="R798" i="15"/>
  <c r="R799" i="15"/>
  <c r="R800" i="15"/>
  <c r="R801" i="15"/>
  <c r="R802" i="15"/>
  <c r="R803" i="15"/>
  <c r="R804" i="15"/>
  <c r="R805" i="15"/>
  <c r="R806" i="15"/>
  <c r="R807" i="15"/>
  <c r="R808" i="15"/>
  <c r="R809" i="15"/>
  <c r="R810" i="15"/>
  <c r="R811" i="15"/>
  <c r="R812" i="15"/>
  <c r="R813" i="15"/>
  <c r="R814" i="15"/>
  <c r="R815" i="15"/>
  <c r="R816" i="15"/>
  <c r="R817" i="15"/>
  <c r="R818" i="15"/>
  <c r="R819" i="15"/>
  <c r="R820" i="15"/>
  <c r="R821" i="15"/>
  <c r="R822" i="15"/>
  <c r="R823" i="15"/>
  <c r="R824" i="15"/>
  <c r="R825" i="15"/>
  <c r="R826" i="15"/>
  <c r="R827" i="15"/>
  <c r="R828" i="15"/>
  <c r="R829" i="15"/>
  <c r="R830" i="15"/>
  <c r="R831" i="15"/>
  <c r="R832" i="15"/>
  <c r="R833" i="15"/>
  <c r="R834" i="15"/>
  <c r="R835" i="15"/>
  <c r="R836" i="15"/>
  <c r="R837" i="15"/>
  <c r="R838" i="15"/>
  <c r="R839" i="15"/>
  <c r="R840" i="15"/>
  <c r="R841" i="15"/>
  <c r="R842" i="15"/>
  <c r="R843" i="15"/>
  <c r="R844" i="15"/>
  <c r="R845" i="15"/>
  <c r="R846" i="15"/>
  <c r="R847" i="15"/>
  <c r="R848" i="15"/>
  <c r="R849" i="15"/>
  <c r="R850" i="15"/>
  <c r="R851" i="15"/>
  <c r="R852" i="15"/>
  <c r="R853" i="15"/>
  <c r="R854" i="15"/>
  <c r="R855" i="15"/>
  <c r="R856" i="15"/>
  <c r="R857" i="15"/>
  <c r="R858" i="15"/>
  <c r="R859" i="15"/>
  <c r="R860" i="15"/>
  <c r="R861" i="15"/>
  <c r="R862" i="15"/>
  <c r="R863" i="15"/>
  <c r="R864" i="15"/>
  <c r="R865" i="15"/>
  <c r="R866" i="15"/>
  <c r="R867" i="15"/>
  <c r="R868" i="15"/>
  <c r="R869" i="15"/>
  <c r="R870" i="15"/>
  <c r="R871" i="15"/>
  <c r="R872" i="15"/>
  <c r="R873" i="15"/>
  <c r="R874" i="15"/>
  <c r="R875" i="15"/>
  <c r="R876" i="15"/>
  <c r="R877" i="15"/>
  <c r="R878" i="15"/>
  <c r="R879" i="15"/>
  <c r="R880" i="15"/>
  <c r="R881" i="15"/>
  <c r="R882" i="15"/>
  <c r="R883" i="15"/>
  <c r="R884" i="15"/>
  <c r="R885" i="15"/>
  <c r="R886" i="15"/>
  <c r="R887" i="15"/>
  <c r="R888" i="15"/>
  <c r="R889" i="15"/>
  <c r="R890" i="15"/>
  <c r="R891" i="15"/>
  <c r="R892" i="15"/>
  <c r="R893" i="15"/>
  <c r="R894" i="15"/>
  <c r="R895" i="15"/>
  <c r="R896" i="15"/>
  <c r="R897" i="15"/>
  <c r="R898" i="15"/>
  <c r="R899" i="15"/>
  <c r="R900" i="15"/>
  <c r="R901" i="15"/>
  <c r="R902" i="15"/>
  <c r="R903" i="15"/>
  <c r="R904" i="15"/>
  <c r="R905" i="15"/>
  <c r="R906" i="15"/>
  <c r="R907" i="15"/>
  <c r="R908" i="15"/>
  <c r="R909" i="15"/>
  <c r="R910" i="15"/>
  <c r="R911" i="15"/>
  <c r="R912" i="15"/>
  <c r="R913" i="15"/>
  <c r="R914" i="15"/>
  <c r="R915" i="15"/>
  <c r="R916" i="15"/>
  <c r="R917" i="15"/>
  <c r="R918" i="15"/>
  <c r="R919" i="15"/>
  <c r="R920" i="15"/>
  <c r="R921" i="15"/>
  <c r="R922" i="15"/>
  <c r="R923" i="15"/>
  <c r="R924" i="15"/>
  <c r="R925" i="15"/>
  <c r="R926" i="15"/>
  <c r="R927" i="15"/>
  <c r="R928" i="15"/>
  <c r="R929" i="15"/>
  <c r="R930" i="15"/>
  <c r="R931" i="15"/>
  <c r="R932" i="15"/>
  <c r="R933" i="15"/>
  <c r="R934" i="15"/>
  <c r="R935" i="15"/>
  <c r="R936" i="15"/>
  <c r="R937" i="15"/>
  <c r="R938" i="15"/>
  <c r="R939" i="15"/>
  <c r="R940" i="15"/>
  <c r="R941" i="15"/>
  <c r="R942" i="15"/>
  <c r="R943" i="15"/>
  <c r="R944" i="15"/>
  <c r="R945" i="15"/>
  <c r="R946" i="15"/>
  <c r="R947" i="15"/>
  <c r="R948" i="15"/>
  <c r="R949" i="15"/>
  <c r="R950" i="15"/>
  <c r="R951" i="15"/>
  <c r="R952" i="15"/>
  <c r="R953" i="15"/>
  <c r="R954" i="15"/>
  <c r="R955" i="15"/>
  <c r="R956" i="15"/>
  <c r="R957" i="15"/>
  <c r="R958" i="15"/>
  <c r="R959" i="15"/>
  <c r="R960" i="15"/>
  <c r="R961" i="15"/>
  <c r="R962" i="15"/>
  <c r="R963" i="15"/>
  <c r="R964" i="15"/>
  <c r="R965" i="15"/>
  <c r="R966" i="15"/>
  <c r="R967" i="15"/>
  <c r="R968" i="15"/>
  <c r="R969" i="15"/>
  <c r="R970" i="15"/>
  <c r="R971" i="15"/>
  <c r="R972" i="15"/>
  <c r="R973" i="15"/>
  <c r="R974" i="15"/>
  <c r="R975" i="15"/>
  <c r="R976" i="15"/>
  <c r="R977" i="15"/>
  <c r="R978" i="15"/>
  <c r="R979" i="15"/>
  <c r="R980" i="15"/>
  <c r="R981" i="15"/>
  <c r="R982" i="15"/>
  <c r="R983" i="15"/>
  <c r="R984" i="15"/>
  <c r="R985" i="15"/>
  <c r="R986" i="15"/>
  <c r="R987" i="15"/>
  <c r="R988" i="15"/>
  <c r="R989" i="15"/>
  <c r="R990" i="15"/>
  <c r="R991" i="15"/>
  <c r="R992" i="15"/>
  <c r="R993" i="15"/>
  <c r="R994" i="15"/>
  <c r="R995" i="15"/>
  <c r="R996" i="15"/>
  <c r="R997" i="15"/>
  <c r="R998" i="15"/>
  <c r="R999" i="15"/>
  <c r="R1000" i="15"/>
  <c r="R1001" i="15"/>
  <c r="R1002" i="15"/>
  <c r="R1003" i="15"/>
  <c r="R1004" i="15"/>
  <c r="R1005" i="15"/>
  <c r="R1006" i="15"/>
  <c r="R1007" i="15"/>
  <c r="R1008" i="15"/>
  <c r="R1009" i="15"/>
  <c r="R1010" i="15"/>
  <c r="R1011" i="15"/>
  <c r="R1012" i="15"/>
  <c r="R1013" i="15"/>
  <c r="R1014" i="15"/>
  <c r="R1015" i="15"/>
  <c r="R1016" i="15"/>
  <c r="R1017" i="15"/>
  <c r="R1018" i="15"/>
  <c r="R1019" i="15"/>
  <c r="R1020" i="15"/>
  <c r="R1021" i="15"/>
  <c r="Q2" i="15"/>
  <c r="Q3" i="15"/>
  <c r="Q4" i="15"/>
  <c r="Q5" i="15"/>
  <c r="Q6" i="15"/>
  <c r="Q7" i="15"/>
  <c r="Q8" i="15"/>
  <c r="Q9" i="15"/>
  <c r="Q10" i="15"/>
  <c r="Q11" i="15"/>
  <c r="Q12"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Q377" i="15"/>
  <c r="Q378" i="15"/>
  <c r="Q379" i="15"/>
  <c r="Q380" i="15"/>
  <c r="Q381" i="15"/>
  <c r="Q382" i="15"/>
  <c r="Q383" i="15"/>
  <c r="Q384" i="15"/>
  <c r="Q385" i="15"/>
  <c r="Q386" i="15"/>
  <c r="Q387" i="15"/>
  <c r="Q388" i="15"/>
  <c r="Q389" i="15"/>
  <c r="Q390" i="15"/>
  <c r="Q391" i="15"/>
  <c r="Q392" i="15"/>
  <c r="Q393" i="15"/>
  <c r="Q394" i="15"/>
  <c r="Q395" i="15"/>
  <c r="Q396" i="15"/>
  <c r="Q397" i="15"/>
  <c r="Q398" i="15"/>
  <c r="Q399" i="15"/>
  <c r="Q400" i="15"/>
  <c r="Q401" i="15"/>
  <c r="Q402" i="15"/>
  <c r="Q403" i="15"/>
  <c r="Q404" i="15"/>
  <c r="Q405" i="15"/>
  <c r="Q406" i="15"/>
  <c r="Q407" i="15"/>
  <c r="Q408" i="15"/>
  <c r="Q409" i="15"/>
  <c r="Q410" i="15"/>
  <c r="Q411" i="15"/>
  <c r="Q412" i="15"/>
  <c r="Q413" i="15"/>
  <c r="Q414" i="15"/>
  <c r="Q415" i="15"/>
  <c r="Q416" i="15"/>
  <c r="Q417" i="15"/>
  <c r="Q418" i="15"/>
  <c r="Q419" i="15"/>
  <c r="Q420" i="15"/>
  <c r="Q421" i="15"/>
  <c r="Q422" i="15"/>
  <c r="Q423" i="15"/>
  <c r="Q424" i="15"/>
  <c r="Q425" i="15"/>
  <c r="Q426" i="15"/>
  <c r="Q427" i="15"/>
  <c r="Q428" i="15"/>
  <c r="Q429" i="15"/>
  <c r="Q430" i="15"/>
  <c r="Q431" i="15"/>
  <c r="Q432" i="15"/>
  <c r="Q433" i="15"/>
  <c r="Q434" i="15"/>
  <c r="Q435" i="15"/>
  <c r="Q436" i="15"/>
  <c r="Q437" i="15"/>
  <c r="Q438" i="15"/>
  <c r="Q439" i="15"/>
  <c r="Q440" i="15"/>
  <c r="Q441" i="15"/>
  <c r="Q442" i="15"/>
  <c r="Q443" i="15"/>
  <c r="Q444" i="15"/>
  <c r="Q445" i="15"/>
  <c r="Q446" i="15"/>
  <c r="Q447" i="15"/>
  <c r="Q448" i="15"/>
  <c r="Q449" i="15"/>
  <c r="Q450" i="15"/>
  <c r="Q451" i="15"/>
  <c r="Q452" i="15"/>
  <c r="Q453" i="15"/>
  <c r="Q454" i="15"/>
  <c r="Q455" i="15"/>
  <c r="Q456" i="15"/>
  <c r="Q457" i="15"/>
  <c r="Q458" i="15"/>
  <c r="Q459" i="15"/>
  <c r="Q460" i="15"/>
  <c r="Q461" i="15"/>
  <c r="Q462" i="15"/>
  <c r="Q463" i="15"/>
  <c r="Q464" i="15"/>
  <c r="Q465" i="15"/>
  <c r="Q466" i="15"/>
  <c r="Q467" i="15"/>
  <c r="Q468" i="15"/>
  <c r="Q469" i="15"/>
  <c r="Q470" i="15"/>
  <c r="Q471" i="15"/>
  <c r="Q472" i="15"/>
  <c r="Q473" i="15"/>
  <c r="Q474" i="15"/>
  <c r="Q475" i="15"/>
  <c r="Q476" i="15"/>
  <c r="Q477" i="15"/>
  <c r="Q478" i="15"/>
  <c r="Q479" i="15"/>
  <c r="Q480" i="15"/>
  <c r="Q481" i="15"/>
  <c r="Q482" i="15"/>
  <c r="Q483" i="15"/>
  <c r="Q484" i="15"/>
  <c r="Q485" i="15"/>
  <c r="Q486" i="15"/>
  <c r="Q487" i="15"/>
  <c r="Q488" i="15"/>
  <c r="Q489" i="15"/>
  <c r="Q490" i="15"/>
  <c r="Q491" i="15"/>
  <c r="Q492" i="15"/>
  <c r="Q493" i="15"/>
  <c r="Q494" i="15"/>
  <c r="Q495" i="15"/>
  <c r="Q496" i="15"/>
  <c r="Q497" i="15"/>
  <c r="Q498" i="15"/>
  <c r="Q499" i="15"/>
  <c r="Q500" i="15"/>
  <c r="Q501" i="15"/>
  <c r="Q502" i="15"/>
  <c r="Q503" i="15"/>
  <c r="Q504" i="15"/>
  <c r="Q505" i="15"/>
  <c r="Q506" i="15"/>
  <c r="Q507" i="15"/>
  <c r="Q508" i="15"/>
  <c r="Q509" i="15"/>
  <c r="Q510" i="15"/>
  <c r="Q511" i="15"/>
  <c r="Q512" i="15"/>
  <c r="Q513" i="15"/>
  <c r="Q514" i="15"/>
  <c r="Q515" i="15"/>
  <c r="Q516" i="15"/>
  <c r="Q517" i="15"/>
  <c r="Q518" i="15"/>
  <c r="Q519" i="15"/>
  <c r="Q520" i="15"/>
  <c r="Q521" i="15"/>
  <c r="Q522" i="15"/>
  <c r="Q523" i="15"/>
  <c r="Q524" i="15"/>
  <c r="Q525" i="15"/>
  <c r="Q526" i="15"/>
  <c r="Q527" i="15"/>
  <c r="Q528" i="15"/>
  <c r="Q529" i="15"/>
  <c r="Q530" i="15"/>
  <c r="Q531" i="15"/>
  <c r="Q532" i="15"/>
  <c r="Q533" i="15"/>
  <c r="Q534" i="15"/>
  <c r="Q535" i="15"/>
  <c r="Q536" i="15"/>
  <c r="Q537" i="15"/>
  <c r="Q538" i="15"/>
  <c r="Q539" i="15"/>
  <c r="Q540" i="15"/>
  <c r="Q541" i="15"/>
  <c r="Q542" i="15"/>
  <c r="Q543" i="15"/>
  <c r="Q544" i="15"/>
  <c r="Q545" i="15"/>
  <c r="Q546" i="15"/>
  <c r="Q547" i="15"/>
  <c r="Q548" i="15"/>
  <c r="Q549" i="15"/>
  <c r="Q550" i="15"/>
  <c r="Q551" i="15"/>
  <c r="Q552" i="15"/>
  <c r="Q553" i="15"/>
  <c r="Q554" i="15"/>
  <c r="Q555" i="15"/>
  <c r="Q556" i="15"/>
  <c r="Q557" i="15"/>
  <c r="Q558" i="15"/>
  <c r="Q559" i="15"/>
  <c r="Q560" i="15"/>
  <c r="Q561" i="15"/>
  <c r="Q562" i="15"/>
  <c r="Q563" i="15"/>
  <c r="Q564" i="15"/>
  <c r="Q565" i="15"/>
  <c r="Q566" i="15"/>
  <c r="Q567" i="15"/>
  <c r="Q568" i="15"/>
  <c r="Q569" i="15"/>
  <c r="Q570" i="15"/>
  <c r="Q571" i="15"/>
  <c r="Q572" i="15"/>
  <c r="Q573" i="15"/>
  <c r="Q574" i="15"/>
  <c r="Q575" i="15"/>
  <c r="Q576" i="15"/>
  <c r="Q577" i="15"/>
  <c r="Q578" i="15"/>
  <c r="Q579" i="15"/>
  <c r="Q580" i="15"/>
  <c r="Q581" i="15"/>
  <c r="Q582" i="15"/>
  <c r="Q583" i="15"/>
  <c r="Q584" i="15"/>
  <c r="Q585" i="15"/>
  <c r="Q586" i="15"/>
  <c r="Q587" i="15"/>
  <c r="Q588" i="15"/>
  <c r="Q589" i="15"/>
  <c r="Q590" i="15"/>
  <c r="Q591" i="15"/>
  <c r="Q592" i="15"/>
  <c r="Q593" i="15"/>
  <c r="Q594" i="15"/>
  <c r="Q595" i="15"/>
  <c r="Q596" i="15"/>
  <c r="Q597" i="15"/>
  <c r="Q598" i="15"/>
  <c r="Q599" i="15"/>
  <c r="Q600" i="15"/>
  <c r="Q601" i="15"/>
  <c r="Q602" i="15"/>
  <c r="Q603" i="15"/>
  <c r="Q604" i="15"/>
  <c r="Q605" i="15"/>
  <c r="Q606" i="15"/>
  <c r="Q607" i="15"/>
  <c r="Q608" i="15"/>
  <c r="Q609" i="15"/>
  <c r="Q610" i="15"/>
  <c r="Q611" i="15"/>
  <c r="Q612" i="15"/>
  <c r="Q613" i="15"/>
  <c r="Q614" i="15"/>
  <c r="Q615" i="15"/>
  <c r="Q616" i="15"/>
  <c r="Q617" i="15"/>
  <c r="Q618" i="15"/>
  <c r="Q619" i="15"/>
  <c r="Q620" i="15"/>
  <c r="Q621" i="15"/>
  <c r="Q622" i="15"/>
  <c r="Q623" i="15"/>
  <c r="Q624" i="15"/>
  <c r="Q625" i="15"/>
  <c r="Q626" i="15"/>
  <c r="Q627" i="15"/>
  <c r="Q628" i="15"/>
  <c r="Q629" i="15"/>
  <c r="Q630" i="15"/>
  <c r="Q631" i="15"/>
  <c r="Q632" i="15"/>
  <c r="Q633" i="15"/>
  <c r="Q634" i="15"/>
  <c r="Q635" i="15"/>
  <c r="Q636" i="15"/>
  <c r="Q637" i="15"/>
  <c r="Q638" i="15"/>
  <c r="Q639" i="15"/>
  <c r="Q640" i="15"/>
  <c r="Q641" i="15"/>
  <c r="Q642" i="15"/>
  <c r="Q643" i="15"/>
  <c r="Q644" i="15"/>
  <c r="Q645" i="15"/>
  <c r="Q646" i="15"/>
  <c r="Q647" i="15"/>
  <c r="Q648" i="15"/>
  <c r="Q649" i="15"/>
  <c r="Q650" i="15"/>
  <c r="Q651" i="15"/>
  <c r="Q652" i="15"/>
  <c r="Q653" i="15"/>
  <c r="Q654" i="15"/>
  <c r="Q655" i="15"/>
  <c r="Q656" i="15"/>
  <c r="Q657" i="15"/>
  <c r="Q658" i="15"/>
  <c r="Q659" i="15"/>
  <c r="Q660" i="15"/>
  <c r="Q661" i="15"/>
  <c r="Q662" i="15"/>
  <c r="Q663" i="15"/>
  <c r="Q664" i="15"/>
  <c r="Q665" i="15"/>
  <c r="Q666" i="15"/>
  <c r="Q667" i="15"/>
  <c r="Q668" i="15"/>
  <c r="Q669" i="15"/>
  <c r="Q670" i="15"/>
  <c r="Q671" i="15"/>
  <c r="Q672" i="15"/>
  <c r="Q673" i="15"/>
  <c r="Q674" i="15"/>
  <c r="Q675" i="15"/>
  <c r="Q676" i="15"/>
  <c r="Q677" i="15"/>
  <c r="Q678" i="15"/>
  <c r="Q679" i="15"/>
  <c r="Q680" i="15"/>
  <c r="Q681" i="15"/>
  <c r="Q682" i="15"/>
  <c r="Q683" i="15"/>
  <c r="Q684" i="15"/>
  <c r="Q685" i="15"/>
  <c r="Q686" i="15"/>
  <c r="Q687" i="15"/>
  <c r="Q688" i="15"/>
  <c r="Q689" i="15"/>
  <c r="Q690" i="15"/>
  <c r="Q691" i="15"/>
  <c r="Q692" i="15"/>
  <c r="Q693" i="15"/>
  <c r="Q694" i="15"/>
  <c r="Q695" i="15"/>
  <c r="Q696" i="15"/>
  <c r="Q697" i="15"/>
  <c r="Q698" i="15"/>
  <c r="Q699" i="15"/>
  <c r="Q700" i="15"/>
  <c r="Q701" i="15"/>
  <c r="Q702" i="15"/>
  <c r="Q703" i="15"/>
  <c r="Q704" i="15"/>
  <c r="Q705" i="15"/>
  <c r="Q706" i="15"/>
  <c r="Q707" i="15"/>
  <c r="Q708" i="15"/>
  <c r="Q709" i="15"/>
  <c r="Q710" i="15"/>
  <c r="Q711" i="15"/>
  <c r="Q712" i="15"/>
  <c r="Q713" i="15"/>
  <c r="Q714" i="15"/>
  <c r="Q715" i="15"/>
  <c r="Q716" i="15"/>
  <c r="Q717" i="15"/>
  <c r="Q718" i="15"/>
  <c r="Q719" i="15"/>
  <c r="Q720" i="15"/>
  <c r="Q721" i="15"/>
  <c r="Q722" i="15"/>
  <c r="Q723" i="15"/>
  <c r="Q724" i="15"/>
  <c r="Q725" i="15"/>
  <c r="Q726" i="15"/>
  <c r="Q727" i="15"/>
  <c r="Q728" i="15"/>
  <c r="Q729" i="15"/>
  <c r="Q730" i="15"/>
  <c r="Q731" i="15"/>
  <c r="Q732" i="15"/>
  <c r="Q733" i="15"/>
  <c r="Q734" i="15"/>
  <c r="Q735" i="15"/>
  <c r="Q736" i="15"/>
  <c r="Q737" i="15"/>
  <c r="Q738" i="15"/>
  <c r="Q739" i="15"/>
  <c r="Q740" i="15"/>
  <c r="Q741" i="15"/>
  <c r="Q742" i="15"/>
  <c r="Q743" i="15"/>
  <c r="Q744" i="15"/>
  <c r="Q745" i="15"/>
  <c r="Q746" i="15"/>
  <c r="Q747" i="15"/>
  <c r="Q748" i="15"/>
  <c r="Q749" i="15"/>
  <c r="Q750" i="15"/>
  <c r="Q751" i="15"/>
  <c r="Q752" i="15"/>
  <c r="Q753" i="15"/>
  <c r="Q754" i="15"/>
  <c r="Q755" i="15"/>
  <c r="Q756" i="15"/>
  <c r="Q757" i="15"/>
  <c r="Q758" i="15"/>
  <c r="Q759" i="15"/>
  <c r="Q760" i="15"/>
  <c r="Q761" i="15"/>
  <c r="Q762" i="15"/>
  <c r="Q763" i="15"/>
  <c r="Q764" i="15"/>
  <c r="Q765" i="15"/>
  <c r="Q766" i="15"/>
  <c r="Q767" i="15"/>
  <c r="Q768" i="15"/>
  <c r="Q769" i="15"/>
  <c r="Q770" i="15"/>
  <c r="Q771" i="15"/>
  <c r="Q772" i="15"/>
  <c r="Q773" i="15"/>
  <c r="Q774" i="15"/>
  <c r="Q775" i="15"/>
  <c r="Q776" i="15"/>
  <c r="Q777" i="15"/>
  <c r="Q778" i="15"/>
  <c r="Q779" i="15"/>
  <c r="Q780" i="15"/>
  <c r="Q781" i="15"/>
  <c r="Q782" i="15"/>
  <c r="Q783" i="15"/>
  <c r="Q784" i="15"/>
  <c r="Q785" i="15"/>
  <c r="Q786" i="15"/>
  <c r="Q787" i="15"/>
  <c r="Q788" i="15"/>
  <c r="Q789" i="15"/>
  <c r="Q790" i="15"/>
  <c r="Q791" i="15"/>
  <c r="Q792" i="15"/>
  <c r="Q793" i="15"/>
  <c r="Q794" i="15"/>
  <c r="Q795" i="15"/>
  <c r="Q796" i="15"/>
  <c r="Q797" i="15"/>
  <c r="Q798" i="15"/>
  <c r="Q799" i="15"/>
  <c r="Q800" i="15"/>
  <c r="Q801" i="15"/>
  <c r="Q802" i="15"/>
  <c r="Q803" i="15"/>
  <c r="Q804" i="15"/>
  <c r="Q805" i="15"/>
  <c r="Q806" i="15"/>
  <c r="Q807" i="15"/>
  <c r="Q808" i="15"/>
  <c r="Q809" i="15"/>
  <c r="Q810" i="15"/>
  <c r="Q811" i="15"/>
  <c r="Q812" i="15"/>
  <c r="Q813" i="15"/>
  <c r="Q814" i="15"/>
  <c r="Q815" i="15"/>
  <c r="Q816" i="15"/>
  <c r="Q817" i="15"/>
  <c r="Q818" i="15"/>
  <c r="Q819" i="15"/>
  <c r="Q820" i="15"/>
  <c r="Q821" i="15"/>
  <c r="Q822" i="15"/>
  <c r="Q823" i="15"/>
  <c r="Q824" i="15"/>
  <c r="Q825" i="15"/>
  <c r="Q826" i="15"/>
  <c r="Q827" i="15"/>
  <c r="Q828" i="15"/>
  <c r="Q829" i="15"/>
  <c r="Q830" i="15"/>
  <c r="Q831" i="15"/>
  <c r="Q832" i="15"/>
  <c r="Q833" i="15"/>
  <c r="Q834" i="15"/>
  <c r="Q835" i="15"/>
  <c r="Q836" i="15"/>
  <c r="Q837" i="15"/>
  <c r="Q838" i="15"/>
  <c r="Q839" i="15"/>
  <c r="Q840" i="15"/>
  <c r="Q841" i="15"/>
  <c r="Q842" i="15"/>
  <c r="Q843" i="15"/>
  <c r="Q844" i="15"/>
  <c r="Q845" i="15"/>
  <c r="Q846" i="15"/>
  <c r="Q847" i="15"/>
  <c r="Q848" i="15"/>
  <c r="Q849" i="15"/>
  <c r="Q850" i="15"/>
  <c r="Q851" i="15"/>
  <c r="Q852" i="15"/>
  <c r="Q853" i="15"/>
  <c r="Q854" i="15"/>
  <c r="Q855" i="15"/>
  <c r="Q856" i="15"/>
  <c r="Q857" i="15"/>
  <c r="Q858" i="15"/>
  <c r="Q859" i="15"/>
  <c r="Q860" i="15"/>
  <c r="Q861" i="15"/>
  <c r="Q862" i="15"/>
  <c r="Q863" i="15"/>
  <c r="Q864" i="15"/>
  <c r="Q865" i="15"/>
  <c r="Q866" i="15"/>
  <c r="Q867" i="15"/>
  <c r="Q868" i="15"/>
  <c r="Q869" i="15"/>
  <c r="Q870" i="15"/>
  <c r="Q871" i="15"/>
  <c r="Q872" i="15"/>
  <c r="Q873" i="15"/>
  <c r="Q874" i="15"/>
  <c r="Q875" i="15"/>
  <c r="Q876" i="15"/>
  <c r="Q877" i="15"/>
  <c r="Q878" i="15"/>
  <c r="Q879" i="15"/>
  <c r="Q880" i="15"/>
  <c r="Q881" i="15"/>
  <c r="Q882" i="15"/>
  <c r="Q883" i="15"/>
  <c r="Q884" i="15"/>
  <c r="Q885" i="15"/>
  <c r="Q886" i="15"/>
  <c r="Q887" i="15"/>
  <c r="Q888" i="15"/>
  <c r="Q889" i="15"/>
  <c r="Q890" i="15"/>
  <c r="Q891" i="15"/>
  <c r="Q892" i="15"/>
  <c r="Q893" i="15"/>
  <c r="Q894" i="15"/>
  <c r="Q895" i="15"/>
  <c r="Q896" i="15"/>
  <c r="Q897" i="15"/>
  <c r="Q898" i="15"/>
  <c r="Q899" i="15"/>
  <c r="Q900" i="15"/>
  <c r="Q901" i="15"/>
  <c r="Q902" i="15"/>
  <c r="Q903" i="15"/>
  <c r="Q904" i="15"/>
  <c r="Q905" i="15"/>
  <c r="Q906" i="15"/>
  <c r="Q907" i="15"/>
  <c r="Q908" i="15"/>
  <c r="Q909" i="15"/>
  <c r="Q910" i="15"/>
  <c r="Q911" i="15"/>
  <c r="Q912" i="15"/>
  <c r="Q913" i="15"/>
  <c r="Q914" i="15"/>
  <c r="Q915" i="15"/>
  <c r="Q916" i="15"/>
  <c r="Q917" i="15"/>
  <c r="Q918" i="15"/>
  <c r="Q919" i="15"/>
  <c r="Q920" i="15"/>
  <c r="Q921" i="15"/>
  <c r="Q922" i="15"/>
  <c r="Q923" i="15"/>
  <c r="Q924" i="15"/>
  <c r="Q925" i="15"/>
  <c r="Q926" i="15"/>
  <c r="Q927" i="15"/>
  <c r="Q928" i="15"/>
  <c r="Q929" i="15"/>
  <c r="Q930" i="15"/>
  <c r="Q931" i="15"/>
  <c r="Q932" i="15"/>
  <c r="Q933" i="15"/>
  <c r="Q934" i="15"/>
  <c r="Q935" i="15"/>
  <c r="Q936" i="15"/>
  <c r="Q937" i="15"/>
  <c r="Q938" i="15"/>
  <c r="Q939" i="15"/>
  <c r="Q940" i="15"/>
  <c r="Q941" i="15"/>
  <c r="Q942" i="15"/>
  <c r="Q943" i="15"/>
  <c r="Q944" i="15"/>
  <c r="Q945" i="15"/>
  <c r="Q946" i="15"/>
  <c r="Q947" i="15"/>
  <c r="Q948" i="15"/>
  <c r="Q949" i="15"/>
  <c r="Q950" i="15"/>
  <c r="Q951" i="15"/>
  <c r="Q952" i="15"/>
  <c r="Q953" i="15"/>
  <c r="Q954" i="15"/>
  <c r="Q955" i="15"/>
  <c r="Q956" i="15"/>
  <c r="Q957" i="15"/>
  <c r="Q958" i="15"/>
  <c r="Q959" i="15"/>
  <c r="Q960" i="15"/>
  <c r="Q961" i="15"/>
  <c r="Q962" i="15"/>
  <c r="Q963" i="15"/>
  <c r="Q964" i="15"/>
  <c r="Q965" i="15"/>
  <c r="Q966" i="15"/>
  <c r="Q967" i="15"/>
  <c r="Q968" i="15"/>
  <c r="Q969" i="15"/>
  <c r="Q970" i="15"/>
  <c r="Q971" i="15"/>
  <c r="Q972" i="15"/>
  <c r="Q973" i="15"/>
  <c r="Q974" i="15"/>
  <c r="Q975" i="15"/>
  <c r="Q976" i="15"/>
  <c r="Q977" i="15"/>
  <c r="Q978" i="15"/>
  <c r="Q979" i="15"/>
  <c r="Q980" i="15"/>
  <c r="Q981" i="15"/>
  <c r="Q982" i="15"/>
  <c r="Q983" i="15"/>
  <c r="Q984" i="15"/>
  <c r="Q985" i="15"/>
  <c r="Q986" i="15"/>
  <c r="Q987" i="15"/>
  <c r="Q988" i="15"/>
  <c r="Q989" i="15"/>
  <c r="Q990" i="15"/>
  <c r="Q991" i="15"/>
  <c r="Q992" i="15"/>
  <c r="Q993" i="15"/>
  <c r="Q994" i="15"/>
  <c r="Q995" i="15"/>
  <c r="Q996" i="15"/>
  <c r="Q997" i="15"/>
  <c r="Q998" i="15"/>
  <c r="Q999" i="15"/>
  <c r="Q1000" i="15"/>
  <c r="Q1001" i="15"/>
  <c r="Q1002" i="15"/>
  <c r="Q1003" i="15"/>
  <c r="Q1004" i="15"/>
  <c r="Q1005" i="15"/>
  <c r="Q1006" i="15"/>
  <c r="Q1007" i="15"/>
  <c r="Q1008" i="15"/>
  <c r="Q1009" i="15"/>
  <c r="Q1010" i="15"/>
  <c r="Q1011" i="15"/>
  <c r="Q1012" i="15"/>
  <c r="Q1013" i="15"/>
  <c r="Q1014" i="15"/>
  <c r="Q1015" i="15"/>
  <c r="Q1016" i="15"/>
  <c r="Q1017" i="15"/>
  <c r="Q1018" i="15"/>
  <c r="Q1019" i="15"/>
  <c r="Q1020" i="15"/>
  <c r="Q1021" i="15"/>
  <c r="P2" i="15"/>
  <c r="P3" i="15"/>
  <c r="P4" i="15"/>
  <c r="P5" i="15"/>
  <c r="P6" i="15"/>
  <c r="P7"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07" i="15"/>
  <c r="P208" i="15"/>
  <c r="P209" i="15"/>
  <c r="P210" i="15"/>
  <c r="P211" i="15"/>
  <c r="P212" i="15"/>
  <c r="P213" i="15"/>
  <c r="P214" i="15"/>
  <c r="P215" i="15"/>
  <c r="P216" i="15"/>
  <c r="P217" i="15"/>
  <c r="P218" i="15"/>
  <c r="P219" i="15"/>
  <c r="P220" i="15"/>
  <c r="P221" i="15"/>
  <c r="P222" i="15"/>
  <c r="P223" i="15"/>
  <c r="P224" i="15"/>
  <c r="P225" i="15"/>
  <c r="P226" i="15"/>
  <c r="P227" i="15"/>
  <c r="P228" i="15"/>
  <c r="P229" i="15"/>
  <c r="P230" i="15"/>
  <c r="P231" i="15"/>
  <c r="P232" i="15"/>
  <c r="P233" i="15"/>
  <c r="P234" i="15"/>
  <c r="P235" i="15"/>
  <c r="P236" i="15"/>
  <c r="P237" i="15"/>
  <c r="P238" i="15"/>
  <c r="P239" i="15"/>
  <c r="P240" i="15"/>
  <c r="P241" i="15"/>
  <c r="P242" i="15"/>
  <c r="P243" i="15"/>
  <c r="P244" i="15"/>
  <c r="P245" i="15"/>
  <c r="P246" i="15"/>
  <c r="P247" i="15"/>
  <c r="P248" i="15"/>
  <c r="P249" i="15"/>
  <c r="P250" i="15"/>
  <c r="P251" i="15"/>
  <c r="P252" i="15"/>
  <c r="P253" i="15"/>
  <c r="P254" i="15"/>
  <c r="P255" i="15"/>
  <c r="P256" i="15"/>
  <c r="P257" i="15"/>
  <c r="P258" i="15"/>
  <c r="P259" i="15"/>
  <c r="P260" i="15"/>
  <c r="P261" i="15"/>
  <c r="P262" i="15"/>
  <c r="P263" i="15"/>
  <c r="P264" i="15"/>
  <c r="P265" i="15"/>
  <c r="P266" i="15"/>
  <c r="P267" i="15"/>
  <c r="P268" i="15"/>
  <c r="P269" i="15"/>
  <c r="P270" i="15"/>
  <c r="P271" i="15"/>
  <c r="P272" i="15"/>
  <c r="P273" i="15"/>
  <c r="P274" i="15"/>
  <c r="P275" i="15"/>
  <c r="P276" i="15"/>
  <c r="P277" i="15"/>
  <c r="P278" i="15"/>
  <c r="P279" i="15"/>
  <c r="P280" i="15"/>
  <c r="P281" i="15"/>
  <c r="P282" i="15"/>
  <c r="P283" i="15"/>
  <c r="P284" i="15"/>
  <c r="P285" i="15"/>
  <c r="P286" i="15"/>
  <c r="P287" i="15"/>
  <c r="P288" i="15"/>
  <c r="P289" i="15"/>
  <c r="P290" i="15"/>
  <c r="P291" i="15"/>
  <c r="P292" i="15"/>
  <c r="P293" i="15"/>
  <c r="P294" i="15"/>
  <c r="P295" i="15"/>
  <c r="P296" i="15"/>
  <c r="P297" i="15"/>
  <c r="P298" i="15"/>
  <c r="P299" i="15"/>
  <c r="P300" i="15"/>
  <c r="P301" i="15"/>
  <c r="P302" i="15"/>
  <c r="P303" i="15"/>
  <c r="P304" i="15"/>
  <c r="P305" i="15"/>
  <c r="P306" i="15"/>
  <c r="P307" i="15"/>
  <c r="P308" i="15"/>
  <c r="P309" i="15"/>
  <c r="P310" i="15"/>
  <c r="P311" i="15"/>
  <c r="P312" i="15"/>
  <c r="P313" i="15"/>
  <c r="P314" i="15"/>
  <c r="P315" i="15"/>
  <c r="P316" i="15"/>
  <c r="P317" i="15"/>
  <c r="P318" i="15"/>
  <c r="P319" i="15"/>
  <c r="P320" i="15"/>
  <c r="P321" i="15"/>
  <c r="P322" i="15"/>
  <c r="P323" i="15"/>
  <c r="P324" i="15"/>
  <c r="P325" i="15"/>
  <c r="P326" i="15"/>
  <c r="P327" i="15"/>
  <c r="P328" i="15"/>
  <c r="P329" i="15"/>
  <c r="P330" i="15"/>
  <c r="P331" i="15"/>
  <c r="P332" i="15"/>
  <c r="P333" i="15"/>
  <c r="P334" i="15"/>
  <c r="P335" i="15"/>
  <c r="P336" i="15"/>
  <c r="P337" i="15"/>
  <c r="P338" i="15"/>
  <c r="P339" i="15"/>
  <c r="P340" i="15"/>
  <c r="P341" i="15"/>
  <c r="P342" i="15"/>
  <c r="P343" i="15"/>
  <c r="P344" i="15"/>
  <c r="P345" i="15"/>
  <c r="P346" i="15"/>
  <c r="P347" i="15"/>
  <c r="P348" i="15"/>
  <c r="P349" i="15"/>
  <c r="P350" i="15"/>
  <c r="P351" i="15"/>
  <c r="P352" i="15"/>
  <c r="P353" i="15"/>
  <c r="P354" i="15"/>
  <c r="P355" i="15"/>
  <c r="P356" i="15"/>
  <c r="P357" i="15"/>
  <c r="P358" i="15"/>
  <c r="P359" i="15"/>
  <c r="P360" i="15"/>
  <c r="P361" i="15"/>
  <c r="P362" i="15"/>
  <c r="P363" i="15"/>
  <c r="P364" i="15"/>
  <c r="P365" i="15"/>
  <c r="P366" i="15"/>
  <c r="P367" i="15"/>
  <c r="P368" i="15"/>
  <c r="P369" i="15"/>
  <c r="P370" i="15"/>
  <c r="P371" i="15"/>
  <c r="P372" i="15"/>
  <c r="P373" i="15"/>
  <c r="P374" i="15"/>
  <c r="P375" i="15"/>
  <c r="P376" i="15"/>
  <c r="P377" i="15"/>
  <c r="P378" i="15"/>
  <c r="P379" i="15"/>
  <c r="P380" i="15"/>
  <c r="P381" i="15"/>
  <c r="P382" i="15"/>
  <c r="P383" i="15"/>
  <c r="P384" i="15"/>
  <c r="P385" i="15"/>
  <c r="P386" i="15"/>
  <c r="P387" i="15"/>
  <c r="P388" i="15"/>
  <c r="P389" i="15"/>
  <c r="P390" i="15"/>
  <c r="P391" i="15"/>
  <c r="P392" i="15"/>
  <c r="P393" i="15"/>
  <c r="P394" i="15"/>
  <c r="P395" i="15"/>
  <c r="P396" i="15"/>
  <c r="P397" i="15"/>
  <c r="P398" i="15"/>
  <c r="P399" i="15"/>
  <c r="P400" i="15"/>
  <c r="P401" i="15"/>
  <c r="P402" i="15"/>
  <c r="P403" i="15"/>
  <c r="P404" i="15"/>
  <c r="P405" i="15"/>
  <c r="P406" i="15"/>
  <c r="P407" i="15"/>
  <c r="P408" i="15"/>
  <c r="P409" i="15"/>
  <c r="P410" i="15"/>
  <c r="P411" i="15"/>
  <c r="P412" i="15"/>
  <c r="P413" i="15"/>
  <c r="P414" i="15"/>
  <c r="P415" i="15"/>
  <c r="P416" i="15"/>
  <c r="P417" i="15"/>
  <c r="P418" i="15"/>
  <c r="P419" i="15"/>
  <c r="P420" i="15"/>
  <c r="P421" i="15"/>
  <c r="P422" i="15"/>
  <c r="P423" i="15"/>
  <c r="P424" i="15"/>
  <c r="P425" i="15"/>
  <c r="P426" i="15"/>
  <c r="P427" i="15"/>
  <c r="P428" i="15"/>
  <c r="P429" i="15"/>
  <c r="P430" i="15"/>
  <c r="P431" i="15"/>
  <c r="P432" i="15"/>
  <c r="P433" i="15"/>
  <c r="P434" i="15"/>
  <c r="P435" i="15"/>
  <c r="P436" i="15"/>
  <c r="P437" i="15"/>
  <c r="P438" i="15"/>
  <c r="P439" i="15"/>
  <c r="P440" i="15"/>
  <c r="P441" i="15"/>
  <c r="P442" i="15"/>
  <c r="P443" i="15"/>
  <c r="P444" i="15"/>
  <c r="P445" i="15"/>
  <c r="P446" i="15"/>
  <c r="P447" i="15"/>
  <c r="P448" i="15"/>
  <c r="P449" i="15"/>
  <c r="P450" i="15"/>
  <c r="P451" i="15"/>
  <c r="P452" i="15"/>
  <c r="P453" i="15"/>
  <c r="P454" i="15"/>
  <c r="P455" i="15"/>
  <c r="P456" i="15"/>
  <c r="P457" i="15"/>
  <c r="P458" i="15"/>
  <c r="P459" i="15"/>
  <c r="P460" i="15"/>
  <c r="P461" i="15"/>
  <c r="P462" i="15"/>
  <c r="P463" i="15"/>
  <c r="P464" i="15"/>
  <c r="P465" i="15"/>
  <c r="P466" i="15"/>
  <c r="P467" i="15"/>
  <c r="P468" i="15"/>
  <c r="P469" i="15"/>
  <c r="P470" i="15"/>
  <c r="P471" i="15"/>
  <c r="P472" i="15"/>
  <c r="P473" i="15"/>
  <c r="P474" i="15"/>
  <c r="P475" i="15"/>
  <c r="P476" i="15"/>
  <c r="P477" i="15"/>
  <c r="P478" i="15"/>
  <c r="P479" i="15"/>
  <c r="P480" i="15"/>
  <c r="P481" i="15"/>
  <c r="P482" i="15"/>
  <c r="P483" i="15"/>
  <c r="P484" i="15"/>
  <c r="P485" i="15"/>
  <c r="P486" i="15"/>
  <c r="P487" i="15"/>
  <c r="P488" i="15"/>
  <c r="P489" i="15"/>
  <c r="P490" i="15"/>
  <c r="P491" i="15"/>
  <c r="P492" i="15"/>
  <c r="P493" i="15"/>
  <c r="P494" i="15"/>
  <c r="P495" i="15"/>
  <c r="P496" i="15"/>
  <c r="P497" i="15"/>
  <c r="P498" i="15"/>
  <c r="P499" i="15"/>
  <c r="P500" i="15"/>
  <c r="P501" i="15"/>
  <c r="P502" i="15"/>
  <c r="P503" i="15"/>
  <c r="P504" i="15"/>
  <c r="P505" i="15"/>
  <c r="P506" i="15"/>
  <c r="P507" i="15"/>
  <c r="P508" i="15"/>
  <c r="P509" i="15"/>
  <c r="P510" i="15"/>
  <c r="P511" i="15"/>
  <c r="P512" i="15"/>
  <c r="P513" i="15"/>
  <c r="P514" i="15"/>
  <c r="P515" i="15"/>
  <c r="P516" i="15"/>
  <c r="P517" i="15"/>
  <c r="P518" i="15"/>
  <c r="P519" i="15"/>
  <c r="P520" i="15"/>
  <c r="P521" i="15"/>
  <c r="P522" i="15"/>
  <c r="P523" i="15"/>
  <c r="P524" i="15"/>
  <c r="P525" i="15"/>
  <c r="P526" i="15"/>
  <c r="P527" i="15"/>
  <c r="P528" i="15"/>
  <c r="P529" i="15"/>
  <c r="P530" i="15"/>
  <c r="P531" i="15"/>
  <c r="P532" i="15"/>
  <c r="P533" i="15"/>
  <c r="P534" i="15"/>
  <c r="P535" i="15"/>
  <c r="P536" i="15"/>
  <c r="P537" i="15"/>
  <c r="P538" i="15"/>
  <c r="P539" i="15"/>
  <c r="P540" i="15"/>
  <c r="P541" i="15"/>
  <c r="P542" i="15"/>
  <c r="P543" i="15"/>
  <c r="P544" i="15"/>
  <c r="P545" i="15"/>
  <c r="P546" i="15"/>
  <c r="P547" i="15"/>
  <c r="P548" i="15"/>
  <c r="P549" i="15"/>
  <c r="P550" i="15"/>
  <c r="P551" i="15"/>
  <c r="P552" i="15"/>
  <c r="P553" i="15"/>
  <c r="P554" i="15"/>
  <c r="P555" i="15"/>
  <c r="P556" i="15"/>
  <c r="P557" i="15"/>
  <c r="P558" i="15"/>
  <c r="P559" i="15"/>
  <c r="P560" i="15"/>
  <c r="P561" i="15"/>
  <c r="P562" i="15"/>
  <c r="P563" i="15"/>
  <c r="P564" i="15"/>
  <c r="P565" i="15"/>
  <c r="P566" i="15"/>
  <c r="P567" i="15"/>
  <c r="P568" i="15"/>
  <c r="P569" i="15"/>
  <c r="P570" i="15"/>
  <c r="P571" i="15"/>
  <c r="P572" i="15"/>
  <c r="P573" i="15"/>
  <c r="P574" i="15"/>
  <c r="P575" i="15"/>
  <c r="P576" i="15"/>
  <c r="P577" i="15"/>
  <c r="P578" i="15"/>
  <c r="P579" i="15"/>
  <c r="P580" i="15"/>
  <c r="P581" i="15"/>
  <c r="P582" i="15"/>
  <c r="P583" i="15"/>
  <c r="P584" i="15"/>
  <c r="P585" i="15"/>
  <c r="P586" i="15"/>
  <c r="P587" i="15"/>
  <c r="P588" i="15"/>
  <c r="P589" i="15"/>
  <c r="P590" i="15"/>
  <c r="P591" i="15"/>
  <c r="P592" i="15"/>
  <c r="P593" i="15"/>
  <c r="P594" i="15"/>
  <c r="P595" i="15"/>
  <c r="P596" i="15"/>
  <c r="P597" i="15"/>
  <c r="P598" i="15"/>
  <c r="P599" i="15"/>
  <c r="P600" i="15"/>
  <c r="P601" i="15"/>
  <c r="P602" i="15"/>
  <c r="P603" i="15"/>
  <c r="P604" i="15"/>
  <c r="P605" i="15"/>
  <c r="P606" i="15"/>
  <c r="P607" i="15"/>
  <c r="P608" i="15"/>
  <c r="P609" i="15"/>
  <c r="P610" i="15"/>
  <c r="P611" i="15"/>
  <c r="P612" i="15"/>
  <c r="P613" i="15"/>
  <c r="P614" i="15"/>
  <c r="P615" i="15"/>
  <c r="P616" i="15"/>
  <c r="P617" i="15"/>
  <c r="P618" i="15"/>
  <c r="P619" i="15"/>
  <c r="P620" i="15"/>
  <c r="P621" i="15"/>
  <c r="P622" i="15"/>
  <c r="P623" i="15"/>
  <c r="P624" i="15"/>
  <c r="P625" i="15"/>
  <c r="P626" i="15"/>
  <c r="P627" i="15"/>
  <c r="P628" i="15"/>
  <c r="P629" i="15"/>
  <c r="P630" i="15"/>
  <c r="P631" i="15"/>
  <c r="P632" i="15"/>
  <c r="P633" i="15"/>
  <c r="P634" i="15"/>
  <c r="P635" i="15"/>
  <c r="P636" i="15"/>
  <c r="P637" i="15"/>
  <c r="P638" i="15"/>
  <c r="P639" i="15"/>
  <c r="P640" i="15"/>
  <c r="P641" i="15"/>
  <c r="P642" i="15"/>
  <c r="P643" i="15"/>
  <c r="P644" i="15"/>
  <c r="P645" i="15"/>
  <c r="P646" i="15"/>
  <c r="P647" i="15"/>
  <c r="P648" i="15"/>
  <c r="P649" i="15"/>
  <c r="P650" i="15"/>
  <c r="P651" i="15"/>
  <c r="P652" i="15"/>
  <c r="P653" i="15"/>
  <c r="P654" i="15"/>
  <c r="P655" i="15"/>
  <c r="P656" i="15"/>
  <c r="P657" i="15"/>
  <c r="P658" i="15"/>
  <c r="P659" i="15"/>
  <c r="P660" i="15"/>
  <c r="P661" i="15"/>
  <c r="P662" i="15"/>
  <c r="P663" i="15"/>
  <c r="P664" i="15"/>
  <c r="P665" i="15"/>
  <c r="P666" i="15"/>
  <c r="P667" i="15"/>
  <c r="P668" i="15"/>
  <c r="P669" i="15"/>
  <c r="P670" i="15"/>
  <c r="P671" i="15"/>
  <c r="P672" i="15"/>
  <c r="P673" i="15"/>
  <c r="P674" i="15"/>
  <c r="P675" i="15"/>
  <c r="P676" i="15"/>
  <c r="P677" i="15"/>
  <c r="P678" i="15"/>
  <c r="P679" i="15"/>
  <c r="P680" i="15"/>
  <c r="P681" i="15"/>
  <c r="P682" i="15"/>
  <c r="P683" i="15"/>
  <c r="P684" i="15"/>
  <c r="P685" i="15"/>
  <c r="P686" i="15"/>
  <c r="P687" i="15"/>
  <c r="P688" i="15"/>
  <c r="P689" i="15"/>
  <c r="P690" i="15"/>
  <c r="P691" i="15"/>
  <c r="P692" i="15"/>
  <c r="P693" i="15"/>
  <c r="P694" i="15"/>
  <c r="P695" i="15"/>
  <c r="P696" i="15"/>
  <c r="P697" i="15"/>
  <c r="P698" i="15"/>
  <c r="P699" i="15"/>
  <c r="P700" i="15"/>
  <c r="P701" i="15"/>
  <c r="P702" i="15"/>
  <c r="P703" i="15"/>
  <c r="P704" i="15"/>
  <c r="P705" i="15"/>
  <c r="P706" i="15"/>
  <c r="P707" i="15"/>
  <c r="P708" i="15"/>
  <c r="P709" i="15"/>
  <c r="P710" i="15"/>
  <c r="P711" i="15"/>
  <c r="P712" i="15"/>
  <c r="P713" i="15"/>
  <c r="P714" i="15"/>
  <c r="P715" i="15"/>
  <c r="P716" i="15"/>
  <c r="P717" i="15"/>
  <c r="P718" i="15"/>
  <c r="P719" i="15"/>
  <c r="P720" i="15"/>
  <c r="P721" i="15"/>
  <c r="P722" i="15"/>
  <c r="P723" i="15"/>
  <c r="P724" i="15"/>
  <c r="P725" i="15"/>
  <c r="P726" i="15"/>
  <c r="P727" i="15"/>
  <c r="P728" i="15"/>
  <c r="P729" i="15"/>
  <c r="P730" i="15"/>
  <c r="P731" i="15"/>
  <c r="P732" i="15"/>
  <c r="P733" i="15"/>
  <c r="P734" i="15"/>
  <c r="P735" i="15"/>
  <c r="P736" i="15"/>
  <c r="P737" i="15"/>
  <c r="P738" i="15"/>
  <c r="P739" i="15"/>
  <c r="P740" i="15"/>
  <c r="P741" i="15"/>
  <c r="P742" i="15"/>
  <c r="P743" i="15"/>
  <c r="P744" i="15"/>
  <c r="P745" i="15"/>
  <c r="P746" i="15"/>
  <c r="P747" i="15"/>
  <c r="P748" i="15"/>
  <c r="P749" i="15"/>
  <c r="P750" i="15"/>
  <c r="P751" i="15"/>
  <c r="P752" i="15"/>
  <c r="P753" i="15"/>
  <c r="P754" i="15"/>
  <c r="P755" i="15"/>
  <c r="P756" i="15"/>
  <c r="P757" i="15"/>
  <c r="P758" i="15"/>
  <c r="P759" i="15"/>
  <c r="P760" i="15"/>
  <c r="P761" i="15"/>
  <c r="P762" i="15"/>
  <c r="P763" i="15"/>
  <c r="P764" i="15"/>
  <c r="P765" i="15"/>
  <c r="P766" i="15"/>
  <c r="P767" i="15"/>
  <c r="P768" i="15"/>
  <c r="P769" i="15"/>
  <c r="P770" i="15"/>
  <c r="P771" i="15"/>
  <c r="P772" i="15"/>
  <c r="P773" i="15"/>
  <c r="P774" i="15"/>
  <c r="P775" i="15"/>
  <c r="P776" i="15"/>
  <c r="P777" i="15"/>
  <c r="P778" i="15"/>
  <c r="P779" i="15"/>
  <c r="P780" i="15"/>
  <c r="P781" i="15"/>
  <c r="P782" i="15"/>
  <c r="P783" i="15"/>
  <c r="P784" i="15"/>
  <c r="P785" i="15"/>
  <c r="P786" i="15"/>
  <c r="P787" i="15"/>
  <c r="P788" i="15"/>
  <c r="P789" i="15"/>
  <c r="P790" i="15"/>
  <c r="P791" i="15"/>
  <c r="P792" i="15"/>
  <c r="P793" i="15"/>
  <c r="P794" i="15"/>
  <c r="P795" i="15"/>
  <c r="P796" i="15"/>
  <c r="P797" i="15"/>
  <c r="P798" i="15"/>
  <c r="P799" i="15"/>
  <c r="P800" i="15"/>
  <c r="P801" i="15"/>
  <c r="P802" i="15"/>
  <c r="P803" i="15"/>
  <c r="P804" i="15"/>
  <c r="P805" i="15"/>
  <c r="P806" i="15"/>
  <c r="P807" i="15"/>
  <c r="P808" i="15"/>
  <c r="P809" i="15"/>
  <c r="P810" i="15"/>
  <c r="P811" i="15"/>
  <c r="P812" i="15"/>
  <c r="P813" i="15"/>
  <c r="P814" i="15"/>
  <c r="P815" i="15"/>
  <c r="P816" i="15"/>
  <c r="P817" i="15"/>
  <c r="P818" i="15"/>
  <c r="P819" i="15"/>
  <c r="P820" i="15"/>
  <c r="P821" i="15"/>
  <c r="P822" i="15"/>
  <c r="P823" i="15"/>
  <c r="P824" i="15"/>
  <c r="P825" i="15"/>
  <c r="P826" i="15"/>
  <c r="P827" i="15"/>
  <c r="P828" i="15"/>
  <c r="P829" i="15"/>
  <c r="P830" i="15"/>
  <c r="P831" i="15"/>
  <c r="P832" i="15"/>
  <c r="P833" i="15"/>
  <c r="P834" i="15"/>
  <c r="P835" i="15"/>
  <c r="P836" i="15"/>
  <c r="P837" i="15"/>
  <c r="P838" i="15"/>
  <c r="P839" i="15"/>
  <c r="P840" i="15"/>
  <c r="P841" i="15"/>
  <c r="P842" i="15"/>
  <c r="P843" i="15"/>
  <c r="P844" i="15"/>
  <c r="P845" i="15"/>
  <c r="P846" i="15"/>
  <c r="P847" i="15"/>
  <c r="P848" i="15"/>
  <c r="P849" i="15"/>
  <c r="P850" i="15"/>
  <c r="P851" i="15"/>
  <c r="P852" i="15"/>
  <c r="P853" i="15"/>
  <c r="P854" i="15"/>
  <c r="P855" i="15"/>
  <c r="P856" i="15"/>
  <c r="P857" i="15"/>
  <c r="P858" i="15"/>
  <c r="P859" i="15"/>
  <c r="P860" i="15"/>
  <c r="P861" i="15"/>
  <c r="P862" i="15"/>
  <c r="P863" i="15"/>
  <c r="P864" i="15"/>
  <c r="P865" i="15"/>
  <c r="P866" i="15"/>
  <c r="P867" i="15"/>
  <c r="P868" i="15"/>
  <c r="P869" i="15"/>
  <c r="P870" i="15"/>
  <c r="P871" i="15"/>
  <c r="P872" i="15"/>
  <c r="P873" i="15"/>
  <c r="P874" i="15"/>
  <c r="P875" i="15"/>
  <c r="P876" i="15"/>
  <c r="P877" i="15"/>
  <c r="P878" i="15"/>
  <c r="P879" i="15"/>
  <c r="P880" i="15"/>
  <c r="P881" i="15"/>
  <c r="P882" i="15"/>
  <c r="P883" i="15"/>
  <c r="P884" i="15"/>
  <c r="P885" i="15"/>
  <c r="P886" i="15"/>
  <c r="P887" i="15"/>
  <c r="P888" i="15"/>
  <c r="P889" i="15"/>
  <c r="P890" i="15"/>
  <c r="P891" i="15"/>
  <c r="P892" i="15"/>
  <c r="P893" i="15"/>
  <c r="P894" i="15"/>
  <c r="P895" i="15"/>
  <c r="P896" i="15"/>
  <c r="P897" i="15"/>
  <c r="P898" i="15"/>
  <c r="P899" i="15"/>
  <c r="P900" i="15"/>
  <c r="P901" i="15"/>
  <c r="P902" i="15"/>
  <c r="P903" i="15"/>
  <c r="P904" i="15"/>
  <c r="P905" i="15"/>
  <c r="P906" i="15"/>
  <c r="P907" i="15"/>
  <c r="P908" i="15"/>
  <c r="P909" i="15"/>
  <c r="P910" i="15"/>
  <c r="P911" i="15"/>
  <c r="P912" i="15"/>
  <c r="P913" i="15"/>
  <c r="P914" i="15"/>
  <c r="P915" i="15"/>
  <c r="P916" i="15"/>
  <c r="P917" i="15"/>
  <c r="P918" i="15"/>
  <c r="P919" i="15"/>
  <c r="P920" i="15"/>
  <c r="P921" i="15"/>
  <c r="P922" i="15"/>
  <c r="P923" i="15"/>
  <c r="P924" i="15"/>
  <c r="P925" i="15"/>
  <c r="P926" i="15"/>
  <c r="P927" i="15"/>
  <c r="P928" i="15"/>
  <c r="P929" i="15"/>
  <c r="P930" i="15"/>
  <c r="P931" i="15"/>
  <c r="P932" i="15"/>
  <c r="P933" i="15"/>
  <c r="P934" i="15"/>
  <c r="P935" i="15"/>
  <c r="P936" i="15"/>
  <c r="P937" i="15"/>
  <c r="P938" i="15"/>
  <c r="P939" i="15"/>
  <c r="P940" i="15"/>
  <c r="P941" i="15"/>
  <c r="P942" i="15"/>
  <c r="P943" i="15"/>
  <c r="P944" i="15"/>
  <c r="P945" i="15"/>
  <c r="P946" i="15"/>
  <c r="P947" i="15"/>
  <c r="P948" i="15"/>
  <c r="P949" i="15"/>
  <c r="P950" i="15"/>
  <c r="P951" i="15"/>
  <c r="P952" i="15"/>
  <c r="P953" i="15"/>
  <c r="P954" i="15"/>
  <c r="P955" i="15"/>
  <c r="P956" i="15"/>
  <c r="P957" i="15"/>
  <c r="P958" i="15"/>
  <c r="P959" i="15"/>
  <c r="P960" i="15"/>
  <c r="P961" i="15"/>
  <c r="P962" i="15"/>
  <c r="P963" i="15"/>
  <c r="P964" i="15"/>
  <c r="P965" i="15"/>
  <c r="P966" i="15"/>
  <c r="P967" i="15"/>
  <c r="P968" i="15"/>
  <c r="P969" i="15"/>
  <c r="P970" i="15"/>
  <c r="P971" i="15"/>
  <c r="P972" i="15"/>
  <c r="P973" i="15"/>
  <c r="P974" i="15"/>
  <c r="P975" i="15"/>
  <c r="P976" i="15"/>
  <c r="P977" i="15"/>
  <c r="P978" i="15"/>
  <c r="P979" i="15"/>
  <c r="P980" i="15"/>
  <c r="P981" i="15"/>
  <c r="P982" i="15"/>
  <c r="P983" i="15"/>
  <c r="P984" i="15"/>
  <c r="P985" i="15"/>
  <c r="P986" i="15"/>
  <c r="P987" i="15"/>
  <c r="P988" i="15"/>
  <c r="P989" i="15"/>
  <c r="P990" i="15"/>
  <c r="P991" i="15"/>
  <c r="P992" i="15"/>
  <c r="P993" i="15"/>
  <c r="P994" i="15"/>
  <c r="P995" i="15"/>
  <c r="P996" i="15"/>
  <c r="P997" i="15"/>
  <c r="P998" i="15"/>
  <c r="P999" i="15"/>
  <c r="P1000" i="15"/>
  <c r="P1001" i="15"/>
  <c r="P1002" i="15"/>
  <c r="P1003" i="15"/>
  <c r="P1004" i="15"/>
  <c r="P1005" i="15"/>
  <c r="P1006" i="15"/>
  <c r="P1007" i="15"/>
  <c r="P1008" i="15"/>
  <c r="P1009" i="15"/>
  <c r="P1010" i="15"/>
  <c r="P1011" i="15"/>
  <c r="P1012" i="15"/>
  <c r="P1013" i="15"/>
  <c r="P1014" i="15"/>
  <c r="P1015" i="15"/>
  <c r="P1016" i="15"/>
  <c r="P1017" i="15"/>
  <c r="P1018" i="15"/>
  <c r="P1019" i="15"/>
  <c r="P1020" i="15"/>
  <c r="P1021" i="15"/>
  <c r="N16" i="14" a="1"/>
  <c r="M16" i="14" a="1"/>
  <c r="L16" i="14" a="1"/>
  <c r="K16" i="14" a="1"/>
  <c r="J16" i="14" a="1"/>
  <c r="I16" i="14" a="1"/>
  <c r="H16" i="14" a="1"/>
  <c r="G16" i="14" a="1"/>
  <c r="F16" i="14" a="1"/>
  <c r="E16" i="14" a="1"/>
  <c r="D16" i="14" a="1"/>
  <c r="C16" i="14" a="1"/>
  <c r="N15" i="14" a="1"/>
  <c r="M15" i="14" a="1"/>
  <c r="L15" i="14" a="1"/>
  <c r="K15" i="14" a="1"/>
  <c r="J15" i="14" a="1"/>
  <c r="I15" i="14" a="1"/>
  <c r="H15" i="14" a="1"/>
  <c r="G15" i="14" a="1"/>
  <c r="F15" i="14" a="1"/>
  <c r="E15" i="14" a="1"/>
  <c r="D15" i="14" a="1"/>
  <c r="C15" i="14" a="1"/>
  <c r="N14" i="14"/>
  <c r="N17" i="14" s="1"/>
  <c r="M14" i="14"/>
  <c r="M17" i="14" s="1"/>
  <c r="L14" i="14"/>
  <c r="L17" i="14" s="1"/>
  <c r="K14" i="14"/>
  <c r="J14" i="14"/>
  <c r="J17" i="14" s="1"/>
  <c r="I14" i="14"/>
  <c r="H14" i="14"/>
  <c r="H17" i="14" s="1"/>
  <c r="G14" i="14"/>
  <c r="G17" i="14" s="1"/>
  <c r="F14" i="14"/>
  <c r="F17" i="14" s="1"/>
  <c r="E14" i="14"/>
  <c r="D14" i="14"/>
  <c r="C14" i="14"/>
  <c r="D8" i="14" a="1"/>
  <c r="E8" i="14" a="1"/>
  <c r="F8" i="14" a="1"/>
  <c r="G8" i="14" a="1"/>
  <c r="H8" i="14" a="1"/>
  <c r="I8" i="14" a="1"/>
  <c r="J8" i="14" a="1"/>
  <c r="K8" i="14" a="1"/>
  <c r="L8" i="14" a="1"/>
  <c r="M8" i="14" a="1"/>
  <c r="N8" i="14" a="1"/>
  <c r="D7" i="14" a="1"/>
  <c r="E7" i="14" a="1"/>
  <c r="F7" i="14" a="1"/>
  <c r="G7" i="14" a="1"/>
  <c r="H7" i="14" a="1"/>
  <c r="I7" i="14" a="1"/>
  <c r="J7" i="14" a="1"/>
  <c r="K7" i="14" a="1"/>
  <c r="L7" i="14" a="1"/>
  <c r="M7" i="14" a="1"/>
  <c r="N7" i="14" a="1"/>
  <c r="C8" i="14" a="1"/>
  <c r="C7" i="14" a="1"/>
  <c r="D6" i="14"/>
  <c r="D9" i="14" s="1"/>
  <c r="E6" i="14"/>
  <c r="E9" i="14" s="1"/>
  <c r="F6" i="14"/>
  <c r="F9" i="14" s="1"/>
  <c r="G6" i="14"/>
  <c r="G9" i="14" s="1"/>
  <c r="H6" i="14"/>
  <c r="H9" i="14" s="1"/>
  <c r="I6" i="14"/>
  <c r="J6" i="14"/>
  <c r="K6" i="14"/>
  <c r="L6" i="14"/>
  <c r="M6" i="14"/>
  <c r="N6" i="14"/>
  <c r="C6" i="14"/>
  <c r="C15" i="13"/>
  <c r="C11" i="13"/>
  <c r="C7" i="13"/>
  <c r="C3" i="13"/>
  <c r="I17" i="14" l="1"/>
  <c r="J9" i="14"/>
  <c r="C17" i="14"/>
  <c r="K17" i="14"/>
  <c r="E17" i="14"/>
  <c r="D17" i="14"/>
  <c r="C9" i="14"/>
  <c r="N9" i="14"/>
  <c r="I9" i="14"/>
  <c r="K9" i="14"/>
  <c r="L9" i="14"/>
  <c r="M9"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<sst xmlns="http://schemas.openxmlformats.org/spreadsheetml/2006/main" count="15718" uniqueCount="1677">
  <si>
    <t>Employee_ID</t>
  </si>
  <si>
    <t>First_Name</t>
  </si>
  <si>
    <t>Last_Name</t>
  </si>
  <si>
    <t>Age</t>
  </si>
  <si>
    <t>Department_Region</t>
  </si>
  <si>
    <t>Status</t>
  </si>
  <si>
    <t>Join_Date</t>
  </si>
  <si>
    <t>Salary</t>
  </si>
  <si>
    <t>Email</t>
  </si>
  <si>
    <t>Phone</t>
  </si>
  <si>
    <t>Performance_Score</t>
  </si>
  <si>
    <t>Remote_Work</t>
  </si>
  <si>
    <t>EMP1000</t>
  </si>
  <si>
    <t>Bob</t>
  </si>
  <si>
    <t>Davis</t>
  </si>
  <si>
    <t>DevOps-California</t>
  </si>
  <si>
    <t>Active</t>
  </si>
  <si>
    <t>bob.davis@example.com</t>
  </si>
  <si>
    <t>Average</t>
  </si>
  <si>
    <t>EMP1001</t>
  </si>
  <si>
    <t>Brown</t>
  </si>
  <si>
    <t>Finance-Texas</t>
  </si>
  <si>
    <t>bob.brown@example.com</t>
  </si>
  <si>
    <t>Excellent</t>
  </si>
  <si>
    <t>EMP1002</t>
  </si>
  <si>
    <t>Alice</t>
  </si>
  <si>
    <t>Jones</t>
  </si>
  <si>
    <t>Admin-Nevada</t>
  </si>
  <si>
    <t>Pending</t>
  </si>
  <si>
    <t>alice.jones@example.com</t>
  </si>
  <si>
    <t>Good</t>
  </si>
  <si>
    <t>EMP1003</t>
  </si>
  <si>
    <t>Eva</t>
  </si>
  <si>
    <t>Inactive</t>
  </si>
  <si>
    <t>11/27/2021</t>
  </si>
  <si>
    <t>eva.davis@example.com</t>
  </si>
  <si>
    <t>EMP1004</t>
  </si>
  <si>
    <t>Frank</t>
  </si>
  <si>
    <t>Williams</t>
  </si>
  <si>
    <t>Cloud Tech-Florida</t>
  </si>
  <si>
    <t>frank.williams@example.com</t>
  </si>
  <si>
    <t>Poor</t>
  </si>
  <si>
    <t>EMP1005</t>
  </si>
  <si>
    <t>Garcia</t>
  </si>
  <si>
    <t>Sales-Texas</t>
  </si>
  <si>
    <t>alice.garcia@example.com</t>
  </si>
  <si>
    <t>EMP1006</t>
  </si>
  <si>
    <t>frank.jones@example.com</t>
  </si>
  <si>
    <t>EMP1007</t>
  </si>
  <si>
    <t>7/17/2022</t>
  </si>
  <si>
    <t>bob.jones@example.com</t>
  </si>
  <si>
    <t>EMP1008</t>
  </si>
  <si>
    <t>frank.davis@example.com</t>
  </si>
  <si>
    <t>EMP1009</t>
  </si>
  <si>
    <t>Charlie</t>
  </si>
  <si>
    <t>Johnson</t>
  </si>
  <si>
    <t>DevOps-New York</t>
  </si>
  <si>
    <t>charlie.johnson@example.com</t>
  </si>
  <si>
    <t>EMP1010</t>
  </si>
  <si>
    <t>David</t>
  </si>
  <si>
    <t>Cloud Tech-New York</t>
  </si>
  <si>
    <t>david.williams@example.com</t>
  </si>
  <si>
    <t>EMP1011</t>
  </si>
  <si>
    <t>david.davis@example.com</t>
  </si>
  <si>
    <t>EMP1012</t>
  </si>
  <si>
    <t>Heidi</t>
  </si>
  <si>
    <t>HR-New York</t>
  </si>
  <si>
    <t>heidi.williams@example.com</t>
  </si>
  <si>
    <t>EMP1013</t>
  </si>
  <si>
    <t>Grace</t>
  </si>
  <si>
    <t>Finance-California</t>
  </si>
  <si>
    <t>grace.williams@example.com</t>
  </si>
  <si>
    <t>EMP1014</t>
  </si>
  <si>
    <t>EMP1015</t>
  </si>
  <si>
    <t>Sales-Florida</t>
  </si>
  <si>
    <t>5/29/2021</t>
  </si>
  <si>
    <t>grace.jones@example.com</t>
  </si>
  <si>
    <t>EMP1016</t>
  </si>
  <si>
    <t>DevOps-Illinois</t>
  </si>
  <si>
    <t>4/23/2024</t>
  </si>
  <si>
    <t>alice.brown@example.com</t>
  </si>
  <si>
    <t>EMP1017</t>
  </si>
  <si>
    <t>11/28/2024</t>
  </si>
  <si>
    <t>grace.garcia@example.com</t>
  </si>
  <si>
    <t>EMP1018</t>
  </si>
  <si>
    <t>Cloud Tech-Nevada</t>
  </si>
  <si>
    <t>9/19/2024</t>
  </si>
  <si>
    <t>charlie.garcia@example.com</t>
  </si>
  <si>
    <t>EMP1019</t>
  </si>
  <si>
    <t>Admin-Illinois</t>
  </si>
  <si>
    <t>charlie.williams@example.com</t>
  </si>
  <si>
    <t>EMP1020</t>
  </si>
  <si>
    <t>Miller</t>
  </si>
  <si>
    <t>bob.miller@example.com</t>
  </si>
  <si>
    <t>EMP1021</t>
  </si>
  <si>
    <t>Cloud Tech-Illinois</t>
  </si>
  <si>
    <t>9/19/2020</t>
  </si>
  <si>
    <t>EMP1022</t>
  </si>
  <si>
    <t>Sales-Illinois</t>
  </si>
  <si>
    <t>EMP1023</t>
  </si>
  <si>
    <t>Finance-Nevada</t>
  </si>
  <si>
    <t>david.garcia@example.com</t>
  </si>
  <si>
    <t>EMP1024</t>
  </si>
  <si>
    <t>Admin-Texas</t>
  </si>
  <si>
    <t>2/13/2020</t>
  </si>
  <si>
    <t>EMP1025</t>
  </si>
  <si>
    <t>4/30/2020</t>
  </si>
  <si>
    <t>david.miller@example.com</t>
  </si>
  <si>
    <t>EMP1026</t>
  </si>
  <si>
    <t>Sales-New York</t>
  </si>
  <si>
    <t>frank.miller@example.com</t>
  </si>
  <si>
    <t>EMP1027</t>
  </si>
  <si>
    <t>Finance-Florida</t>
  </si>
  <si>
    <t>heidi.johnson@example.com</t>
  </si>
  <si>
    <t>EMP1028</t>
  </si>
  <si>
    <t>EMP1029</t>
  </si>
  <si>
    <t>5/24/2021</t>
  </si>
  <si>
    <t>EMP1030</t>
  </si>
  <si>
    <t>Admin-California</t>
  </si>
  <si>
    <t>5/26/2021</t>
  </si>
  <si>
    <t>charlie.jones@example.com</t>
  </si>
  <si>
    <t>EMP1031</t>
  </si>
  <si>
    <t>Smith</t>
  </si>
  <si>
    <t>bob.smith@example.com</t>
  </si>
  <si>
    <t>EMP1032</t>
  </si>
  <si>
    <t>charlie.brown@example.com</t>
  </si>
  <si>
    <t>EMP1033</t>
  </si>
  <si>
    <t>grace.johnson@example.com</t>
  </si>
  <si>
    <t>EMP1034</t>
  </si>
  <si>
    <t>4/29/2020</t>
  </si>
  <si>
    <t>heidi.miller@example.com</t>
  </si>
  <si>
    <t>EMP1035</t>
  </si>
  <si>
    <t>10/26/2022</t>
  </si>
  <si>
    <t>EMP1036</t>
  </si>
  <si>
    <t>EMP1037</t>
  </si>
  <si>
    <t>grace.smith@example.com</t>
  </si>
  <si>
    <t>EMP1038</t>
  </si>
  <si>
    <t>frank.smith@example.com</t>
  </si>
  <si>
    <t>EMP1039</t>
  </si>
  <si>
    <t>HR-Texas</t>
  </si>
  <si>
    <t>7/27/2022</t>
  </si>
  <si>
    <t>eva.williams@example.com</t>
  </si>
  <si>
    <t>EMP1040</t>
  </si>
  <si>
    <t>6/27/2021</t>
  </si>
  <si>
    <t>bob.williams@example.com</t>
  </si>
  <si>
    <t>EMP1041</t>
  </si>
  <si>
    <t>HR-California</t>
  </si>
  <si>
    <t>6/16/2022</t>
  </si>
  <si>
    <t>EMP1042</t>
  </si>
  <si>
    <t>HR-Nevada</t>
  </si>
  <si>
    <t>alice.johnson@example.com</t>
  </si>
  <si>
    <t>EMP1043</t>
  </si>
  <si>
    <t>5/23/2023</t>
  </si>
  <si>
    <t>bob.garcia@example.com</t>
  </si>
  <si>
    <t>EMP1044</t>
  </si>
  <si>
    <t>eva.brown@example.com</t>
  </si>
  <si>
    <t>EMP1045</t>
  </si>
  <si>
    <t>6/20/2021</t>
  </si>
  <si>
    <t>EMP1046</t>
  </si>
  <si>
    <t>Cloud Tech-Texas</t>
  </si>
  <si>
    <t>12/13/2024</t>
  </si>
  <si>
    <t>EMP1047</t>
  </si>
  <si>
    <t>5/30/2022</t>
  </si>
  <si>
    <t>alice.davis@example.com</t>
  </si>
  <si>
    <t>EMP1048</t>
  </si>
  <si>
    <t>9/27/2023</t>
  </si>
  <si>
    <t>alice.miller@example.com</t>
  </si>
  <si>
    <t>EMP1049</t>
  </si>
  <si>
    <t>grace.miller@example.com</t>
  </si>
  <si>
    <t>EMP1050</t>
  </si>
  <si>
    <t>charlie.davis@example.com</t>
  </si>
  <si>
    <t>EMP1051</t>
  </si>
  <si>
    <t>2/22/2022</t>
  </si>
  <si>
    <t>EMP1052</t>
  </si>
  <si>
    <t>EMP1053</t>
  </si>
  <si>
    <t>EMP1054</t>
  </si>
  <si>
    <t>EMP1055</t>
  </si>
  <si>
    <t>Sales-California</t>
  </si>
  <si>
    <t>EMP1056</t>
  </si>
  <si>
    <t>2/27/2022</t>
  </si>
  <si>
    <t>frank.garcia@example.com</t>
  </si>
  <si>
    <t>EMP1057</t>
  </si>
  <si>
    <t>alice.smith@example.com</t>
  </si>
  <si>
    <t>EMP1058</t>
  </si>
  <si>
    <t>EMP1059</t>
  </si>
  <si>
    <t>4/16/2022</t>
  </si>
  <si>
    <t>EMP1060</t>
  </si>
  <si>
    <t>10/19/2023</t>
  </si>
  <si>
    <t>EMP1061</t>
  </si>
  <si>
    <t>EMP1062</t>
  </si>
  <si>
    <t>3/13/2021</t>
  </si>
  <si>
    <t>EMP1063</t>
  </si>
  <si>
    <t>HR-Illinois</t>
  </si>
  <si>
    <t>7/20/2023</t>
  </si>
  <si>
    <t>charlie.smith@example.com</t>
  </si>
  <si>
    <t>EMP1064</t>
  </si>
  <si>
    <t>Admin-New York</t>
  </si>
  <si>
    <t>2/20/2020</t>
  </si>
  <si>
    <t>EMP1065</t>
  </si>
  <si>
    <t>bob.johnson@example.com</t>
  </si>
  <si>
    <t>EMP1066</t>
  </si>
  <si>
    <t>grace.brown@example.com</t>
  </si>
  <si>
    <t>EMP1067</t>
  </si>
  <si>
    <t>11/26/2022</t>
  </si>
  <si>
    <t>EMP1068</t>
  </si>
  <si>
    <t>Admin-Florida</t>
  </si>
  <si>
    <t>12/23/2022</t>
  </si>
  <si>
    <t>EMP1069</t>
  </si>
  <si>
    <t>8/28/2024</t>
  </si>
  <si>
    <t>EMP1070</t>
  </si>
  <si>
    <t>9/16/2024</t>
  </si>
  <si>
    <t>EMP1071</t>
  </si>
  <si>
    <t>HR-Florida</t>
  </si>
  <si>
    <t>EMP1072</t>
  </si>
  <si>
    <t>4/18/2021</t>
  </si>
  <si>
    <t>EMP1073</t>
  </si>
  <si>
    <t>1/16/2023</t>
  </si>
  <si>
    <t>david.johnson@example.com</t>
  </si>
  <si>
    <t>EMP1074</t>
  </si>
  <si>
    <t>Sales-Nevada</t>
  </si>
  <si>
    <t>10/20/2024</t>
  </si>
  <si>
    <t>EMP1075</t>
  </si>
  <si>
    <t>10/13/2024</t>
  </si>
  <si>
    <t>EMP1076</t>
  </si>
  <si>
    <t>9/21/2022</t>
  </si>
  <si>
    <t>david.brown@example.com</t>
  </si>
  <si>
    <t>EMP1077</t>
  </si>
  <si>
    <t>Finance-New York</t>
  </si>
  <si>
    <t>12/29/2022</t>
  </si>
  <si>
    <t>EMP1078</t>
  </si>
  <si>
    <t>DevOps-Florida</t>
  </si>
  <si>
    <t>EMP1079</t>
  </si>
  <si>
    <t>11/22/2021</t>
  </si>
  <si>
    <t>EMP1080</t>
  </si>
  <si>
    <t>3/14/2024</t>
  </si>
  <si>
    <t>grace.davis@example.com</t>
  </si>
  <si>
    <t>EMP1081</t>
  </si>
  <si>
    <t>DevOps-Texas</t>
  </si>
  <si>
    <t>3/23/2020</t>
  </si>
  <si>
    <t>frank.brown@example.com</t>
  </si>
  <si>
    <t>EMP1082</t>
  </si>
  <si>
    <t>9/15/2020</t>
  </si>
  <si>
    <t>david.jones@example.com</t>
  </si>
  <si>
    <t>EMP1083</t>
  </si>
  <si>
    <t>EMP1084</t>
  </si>
  <si>
    <t>2/22/2020</t>
  </si>
  <si>
    <t>EMP1085</t>
  </si>
  <si>
    <t>4/27/2023</t>
  </si>
  <si>
    <t>EMP1086</t>
  </si>
  <si>
    <t>6/18/2024</t>
  </si>
  <si>
    <t>EMP1087</t>
  </si>
  <si>
    <t>5/21/2020</t>
  </si>
  <si>
    <t>EMP1088</t>
  </si>
  <si>
    <t>7/25/2023</t>
  </si>
  <si>
    <t>EMP1089</t>
  </si>
  <si>
    <t>8/25/2023</t>
  </si>
  <si>
    <t>EMP1090</t>
  </si>
  <si>
    <t>heidi.garcia@example.com</t>
  </si>
  <si>
    <t>EMP1091</t>
  </si>
  <si>
    <t>3/13/2023</t>
  </si>
  <si>
    <t>EMP1092</t>
  </si>
  <si>
    <t>EMP1093</t>
  </si>
  <si>
    <t>1/21/2020</t>
  </si>
  <si>
    <t>eva.miller@example.com</t>
  </si>
  <si>
    <t>EMP1094</t>
  </si>
  <si>
    <t>Finance-Illinois</t>
  </si>
  <si>
    <t>11/15/2023</t>
  </si>
  <si>
    <t>EMP1095</t>
  </si>
  <si>
    <t>Cloud Tech-California</t>
  </si>
  <si>
    <t>EMP1096</t>
  </si>
  <si>
    <t>5/21/2022</t>
  </si>
  <si>
    <t>frank.johnson@example.com</t>
  </si>
  <si>
    <t>EMP1097</t>
  </si>
  <si>
    <t>4/17/2021</t>
  </si>
  <si>
    <t>EMP1098</t>
  </si>
  <si>
    <t>3/19/2021</t>
  </si>
  <si>
    <t>EMP1099</t>
  </si>
  <si>
    <t>N/A</t>
  </si>
  <si>
    <t>eva.jones@example.com</t>
  </si>
  <si>
    <t>EMP1100</t>
  </si>
  <si>
    <t>8/21/2021</t>
  </si>
  <si>
    <t>EMP1101</t>
  </si>
  <si>
    <t>8/19/2022</t>
  </si>
  <si>
    <t>EMP1102</t>
  </si>
  <si>
    <t>3/31/2022</t>
  </si>
  <si>
    <t>EMP1103</t>
  </si>
  <si>
    <t>6/23/2020</t>
  </si>
  <si>
    <t>EMP1104</t>
  </si>
  <si>
    <t>EMP1105</t>
  </si>
  <si>
    <t>EMP1106</t>
  </si>
  <si>
    <t>9/14/2023</t>
  </si>
  <si>
    <t>EMP1107</t>
  </si>
  <si>
    <t>EMP1108</t>
  </si>
  <si>
    <t>10/26/2024</t>
  </si>
  <si>
    <t>EMP1109</t>
  </si>
  <si>
    <t>8/23/2020</t>
  </si>
  <si>
    <t>EMP1110</t>
  </si>
  <si>
    <t>eva.garcia@example.com</t>
  </si>
  <si>
    <t>EMP1111</t>
  </si>
  <si>
    <t>9/14/2021</t>
  </si>
  <si>
    <t>EMP1112</t>
  </si>
  <si>
    <t>12/26/2024</t>
  </si>
  <si>
    <t>EMP1113</t>
  </si>
  <si>
    <t>EMP1114</t>
  </si>
  <si>
    <t>8/21/2022</t>
  </si>
  <si>
    <t>EMP1115</t>
  </si>
  <si>
    <t>7/25/2024</t>
  </si>
  <si>
    <t>EMP1116</t>
  </si>
  <si>
    <t>EMP1117</t>
  </si>
  <si>
    <t>3/16/2020</t>
  </si>
  <si>
    <t>EMP1118</t>
  </si>
  <si>
    <t>EMP1119</t>
  </si>
  <si>
    <t>3/29/2024</t>
  </si>
  <si>
    <t>EMP1120</t>
  </si>
  <si>
    <t>EMP1121</t>
  </si>
  <si>
    <t>12/24/2023</t>
  </si>
  <si>
    <t>EMP1122</t>
  </si>
  <si>
    <t>8/28/2020</t>
  </si>
  <si>
    <t>EMP1123</t>
  </si>
  <si>
    <t>EMP1124</t>
  </si>
  <si>
    <t>heidi.jones@example.com</t>
  </si>
  <si>
    <t>EMP1125</t>
  </si>
  <si>
    <t>EMP1126</t>
  </si>
  <si>
    <t>eva.johnson@example.com</t>
  </si>
  <si>
    <t>EMP1127</t>
  </si>
  <si>
    <t>7/21/2022</t>
  </si>
  <si>
    <t>EMP1128</t>
  </si>
  <si>
    <t>3/30/2020</t>
  </si>
  <si>
    <t>EMP1129</t>
  </si>
  <si>
    <t>DevOps-Nevada</t>
  </si>
  <si>
    <t>EMP1130</t>
  </si>
  <si>
    <t>7/24/2022</t>
  </si>
  <si>
    <t>EMP1131</t>
  </si>
  <si>
    <t>6/30/2023</t>
  </si>
  <si>
    <t>EMP1132</t>
  </si>
  <si>
    <t>EMP1133</t>
  </si>
  <si>
    <t>EMP1134</t>
  </si>
  <si>
    <t>11/22/2024</t>
  </si>
  <si>
    <t>EMP1135</t>
  </si>
  <si>
    <t>8/23/2021</t>
  </si>
  <si>
    <t>EMP1136</t>
  </si>
  <si>
    <t>david.smith@example.com</t>
  </si>
  <si>
    <t>EMP1137</t>
  </si>
  <si>
    <t>EMP1138</t>
  </si>
  <si>
    <t>EMP1139</t>
  </si>
  <si>
    <t>EMP1140</t>
  </si>
  <si>
    <t>EMP1141</t>
  </si>
  <si>
    <t>2/14/2020</t>
  </si>
  <si>
    <t>EMP1142</t>
  </si>
  <si>
    <t>EMP1143</t>
  </si>
  <si>
    <t>7/27/2023</t>
  </si>
  <si>
    <t>EMP1144</t>
  </si>
  <si>
    <t>9/24/2021</t>
  </si>
  <si>
    <t>EMP1145</t>
  </si>
  <si>
    <t>EMP1146</t>
  </si>
  <si>
    <t>EMP1147</t>
  </si>
  <si>
    <t>10/15/2020</t>
  </si>
  <si>
    <t>EMP1148</t>
  </si>
  <si>
    <t>1/29/2020</t>
  </si>
  <si>
    <t>EMP1149</t>
  </si>
  <si>
    <t>1/30/2022</t>
  </si>
  <si>
    <t>EMP1150</t>
  </si>
  <si>
    <t>3/29/2021</t>
  </si>
  <si>
    <t>alice.williams@example.com</t>
  </si>
  <si>
    <t>EMP1151</t>
  </si>
  <si>
    <t>10/13/2020</t>
  </si>
  <si>
    <t>EMP1152</t>
  </si>
  <si>
    <t>heidi.smith@example.com</t>
  </si>
  <si>
    <t>EMP1153</t>
  </si>
  <si>
    <t>12/18/2024</t>
  </si>
  <si>
    <t>EMP1154</t>
  </si>
  <si>
    <t>11/14/2023</t>
  </si>
  <si>
    <t>EMP1155</t>
  </si>
  <si>
    <t>1/20/2023</t>
  </si>
  <si>
    <t>EMP1156</t>
  </si>
  <si>
    <t>EMP1157</t>
  </si>
  <si>
    <t>5/13/2021</t>
  </si>
  <si>
    <t>EMP1158</t>
  </si>
  <si>
    <t>3/18/2021</t>
  </si>
  <si>
    <t>EMP1159</t>
  </si>
  <si>
    <t>9/23/2020</t>
  </si>
  <si>
    <t>EMP1160</t>
  </si>
  <si>
    <t>EMP1161</t>
  </si>
  <si>
    <t>2/28/2024</t>
  </si>
  <si>
    <t>EMP1162</t>
  </si>
  <si>
    <t>4/30/2023</t>
  </si>
  <si>
    <t>EMP1163</t>
  </si>
  <si>
    <t>EMP1164</t>
  </si>
  <si>
    <t>12/29/2023</t>
  </si>
  <si>
    <t>EMP1165</t>
  </si>
  <si>
    <t>EMP1166</t>
  </si>
  <si>
    <t>7/18/2022</t>
  </si>
  <si>
    <t>EMP1167</t>
  </si>
  <si>
    <t>7/13/2022</t>
  </si>
  <si>
    <t>EMP1168</t>
  </si>
  <si>
    <t>heidi.davis@example.com</t>
  </si>
  <si>
    <t>EMP1169</t>
  </si>
  <si>
    <t>EMP1170</t>
  </si>
  <si>
    <t>4/16/2023</t>
  </si>
  <si>
    <t>EMP1171</t>
  </si>
  <si>
    <t>EMP1172</t>
  </si>
  <si>
    <t>3/29/2023</t>
  </si>
  <si>
    <t>EMP1173</t>
  </si>
  <si>
    <t>1/22/2022</t>
  </si>
  <si>
    <t>heidi.brown@example.com</t>
  </si>
  <si>
    <t>EMP1174</t>
  </si>
  <si>
    <t>10/14/2023</t>
  </si>
  <si>
    <t>EMP1175</t>
  </si>
  <si>
    <t>EMP1176</t>
  </si>
  <si>
    <t>EMP1177</t>
  </si>
  <si>
    <t>EMP1178</t>
  </si>
  <si>
    <t>EMP1179</t>
  </si>
  <si>
    <t>EMP1180</t>
  </si>
  <si>
    <t>8/21/2020</t>
  </si>
  <si>
    <t>EMP1181</t>
  </si>
  <si>
    <t>3/27/2021</t>
  </si>
  <si>
    <t>EMP1182</t>
  </si>
  <si>
    <t>4/14/2024</t>
  </si>
  <si>
    <t>EMP1183</t>
  </si>
  <si>
    <t>9/21/2020</t>
  </si>
  <si>
    <t>EMP1184</t>
  </si>
  <si>
    <t>EMP1185</t>
  </si>
  <si>
    <t>EMP1186</t>
  </si>
  <si>
    <t>7/31/2022</t>
  </si>
  <si>
    <t>EMP1187</t>
  </si>
  <si>
    <t>4/21/2023</t>
  </si>
  <si>
    <t>EMP1188</t>
  </si>
  <si>
    <t>EMP1189</t>
  </si>
  <si>
    <t>7/27/2024</t>
  </si>
  <si>
    <t>EMP1190</t>
  </si>
  <si>
    <t>EMP1191</t>
  </si>
  <si>
    <t>10/26/2023</t>
  </si>
  <si>
    <t>EMP1192</t>
  </si>
  <si>
    <t>8/18/2022</t>
  </si>
  <si>
    <t>EMP1193</t>
  </si>
  <si>
    <t>5/31/2020</t>
  </si>
  <si>
    <t>EMP1194</t>
  </si>
  <si>
    <t>EMP1195</t>
  </si>
  <si>
    <t>3/25/2020</t>
  </si>
  <si>
    <t>EMP1196</t>
  </si>
  <si>
    <t>EMP1197</t>
  </si>
  <si>
    <t>3/21/2020</t>
  </si>
  <si>
    <t>EMP1198</t>
  </si>
  <si>
    <t>1/15/2022</t>
  </si>
  <si>
    <t>EMP1199</t>
  </si>
  <si>
    <t>EMP1200</t>
  </si>
  <si>
    <t>EMP1201</t>
  </si>
  <si>
    <t>10/16/2020</t>
  </si>
  <si>
    <t>EMP1202</t>
  </si>
  <si>
    <t>9/26/2021</t>
  </si>
  <si>
    <t>EMP1203</t>
  </si>
  <si>
    <t>EMP1204</t>
  </si>
  <si>
    <t>EMP1205</t>
  </si>
  <si>
    <t>EMP1206</t>
  </si>
  <si>
    <t>EMP1207</t>
  </si>
  <si>
    <t>10/17/2023</t>
  </si>
  <si>
    <t>EMP1208</t>
  </si>
  <si>
    <t>9/25/2021</t>
  </si>
  <si>
    <t>EMP1209</t>
  </si>
  <si>
    <t>EMP1210</t>
  </si>
  <si>
    <t>EMP1211</t>
  </si>
  <si>
    <t>EMP1212</t>
  </si>
  <si>
    <t>EMP1213</t>
  </si>
  <si>
    <t>4/19/2020</t>
  </si>
  <si>
    <t>EMP1214</t>
  </si>
  <si>
    <t>10/14/2021</t>
  </si>
  <si>
    <t>EMP1215</t>
  </si>
  <si>
    <t>8/26/2024</t>
  </si>
  <si>
    <t>EMP1216</t>
  </si>
  <si>
    <t>EMP1217</t>
  </si>
  <si>
    <t>EMP1218</t>
  </si>
  <si>
    <t>EMP1219</t>
  </si>
  <si>
    <t>6/13/2023</t>
  </si>
  <si>
    <t>EMP1220</t>
  </si>
  <si>
    <t>12/13/2022</t>
  </si>
  <si>
    <t>EMP1221</t>
  </si>
  <si>
    <t>EMP1222</t>
  </si>
  <si>
    <t>EMP1223</t>
  </si>
  <si>
    <t>11/24/2021</t>
  </si>
  <si>
    <t>EMP1224</t>
  </si>
  <si>
    <t>EMP1225</t>
  </si>
  <si>
    <t>12/19/2024</t>
  </si>
  <si>
    <t>EMP1226</t>
  </si>
  <si>
    <t>3/22/2024</t>
  </si>
  <si>
    <t>EMP1227</t>
  </si>
  <si>
    <t>6/13/2022</t>
  </si>
  <si>
    <t>EMP1228</t>
  </si>
  <si>
    <t>10/15/2022</t>
  </si>
  <si>
    <t>EMP1229</t>
  </si>
  <si>
    <t>5/31/2022</t>
  </si>
  <si>
    <t>EMP1230</t>
  </si>
  <si>
    <t>9/15/2023</t>
  </si>
  <si>
    <t>EMP1231</t>
  </si>
  <si>
    <t>EMP1232</t>
  </si>
  <si>
    <t>EMP1233</t>
  </si>
  <si>
    <t>11/23/2020</t>
  </si>
  <si>
    <t>EMP1234</t>
  </si>
  <si>
    <t>5/13/2024</t>
  </si>
  <si>
    <t>EMP1235</t>
  </si>
  <si>
    <t>1/29/2022</t>
  </si>
  <si>
    <t>EMP1236</t>
  </si>
  <si>
    <t>8/23/2023</t>
  </si>
  <si>
    <t>charlie.miller@example.com</t>
  </si>
  <si>
    <t>EMP1237</t>
  </si>
  <si>
    <t>2/24/2023</t>
  </si>
  <si>
    <t>EMP1238</t>
  </si>
  <si>
    <t>EMP1239</t>
  </si>
  <si>
    <t>6/28/2020</t>
  </si>
  <si>
    <t>EMP1240</t>
  </si>
  <si>
    <t>1/15/2023</t>
  </si>
  <si>
    <t>EMP1241</t>
  </si>
  <si>
    <t>EMP1242</t>
  </si>
  <si>
    <t>3/18/2023</t>
  </si>
  <si>
    <t>EMP1243</t>
  </si>
  <si>
    <t>3/26/2022</t>
  </si>
  <si>
    <t>EMP1244</t>
  </si>
  <si>
    <t>EMP1245</t>
  </si>
  <si>
    <t>EMP1246</t>
  </si>
  <si>
    <t>EMP1247</t>
  </si>
  <si>
    <t>5/28/2021</t>
  </si>
  <si>
    <t>EMP1248</t>
  </si>
  <si>
    <t>12/28/2022</t>
  </si>
  <si>
    <t>eva.smith@example.com</t>
  </si>
  <si>
    <t>EMP1249</t>
  </si>
  <si>
    <t>5/24/2023</t>
  </si>
  <si>
    <t>EMP1250</t>
  </si>
  <si>
    <t>4/28/2024</t>
  </si>
  <si>
    <t>EMP1251</t>
  </si>
  <si>
    <t>12/25/2024</t>
  </si>
  <si>
    <t>EMP1252</t>
  </si>
  <si>
    <t>EMP1253</t>
  </si>
  <si>
    <t>2/21/2021</t>
  </si>
  <si>
    <t>EMP1254</t>
  </si>
  <si>
    <t>11/20/2022</t>
  </si>
  <si>
    <t>EMP1255</t>
  </si>
  <si>
    <t>EMP1256</t>
  </si>
  <si>
    <t>7/24/2024</t>
  </si>
  <si>
    <t>EMP1257</t>
  </si>
  <si>
    <t>8/14/2022</t>
  </si>
  <si>
    <t>EMP1258</t>
  </si>
  <si>
    <t>EMP1259</t>
  </si>
  <si>
    <t>EMP1260</t>
  </si>
  <si>
    <t>1/19/2022</t>
  </si>
  <si>
    <t>EMP1261</t>
  </si>
  <si>
    <t>EMP1262</t>
  </si>
  <si>
    <t>EMP1263</t>
  </si>
  <si>
    <t>3/26/2024</t>
  </si>
  <si>
    <t>EMP1264</t>
  </si>
  <si>
    <t>EMP1265</t>
  </si>
  <si>
    <t>EMP1266</t>
  </si>
  <si>
    <t>11/19/2021</t>
  </si>
  <si>
    <t>EMP1267</t>
  </si>
  <si>
    <t>1/24/2022</t>
  </si>
  <si>
    <t>EMP1268</t>
  </si>
  <si>
    <t>EMP1269</t>
  </si>
  <si>
    <t>EMP1270</t>
  </si>
  <si>
    <t>EMP1271</t>
  </si>
  <si>
    <t>4/25/2022</t>
  </si>
  <si>
    <t>EMP1272</t>
  </si>
  <si>
    <t>2/28/2021</t>
  </si>
  <si>
    <t>EMP1273</t>
  </si>
  <si>
    <t>7/30/2022</t>
  </si>
  <si>
    <t>EMP1274</t>
  </si>
  <si>
    <t>5/19/2021</t>
  </si>
  <si>
    <t>EMP1275</t>
  </si>
  <si>
    <t>12/14/2023</t>
  </si>
  <si>
    <t>EMP1276</t>
  </si>
  <si>
    <t>1/17/2023</t>
  </si>
  <si>
    <t>EMP1277</t>
  </si>
  <si>
    <t>EMP1278</t>
  </si>
  <si>
    <t>EMP1279</t>
  </si>
  <si>
    <t>EMP1280</t>
  </si>
  <si>
    <t>EMP1281</t>
  </si>
  <si>
    <t>8/30/2023</t>
  </si>
  <si>
    <t>EMP1282</t>
  </si>
  <si>
    <t>8/15/2023</t>
  </si>
  <si>
    <t>EMP1283</t>
  </si>
  <si>
    <t>12/24/2020</t>
  </si>
  <si>
    <t>EMP1284</t>
  </si>
  <si>
    <t>11/21/2024</t>
  </si>
  <si>
    <t>EMP1285</t>
  </si>
  <si>
    <t>11/17/2021</t>
  </si>
  <si>
    <t>EMP1286</t>
  </si>
  <si>
    <t>1/29/2021</t>
  </si>
  <si>
    <t>EMP1287</t>
  </si>
  <si>
    <t>2/17/2024</t>
  </si>
  <si>
    <t>EMP1288</t>
  </si>
  <si>
    <t>8/20/2024</t>
  </si>
  <si>
    <t>EMP1289</t>
  </si>
  <si>
    <t>10/24/2021</t>
  </si>
  <si>
    <t>EMP1290</t>
  </si>
  <si>
    <t>EMP1291</t>
  </si>
  <si>
    <t>9/29/2023</t>
  </si>
  <si>
    <t>EMP1292</t>
  </si>
  <si>
    <t>EMP1293</t>
  </si>
  <si>
    <t>EMP1294</t>
  </si>
  <si>
    <t>3/31/2024</t>
  </si>
  <si>
    <t>EMP1295</t>
  </si>
  <si>
    <t>EMP1296</t>
  </si>
  <si>
    <t>EMP1297</t>
  </si>
  <si>
    <t>10/25/2023</t>
  </si>
  <si>
    <t>EMP1298</t>
  </si>
  <si>
    <t>9/27/2020</t>
  </si>
  <si>
    <t>EMP1299</t>
  </si>
  <si>
    <t>1/21/2024</t>
  </si>
  <si>
    <t>EMP1300</t>
  </si>
  <si>
    <t>5/17/2022</t>
  </si>
  <si>
    <t>EMP1301</t>
  </si>
  <si>
    <t>4/17/2022</t>
  </si>
  <si>
    <t>EMP1302</t>
  </si>
  <si>
    <t>EMP1303</t>
  </si>
  <si>
    <t>3/15/2022</t>
  </si>
  <si>
    <t>EMP1304</t>
  </si>
  <si>
    <t>EMP1305</t>
  </si>
  <si>
    <t>11/13/2020</t>
  </si>
  <si>
    <t>EMP1306</t>
  </si>
  <si>
    <t>4/17/2024</t>
  </si>
  <si>
    <t>EMP1307</t>
  </si>
  <si>
    <t>EMP1308</t>
  </si>
  <si>
    <t>6/17/2022</t>
  </si>
  <si>
    <t>EMP1309</t>
  </si>
  <si>
    <t>7/28/2024</t>
  </si>
  <si>
    <t>EMP1310</t>
  </si>
  <si>
    <t>EMP1311</t>
  </si>
  <si>
    <t>EMP1312</t>
  </si>
  <si>
    <t>5/28/2024</t>
  </si>
  <si>
    <t>EMP1313</t>
  </si>
  <si>
    <t>3/25/2024</t>
  </si>
  <si>
    <t>EMP1314</t>
  </si>
  <si>
    <t>4/28/2020</t>
  </si>
  <si>
    <t>EMP1315</t>
  </si>
  <si>
    <t>EMP1316</t>
  </si>
  <si>
    <t>4/15/2020</t>
  </si>
  <si>
    <t>EMP1317</t>
  </si>
  <si>
    <t>EMP1318</t>
  </si>
  <si>
    <t>2/27/2024</t>
  </si>
  <si>
    <t>EMP1319</t>
  </si>
  <si>
    <t>2/22/2021</t>
  </si>
  <si>
    <t>EMP1320</t>
  </si>
  <si>
    <t>8/21/2023</t>
  </si>
  <si>
    <t>EMP1321</t>
  </si>
  <si>
    <t>EMP1322</t>
  </si>
  <si>
    <t>EMP1323</t>
  </si>
  <si>
    <t>EMP1324</t>
  </si>
  <si>
    <t>EMP1325</t>
  </si>
  <si>
    <t>EMP1326</t>
  </si>
  <si>
    <t>9/27/2022</t>
  </si>
  <si>
    <t>EMP1327</t>
  </si>
  <si>
    <t>EMP1328</t>
  </si>
  <si>
    <t>3/23/2021</t>
  </si>
  <si>
    <t>EMP1329</t>
  </si>
  <si>
    <t>EMP1330</t>
  </si>
  <si>
    <t>7/23/2024</t>
  </si>
  <si>
    <t>EMP1331</t>
  </si>
  <si>
    <t>EMP1332</t>
  </si>
  <si>
    <t>EMP1333</t>
  </si>
  <si>
    <t>10/23/2024</t>
  </si>
  <si>
    <t>EMP1334</t>
  </si>
  <si>
    <t>4/24/2020</t>
  </si>
  <si>
    <t>EMP1335</t>
  </si>
  <si>
    <t>EMP1336</t>
  </si>
  <si>
    <t>8/31/2022</t>
  </si>
  <si>
    <t>EMP1337</t>
  </si>
  <si>
    <t>EMP1338</t>
  </si>
  <si>
    <t>EMP1339</t>
  </si>
  <si>
    <t>EMP1340</t>
  </si>
  <si>
    <t>7/19/2020</t>
  </si>
  <si>
    <t>EMP1341</t>
  </si>
  <si>
    <t>EMP1342</t>
  </si>
  <si>
    <t>EMP1343</t>
  </si>
  <si>
    <t>12/31/2023</t>
  </si>
  <si>
    <t>EMP1344</t>
  </si>
  <si>
    <t>EMP1345</t>
  </si>
  <si>
    <t>9/28/2020</t>
  </si>
  <si>
    <t>EMP1346</t>
  </si>
  <si>
    <t>EMP1347</t>
  </si>
  <si>
    <t>EMP1348</t>
  </si>
  <si>
    <t>2/18/2022</t>
  </si>
  <si>
    <t>EMP1349</t>
  </si>
  <si>
    <t>EMP1350</t>
  </si>
  <si>
    <t>EMP1351</t>
  </si>
  <si>
    <t>3/21/2022</t>
  </si>
  <si>
    <t>EMP1352</t>
  </si>
  <si>
    <t>EMP1353</t>
  </si>
  <si>
    <t>10/15/2021</t>
  </si>
  <si>
    <t>EMP1354</t>
  </si>
  <si>
    <t>7/28/2021</t>
  </si>
  <si>
    <t>EMP1355</t>
  </si>
  <si>
    <t>EMP1356</t>
  </si>
  <si>
    <t>EMP1357</t>
  </si>
  <si>
    <t>EMP1358</t>
  </si>
  <si>
    <t>EMP1359</t>
  </si>
  <si>
    <t>7/21/2024</t>
  </si>
  <si>
    <t>EMP1360</t>
  </si>
  <si>
    <t>12/28/2021</t>
  </si>
  <si>
    <t>EMP1361</t>
  </si>
  <si>
    <t>7/20/2020</t>
  </si>
  <si>
    <t>EMP1362</t>
  </si>
  <si>
    <t>4/30/2024</t>
  </si>
  <si>
    <t>EMP1363</t>
  </si>
  <si>
    <t>8/28/2021</t>
  </si>
  <si>
    <t>EMP1364</t>
  </si>
  <si>
    <t>EMP1365</t>
  </si>
  <si>
    <t>11/27/2023</t>
  </si>
  <si>
    <t>EMP1366</t>
  </si>
  <si>
    <t>EMP1367</t>
  </si>
  <si>
    <t>EMP1368</t>
  </si>
  <si>
    <t>EMP1369</t>
  </si>
  <si>
    <t>EMP1370</t>
  </si>
  <si>
    <t>EMP1371</t>
  </si>
  <si>
    <t>EMP1372</t>
  </si>
  <si>
    <t>12/19/2020</t>
  </si>
  <si>
    <t>EMP1373</t>
  </si>
  <si>
    <t>EMP1374</t>
  </si>
  <si>
    <t>EMP1375</t>
  </si>
  <si>
    <t>EMP1376</t>
  </si>
  <si>
    <t>10/14/2020</t>
  </si>
  <si>
    <t>EMP1377</t>
  </si>
  <si>
    <t>EMP1378</t>
  </si>
  <si>
    <t>12/25/2023</t>
  </si>
  <si>
    <t>EMP1379</t>
  </si>
  <si>
    <t>EMP1380</t>
  </si>
  <si>
    <t>1/30/2023</t>
  </si>
  <si>
    <t>EMP1381</t>
  </si>
  <si>
    <t>EMP1382</t>
  </si>
  <si>
    <t>EMP1383</t>
  </si>
  <si>
    <t>EMP1384</t>
  </si>
  <si>
    <t>6/15/2023</t>
  </si>
  <si>
    <t>EMP1385</t>
  </si>
  <si>
    <t>7/29/2021</t>
  </si>
  <si>
    <t>EMP1386</t>
  </si>
  <si>
    <t>10/23/2023</t>
  </si>
  <si>
    <t>EMP1387</t>
  </si>
  <si>
    <t>EMP1388</t>
  </si>
  <si>
    <t>10/18/2020</t>
  </si>
  <si>
    <t>EMP1389</t>
  </si>
  <si>
    <t>6/15/2024</t>
  </si>
  <si>
    <t>EMP1390</t>
  </si>
  <si>
    <t>EMP1391</t>
  </si>
  <si>
    <t>EMP1392</t>
  </si>
  <si>
    <t>EMP1393</t>
  </si>
  <si>
    <t>EMP1394</t>
  </si>
  <si>
    <t>7/23/2022</t>
  </si>
  <si>
    <t>EMP1395</t>
  </si>
  <si>
    <t>11/25/2024</t>
  </si>
  <si>
    <t>EMP1396</t>
  </si>
  <si>
    <t>EMP1397</t>
  </si>
  <si>
    <t>EMP1398</t>
  </si>
  <si>
    <t>10/24/2023</t>
  </si>
  <si>
    <t>EMP1399</t>
  </si>
  <si>
    <t>EMP1400</t>
  </si>
  <si>
    <t>EMP1401</t>
  </si>
  <si>
    <t>1/18/2020</t>
  </si>
  <si>
    <t>EMP1402</t>
  </si>
  <si>
    <t>4/23/2022</t>
  </si>
  <si>
    <t>EMP1403</t>
  </si>
  <si>
    <t>4/22/2023</t>
  </si>
  <si>
    <t>EMP1404</t>
  </si>
  <si>
    <t>8/13/2023</t>
  </si>
  <si>
    <t>EMP1405</t>
  </si>
  <si>
    <t>EMP1406</t>
  </si>
  <si>
    <t>EMP1407</t>
  </si>
  <si>
    <t>EMP1408</t>
  </si>
  <si>
    <t>EMP1409</t>
  </si>
  <si>
    <t>EMP1410</t>
  </si>
  <si>
    <t>10/23/2022</t>
  </si>
  <si>
    <t>EMP1411</t>
  </si>
  <si>
    <t>EMP1412</t>
  </si>
  <si>
    <t>10/31/2021</t>
  </si>
  <si>
    <t>EMP1413</t>
  </si>
  <si>
    <t>9/29/2024</t>
  </si>
  <si>
    <t>EMP1414</t>
  </si>
  <si>
    <t>4/22/2020</t>
  </si>
  <si>
    <t>EMP1415</t>
  </si>
  <si>
    <t>EMP1416</t>
  </si>
  <si>
    <t>EMP1417</t>
  </si>
  <si>
    <t>EMP1418</t>
  </si>
  <si>
    <t>4/23/2020</t>
  </si>
  <si>
    <t>EMP1419</t>
  </si>
  <si>
    <t>EMP1420</t>
  </si>
  <si>
    <t>8/24/2022</t>
  </si>
  <si>
    <t>EMP1421</t>
  </si>
  <si>
    <t>EMP1422</t>
  </si>
  <si>
    <t>EMP1423</t>
  </si>
  <si>
    <t>EMP1424</t>
  </si>
  <si>
    <t>EMP1425</t>
  </si>
  <si>
    <t>4/26/2023</t>
  </si>
  <si>
    <t>EMP1426</t>
  </si>
  <si>
    <t>4/19/2022</t>
  </si>
  <si>
    <t>EMP1427</t>
  </si>
  <si>
    <t>EMP1428</t>
  </si>
  <si>
    <t>EMP1429</t>
  </si>
  <si>
    <t>EMP1430</t>
  </si>
  <si>
    <t>7/29/2023</t>
  </si>
  <si>
    <t>EMP1431</t>
  </si>
  <si>
    <t>8/20/2021</t>
  </si>
  <si>
    <t>EMP1432</t>
  </si>
  <si>
    <t>4/23/2021</t>
  </si>
  <si>
    <t>EMP1433</t>
  </si>
  <si>
    <t>EMP1434</t>
  </si>
  <si>
    <t>6/26/2021</t>
  </si>
  <si>
    <t>EMP1435</t>
  </si>
  <si>
    <t>10/30/2020</t>
  </si>
  <si>
    <t>EMP1436</t>
  </si>
  <si>
    <t>EMP1437</t>
  </si>
  <si>
    <t>1/31/2023</t>
  </si>
  <si>
    <t>EMP1438</t>
  </si>
  <si>
    <t>9/24/2020</t>
  </si>
  <si>
    <t>EMP1439</t>
  </si>
  <si>
    <t>EMP1440</t>
  </si>
  <si>
    <t>3/28/2020</t>
  </si>
  <si>
    <t>EMP1441</t>
  </si>
  <si>
    <t>10/31/2023</t>
  </si>
  <si>
    <t>EMP1442</t>
  </si>
  <si>
    <t>EMP1443</t>
  </si>
  <si>
    <t>EMP1444</t>
  </si>
  <si>
    <t>7/15/2023</t>
  </si>
  <si>
    <t>EMP1445</t>
  </si>
  <si>
    <t>EMP1446</t>
  </si>
  <si>
    <t>EMP1447</t>
  </si>
  <si>
    <t>4/19/2024</t>
  </si>
  <si>
    <t>EMP1448</t>
  </si>
  <si>
    <t>6/29/2021</t>
  </si>
  <si>
    <t>EMP1449</t>
  </si>
  <si>
    <t>9/14/2024</t>
  </si>
  <si>
    <t>EMP1450</t>
  </si>
  <si>
    <t>EMP1451</t>
  </si>
  <si>
    <t>1/20/2021</t>
  </si>
  <si>
    <t>EMP1452</t>
  </si>
  <si>
    <t>3/18/2020</t>
  </si>
  <si>
    <t>EMP1453</t>
  </si>
  <si>
    <t>EMP1454</t>
  </si>
  <si>
    <t>EMP1455</t>
  </si>
  <si>
    <t>EMP1456</t>
  </si>
  <si>
    <t>11/18/2020</t>
  </si>
  <si>
    <t>EMP1457</t>
  </si>
  <si>
    <t>11/21/2023</t>
  </si>
  <si>
    <t>EMP1458</t>
  </si>
  <si>
    <t>2/13/2022</t>
  </si>
  <si>
    <t>EMP1459</t>
  </si>
  <si>
    <t>3/19/2023</t>
  </si>
  <si>
    <t>EMP1460</t>
  </si>
  <si>
    <t>3/28/2021</t>
  </si>
  <si>
    <t>EMP1461</t>
  </si>
  <si>
    <t>EMP1462</t>
  </si>
  <si>
    <t>EMP1463</t>
  </si>
  <si>
    <t>EMP1464</t>
  </si>
  <si>
    <t>1/23/2023</t>
  </si>
  <si>
    <t>EMP1465</t>
  </si>
  <si>
    <t>8/26/2021</t>
  </si>
  <si>
    <t>EMP1466</t>
  </si>
  <si>
    <t>11/25/2020</t>
  </si>
  <si>
    <t>EMP1467</t>
  </si>
  <si>
    <t>12/13/2023</t>
  </si>
  <si>
    <t>EMP1468</t>
  </si>
  <si>
    <t>7/26/2020</t>
  </si>
  <si>
    <t>EMP1469</t>
  </si>
  <si>
    <t>EMP1470</t>
  </si>
  <si>
    <t>EMP1471</t>
  </si>
  <si>
    <t>EMP1472</t>
  </si>
  <si>
    <t>6/16/2020</t>
  </si>
  <si>
    <t>EMP1473</t>
  </si>
  <si>
    <t>EMP1474</t>
  </si>
  <si>
    <t>EMP1475</t>
  </si>
  <si>
    <t>3/20/2024</t>
  </si>
  <si>
    <t>EMP1476</t>
  </si>
  <si>
    <t>EMP1477</t>
  </si>
  <si>
    <t>EMP1478</t>
  </si>
  <si>
    <t>6/27/2024</t>
  </si>
  <si>
    <t>EMP1479</t>
  </si>
  <si>
    <t>EMP1480</t>
  </si>
  <si>
    <t>EMP1481</t>
  </si>
  <si>
    <t>EMP1482</t>
  </si>
  <si>
    <t>EMP1483</t>
  </si>
  <si>
    <t>4/19/2023</t>
  </si>
  <si>
    <t>EMP1484</t>
  </si>
  <si>
    <t>EMP1485</t>
  </si>
  <si>
    <t>3/17/2023</t>
  </si>
  <si>
    <t>EMP1486</t>
  </si>
  <si>
    <t>EMP1487</t>
  </si>
  <si>
    <t>EMP1488</t>
  </si>
  <si>
    <t>EMP1489</t>
  </si>
  <si>
    <t>EMP1490</t>
  </si>
  <si>
    <t>2/26/2024</t>
  </si>
  <si>
    <t>EMP1491</t>
  </si>
  <si>
    <t>9/29/2021</t>
  </si>
  <si>
    <t>EMP1492</t>
  </si>
  <si>
    <t>5/25/2021</t>
  </si>
  <si>
    <t>EMP1493</t>
  </si>
  <si>
    <t>10/31/2022</t>
  </si>
  <si>
    <t>EMP1494</t>
  </si>
  <si>
    <t>EMP1495</t>
  </si>
  <si>
    <t>EMP1496</t>
  </si>
  <si>
    <t>10/21/2024</t>
  </si>
  <si>
    <t>EMP1497</t>
  </si>
  <si>
    <t>EMP1498</t>
  </si>
  <si>
    <t>5/16/2023</t>
  </si>
  <si>
    <t>EMP1499</t>
  </si>
  <si>
    <t>7/29/2022</t>
  </si>
  <si>
    <t>EMP1500</t>
  </si>
  <si>
    <t>9/18/2023</t>
  </si>
  <si>
    <t>EMP1501</t>
  </si>
  <si>
    <t>EMP1502</t>
  </si>
  <si>
    <t>8/27/2023</t>
  </si>
  <si>
    <t>EMP1503</t>
  </si>
  <si>
    <t>10/16/2021</t>
  </si>
  <si>
    <t>EMP1504</t>
  </si>
  <si>
    <t>EMP1505</t>
  </si>
  <si>
    <t>EMP1506</t>
  </si>
  <si>
    <t>11/30/2024</t>
  </si>
  <si>
    <t>EMP1507</t>
  </si>
  <si>
    <t>7/13/2024</t>
  </si>
  <si>
    <t>EMP1508</t>
  </si>
  <si>
    <t>EMP1509</t>
  </si>
  <si>
    <t>EMP1510</t>
  </si>
  <si>
    <t>EMP1511</t>
  </si>
  <si>
    <t>EMP1512</t>
  </si>
  <si>
    <t>5/14/2024</t>
  </si>
  <si>
    <t>EMP1513</t>
  </si>
  <si>
    <t>7/14/2022</t>
  </si>
  <si>
    <t>EMP1514</t>
  </si>
  <si>
    <t>9/22/2020</t>
  </si>
  <si>
    <t>EMP1515</t>
  </si>
  <si>
    <t>EMP1516</t>
  </si>
  <si>
    <t>EMP1517</t>
  </si>
  <si>
    <t>2/24/2022</t>
  </si>
  <si>
    <t>EMP1518</t>
  </si>
  <si>
    <t>1/30/2024</t>
  </si>
  <si>
    <t>EMP1519</t>
  </si>
  <si>
    <t>3/16/2024</t>
  </si>
  <si>
    <t>EMP1520</t>
  </si>
  <si>
    <t>9/25/2020</t>
  </si>
  <si>
    <t>EMP1521</t>
  </si>
  <si>
    <t>EMP1522</t>
  </si>
  <si>
    <t>EMP1523</t>
  </si>
  <si>
    <t>6/28/2022</t>
  </si>
  <si>
    <t>EMP1524</t>
  </si>
  <si>
    <t>7/14/2023</t>
  </si>
  <si>
    <t>EMP1525</t>
  </si>
  <si>
    <t>EMP1526</t>
  </si>
  <si>
    <t>EMP1527</t>
  </si>
  <si>
    <t>2/17/2021</t>
  </si>
  <si>
    <t>EMP1528</t>
  </si>
  <si>
    <t>EMP1529</t>
  </si>
  <si>
    <t>EMP1530</t>
  </si>
  <si>
    <t>EMP1531</t>
  </si>
  <si>
    <t>7/23/2020</t>
  </si>
  <si>
    <t>EMP1532</t>
  </si>
  <si>
    <t>2/21/2024</t>
  </si>
  <si>
    <t>EMP1533</t>
  </si>
  <si>
    <t>12/15/2020</t>
  </si>
  <si>
    <t>EMP1534</t>
  </si>
  <si>
    <t>EMP1535</t>
  </si>
  <si>
    <t>EMP1536</t>
  </si>
  <si>
    <t>4/24/2023</t>
  </si>
  <si>
    <t>EMP1537</t>
  </si>
  <si>
    <t>EMP1538</t>
  </si>
  <si>
    <t>6/21/2022</t>
  </si>
  <si>
    <t>EMP1539</t>
  </si>
  <si>
    <t>4/20/2024</t>
  </si>
  <si>
    <t>EMP1540</t>
  </si>
  <si>
    <t>EMP1541</t>
  </si>
  <si>
    <t>EMP1542</t>
  </si>
  <si>
    <t>EMP1543</t>
  </si>
  <si>
    <t>EMP1544</t>
  </si>
  <si>
    <t>7/31/2024</t>
  </si>
  <si>
    <t>EMP1545</t>
  </si>
  <si>
    <t>8/31/2020</t>
  </si>
  <si>
    <t>EMP1546</t>
  </si>
  <si>
    <t>2/15/2023</t>
  </si>
  <si>
    <t>EMP1547</t>
  </si>
  <si>
    <t>EMP1548</t>
  </si>
  <si>
    <t>EMP1549</t>
  </si>
  <si>
    <t>3/30/2021</t>
  </si>
  <si>
    <t>EMP1550</t>
  </si>
  <si>
    <t>EMP1551</t>
  </si>
  <si>
    <t>EMP1552</t>
  </si>
  <si>
    <t>11/23/2021</t>
  </si>
  <si>
    <t>EMP1553</t>
  </si>
  <si>
    <t>10/29/2022</t>
  </si>
  <si>
    <t>EMP1554</t>
  </si>
  <si>
    <t>EMP1555</t>
  </si>
  <si>
    <t>5/14/2023</t>
  </si>
  <si>
    <t>EMP1556</t>
  </si>
  <si>
    <t>7/14/2021</t>
  </si>
  <si>
    <t>EMP1557</t>
  </si>
  <si>
    <t>5/18/2023</t>
  </si>
  <si>
    <t>EMP1558</t>
  </si>
  <si>
    <t>EMP1559</t>
  </si>
  <si>
    <t>8/24/2023</t>
  </si>
  <si>
    <t>EMP1560</t>
  </si>
  <si>
    <t>EMP1561</t>
  </si>
  <si>
    <t>EMP1562</t>
  </si>
  <si>
    <t>EMP1563</t>
  </si>
  <si>
    <t>EMP1564</t>
  </si>
  <si>
    <t>5/25/2024</t>
  </si>
  <si>
    <t>EMP1565</t>
  </si>
  <si>
    <t>EMP1566</t>
  </si>
  <si>
    <t>7/21/2023</t>
  </si>
  <si>
    <t>EMP1567</t>
  </si>
  <si>
    <t>10/30/2023</t>
  </si>
  <si>
    <t>EMP1568</t>
  </si>
  <si>
    <t>2/13/2023</t>
  </si>
  <si>
    <t>EMP1569</t>
  </si>
  <si>
    <t>EMP1570</t>
  </si>
  <si>
    <t>EMP1571</t>
  </si>
  <si>
    <t>5/19/2020</t>
  </si>
  <si>
    <t>EMP1572</t>
  </si>
  <si>
    <t>9/20/2023</t>
  </si>
  <si>
    <t>EMP1573</t>
  </si>
  <si>
    <t>8/13/2024</t>
  </si>
  <si>
    <t>EMP1574</t>
  </si>
  <si>
    <t>EMP1575</t>
  </si>
  <si>
    <t>EMP1576</t>
  </si>
  <si>
    <t>EMP1577</t>
  </si>
  <si>
    <t>EMP1578</t>
  </si>
  <si>
    <t>EMP1579</t>
  </si>
  <si>
    <t>8/17/2023</t>
  </si>
  <si>
    <t>EMP1580</t>
  </si>
  <si>
    <t>EMP1581</t>
  </si>
  <si>
    <t>6/13/2021</t>
  </si>
  <si>
    <t>EMP1582</t>
  </si>
  <si>
    <t>EMP1583</t>
  </si>
  <si>
    <t>EMP1584</t>
  </si>
  <si>
    <t>2/20/2022</t>
  </si>
  <si>
    <t>EMP1585</t>
  </si>
  <si>
    <t>EMP1586</t>
  </si>
  <si>
    <t>8/19/2023</t>
  </si>
  <si>
    <t>EMP1587</t>
  </si>
  <si>
    <t>EMP1588</t>
  </si>
  <si>
    <t>1/26/2024</t>
  </si>
  <si>
    <t>EMP1589</t>
  </si>
  <si>
    <t>EMP1590</t>
  </si>
  <si>
    <t>5/29/2020</t>
  </si>
  <si>
    <t>EMP1591</t>
  </si>
  <si>
    <t>EMP1592</t>
  </si>
  <si>
    <t>1/31/2021</t>
  </si>
  <si>
    <t>EMP1593</t>
  </si>
  <si>
    <t>1/16/2022</t>
  </si>
  <si>
    <t>EMP1594</t>
  </si>
  <si>
    <t>EMP1595</t>
  </si>
  <si>
    <t>EMP1596</t>
  </si>
  <si>
    <t>EMP1597</t>
  </si>
  <si>
    <t>12/20/2024</t>
  </si>
  <si>
    <t>EMP1598</t>
  </si>
  <si>
    <t>3/31/2023</t>
  </si>
  <si>
    <t>EMP1599</t>
  </si>
  <si>
    <t>EMP1600</t>
  </si>
  <si>
    <t>EMP1601</t>
  </si>
  <si>
    <t>EMP1602</t>
  </si>
  <si>
    <t>EMP1603</t>
  </si>
  <si>
    <t>EMP1604</t>
  </si>
  <si>
    <t>EMP1605</t>
  </si>
  <si>
    <t>10/25/2021</t>
  </si>
  <si>
    <t>EMP1606</t>
  </si>
  <si>
    <t>12/22/2020</t>
  </si>
  <si>
    <t>EMP1607</t>
  </si>
  <si>
    <t>11/23/2022</t>
  </si>
  <si>
    <t>EMP1608</t>
  </si>
  <si>
    <t>10/24/2022</t>
  </si>
  <si>
    <t>EMP1609</t>
  </si>
  <si>
    <t>EMP1610</t>
  </si>
  <si>
    <t>8/20/2020</t>
  </si>
  <si>
    <t>EMP1611</t>
  </si>
  <si>
    <t>2/15/2020</t>
  </si>
  <si>
    <t>EMP1612</t>
  </si>
  <si>
    <t>12/29/2024</t>
  </si>
  <si>
    <t>EMP1613</t>
  </si>
  <si>
    <t>2/28/2023</t>
  </si>
  <si>
    <t>EMP1614</t>
  </si>
  <si>
    <t>8/23/2022</t>
  </si>
  <si>
    <t>EMP1615</t>
  </si>
  <si>
    <t>EMP1616</t>
  </si>
  <si>
    <t>4/15/2021</t>
  </si>
  <si>
    <t>EMP1617</t>
  </si>
  <si>
    <t>EMP1618</t>
  </si>
  <si>
    <t>EMP1619</t>
  </si>
  <si>
    <t>5/20/2023</t>
  </si>
  <si>
    <t>EMP1620</t>
  </si>
  <si>
    <t>11/29/2023</t>
  </si>
  <si>
    <t>EMP1621</t>
  </si>
  <si>
    <t>EMP1622</t>
  </si>
  <si>
    <t>10/25/2024</t>
  </si>
  <si>
    <t>EMP1623</t>
  </si>
  <si>
    <t>EMP1624</t>
  </si>
  <si>
    <t>2/24/2021</t>
  </si>
  <si>
    <t>EMP1625</t>
  </si>
  <si>
    <t>4/13/2023</t>
  </si>
  <si>
    <t>EMP1626</t>
  </si>
  <si>
    <t>EMP1627</t>
  </si>
  <si>
    <t>9/17/2022</t>
  </si>
  <si>
    <t>EMP1628</t>
  </si>
  <si>
    <t>EMP1629</t>
  </si>
  <si>
    <t>EMP1630</t>
  </si>
  <si>
    <t>EMP1631</t>
  </si>
  <si>
    <t>EMP1632</t>
  </si>
  <si>
    <t>EMP1633</t>
  </si>
  <si>
    <t>EMP1634</t>
  </si>
  <si>
    <t>11/22/2022</t>
  </si>
  <si>
    <t>EMP1635</t>
  </si>
  <si>
    <t>EMP1636</t>
  </si>
  <si>
    <t>4/15/2023</t>
  </si>
  <si>
    <t>EMP1637</t>
  </si>
  <si>
    <t>EMP1638</t>
  </si>
  <si>
    <t>7/20/2022</t>
  </si>
  <si>
    <t>EMP1639</t>
  </si>
  <si>
    <t>2/18/2023</t>
  </si>
  <si>
    <t>EMP1640</t>
  </si>
  <si>
    <t>5/27/2021</t>
  </si>
  <si>
    <t>EMP1641</t>
  </si>
  <si>
    <t>EMP1642</t>
  </si>
  <si>
    <t>EMP1643</t>
  </si>
  <si>
    <t>EMP1644</t>
  </si>
  <si>
    <t>3/13/2024</t>
  </si>
  <si>
    <t>EMP1645</t>
  </si>
  <si>
    <t>3/20/2023</t>
  </si>
  <si>
    <t>EMP1646</t>
  </si>
  <si>
    <t>2/15/2024</t>
  </si>
  <si>
    <t>EMP1647</t>
  </si>
  <si>
    <t>11/15/2020</t>
  </si>
  <si>
    <t>EMP1648</t>
  </si>
  <si>
    <t>3/27/2020</t>
  </si>
  <si>
    <t>EMP1649</t>
  </si>
  <si>
    <t>EMP1650</t>
  </si>
  <si>
    <t>4/20/2020</t>
  </si>
  <si>
    <t>EMP1651</t>
  </si>
  <si>
    <t>EMP1652</t>
  </si>
  <si>
    <t>EMP1653</t>
  </si>
  <si>
    <t>1/28/2023</t>
  </si>
  <si>
    <t>EMP1654</t>
  </si>
  <si>
    <t>EMP1655</t>
  </si>
  <si>
    <t>3/16/2023</t>
  </si>
  <si>
    <t>EMP1656</t>
  </si>
  <si>
    <t>EMP1657</t>
  </si>
  <si>
    <t>5/13/2022</t>
  </si>
  <si>
    <t>EMP1658</t>
  </si>
  <si>
    <t>10/24/2024</t>
  </si>
  <si>
    <t>EMP1659</t>
  </si>
  <si>
    <t>EMP1660</t>
  </si>
  <si>
    <t>EMP1661</t>
  </si>
  <si>
    <t>5/25/2023</t>
  </si>
  <si>
    <t>EMP1662</t>
  </si>
  <si>
    <t>EMP1663</t>
  </si>
  <si>
    <t>7/17/2023</t>
  </si>
  <si>
    <t>EMP1664</t>
  </si>
  <si>
    <t>EMP1665</t>
  </si>
  <si>
    <t>EMP1666</t>
  </si>
  <si>
    <t>4/17/2023</t>
  </si>
  <si>
    <t>EMP1667</t>
  </si>
  <si>
    <t>4/25/2021</t>
  </si>
  <si>
    <t>EMP1668</t>
  </si>
  <si>
    <t>7/14/2020</t>
  </si>
  <si>
    <t>EMP1669</t>
  </si>
  <si>
    <t>7/31/2020</t>
  </si>
  <si>
    <t>EMP1670</t>
  </si>
  <si>
    <t>EMP1671</t>
  </si>
  <si>
    <t>10/28/2024</t>
  </si>
  <si>
    <t>EMP1672</t>
  </si>
  <si>
    <t>EMP1673</t>
  </si>
  <si>
    <t>EMP1674</t>
  </si>
  <si>
    <t>EMP1675</t>
  </si>
  <si>
    <t>EMP1676</t>
  </si>
  <si>
    <t>EMP1677</t>
  </si>
  <si>
    <t>EMP1678</t>
  </si>
  <si>
    <t>3/19/2022</t>
  </si>
  <si>
    <t>EMP1679</t>
  </si>
  <si>
    <t>5/14/2022</t>
  </si>
  <si>
    <t>EMP1680</t>
  </si>
  <si>
    <t>7/14/2024</t>
  </si>
  <si>
    <t>EMP1681</t>
  </si>
  <si>
    <t>7/28/2023</t>
  </si>
  <si>
    <t>EMP1682</t>
  </si>
  <si>
    <t>EMP1683</t>
  </si>
  <si>
    <t>EMP1684</t>
  </si>
  <si>
    <t>EMP1685</t>
  </si>
  <si>
    <t>6/13/2020</t>
  </si>
  <si>
    <t>EMP1686</t>
  </si>
  <si>
    <t>8/20/2022</t>
  </si>
  <si>
    <t>EMP1687</t>
  </si>
  <si>
    <t>EMP1688</t>
  </si>
  <si>
    <t>4/27/2024</t>
  </si>
  <si>
    <t>EMP1689</t>
  </si>
  <si>
    <t>10/23/2021</t>
  </si>
  <si>
    <t>EMP1690</t>
  </si>
  <si>
    <t>EMP1691</t>
  </si>
  <si>
    <t>10/26/2021</t>
  </si>
  <si>
    <t>EMP1692</t>
  </si>
  <si>
    <t>EMP1693</t>
  </si>
  <si>
    <t>10/20/2022</t>
  </si>
  <si>
    <t>EMP1694</t>
  </si>
  <si>
    <t>EMP1695</t>
  </si>
  <si>
    <t>EMP1696</t>
  </si>
  <si>
    <t>1/23/2024</t>
  </si>
  <si>
    <t>EMP1697</t>
  </si>
  <si>
    <t>11/28/2023</t>
  </si>
  <si>
    <t>EMP1698</t>
  </si>
  <si>
    <t>EMP1699</t>
  </si>
  <si>
    <t>EMP1700</t>
  </si>
  <si>
    <t>EMP1701</t>
  </si>
  <si>
    <t>EMP1702</t>
  </si>
  <si>
    <t>EMP1703</t>
  </si>
  <si>
    <t>7/16/2020</t>
  </si>
  <si>
    <t>EMP1704</t>
  </si>
  <si>
    <t>EMP1705</t>
  </si>
  <si>
    <t>4/23/2023</t>
  </si>
  <si>
    <t>EMP1706</t>
  </si>
  <si>
    <t>12/27/2024</t>
  </si>
  <si>
    <t>EMP1707</t>
  </si>
  <si>
    <t>EMP1708</t>
  </si>
  <si>
    <t>EMP1709</t>
  </si>
  <si>
    <t>2/28/2022</t>
  </si>
  <si>
    <t>EMP1710</t>
  </si>
  <si>
    <t>EMP1711</t>
  </si>
  <si>
    <t>EMP1712</t>
  </si>
  <si>
    <t>EMP1713</t>
  </si>
  <si>
    <t>4/24/2022</t>
  </si>
  <si>
    <t>EMP1714</t>
  </si>
  <si>
    <t>3/14/2021</t>
  </si>
  <si>
    <t>EMP1715</t>
  </si>
  <si>
    <t>EMP1716</t>
  </si>
  <si>
    <t>EMP1717</t>
  </si>
  <si>
    <t>11/13/2022</t>
  </si>
  <si>
    <t>EMP1718</t>
  </si>
  <si>
    <t>EMP1719</t>
  </si>
  <si>
    <t>3/14/2023</t>
  </si>
  <si>
    <t>EMP1720</t>
  </si>
  <si>
    <t>8/18/2024</t>
  </si>
  <si>
    <t>EMP1721</t>
  </si>
  <si>
    <t>EMP1722</t>
  </si>
  <si>
    <t>EMP1723</t>
  </si>
  <si>
    <t>EMP1724</t>
  </si>
  <si>
    <t>4/13/2020</t>
  </si>
  <si>
    <t>EMP1725</t>
  </si>
  <si>
    <t>EMP1726</t>
  </si>
  <si>
    <t>EMP1727</t>
  </si>
  <si>
    <t>EMP1728</t>
  </si>
  <si>
    <t>8/28/2023</t>
  </si>
  <si>
    <t>EMP1729</t>
  </si>
  <si>
    <t>EMP1730</t>
  </si>
  <si>
    <t>1/25/2021</t>
  </si>
  <si>
    <t>EMP1731</t>
  </si>
  <si>
    <t>EMP1732</t>
  </si>
  <si>
    <t>EMP1733</t>
  </si>
  <si>
    <t>6/25/2023</t>
  </si>
  <si>
    <t>EMP1734</t>
  </si>
  <si>
    <t>9/16/2021</t>
  </si>
  <si>
    <t>EMP1735</t>
  </si>
  <si>
    <t>EMP1736</t>
  </si>
  <si>
    <t>12/14/2022</t>
  </si>
  <si>
    <t>EMP1737</t>
  </si>
  <si>
    <t>4/18/2020</t>
  </si>
  <si>
    <t>EMP1738</t>
  </si>
  <si>
    <t>EMP1739</t>
  </si>
  <si>
    <t>EMP1740</t>
  </si>
  <si>
    <t>6/29/2020</t>
  </si>
  <si>
    <t>EMP1741</t>
  </si>
  <si>
    <t>5/21/2021</t>
  </si>
  <si>
    <t>EMP1742</t>
  </si>
  <si>
    <t>EMP1743</t>
  </si>
  <si>
    <t>EMP1744</t>
  </si>
  <si>
    <t>11/30/2021</t>
  </si>
  <si>
    <t>EMP1745</t>
  </si>
  <si>
    <t>EMP1746</t>
  </si>
  <si>
    <t>EMP1747</t>
  </si>
  <si>
    <t>6/26/2024</t>
  </si>
  <si>
    <t>EMP1748</t>
  </si>
  <si>
    <t>11/19/2020</t>
  </si>
  <si>
    <t>EMP1749</t>
  </si>
  <si>
    <t>EMP1750</t>
  </si>
  <si>
    <t>EMP1751</t>
  </si>
  <si>
    <t>1/13/2021</t>
  </si>
  <si>
    <t>EMP1752</t>
  </si>
  <si>
    <t>EMP1753</t>
  </si>
  <si>
    <t>10/25/2022</t>
  </si>
  <si>
    <t>EMP1754</t>
  </si>
  <si>
    <t>EMP1755</t>
  </si>
  <si>
    <t>2/29/2024</t>
  </si>
  <si>
    <t>EMP1756</t>
  </si>
  <si>
    <t>9/30/2022</t>
  </si>
  <si>
    <t>EMP1757</t>
  </si>
  <si>
    <t>2/14/2024</t>
  </si>
  <si>
    <t>EMP1758</t>
  </si>
  <si>
    <t>EMP1759</t>
  </si>
  <si>
    <t>EMP1760</t>
  </si>
  <si>
    <t>EMP1761</t>
  </si>
  <si>
    <t>12/16/2024</t>
  </si>
  <si>
    <t>EMP1762</t>
  </si>
  <si>
    <t>4/21/2020</t>
  </si>
  <si>
    <t>EMP1763</t>
  </si>
  <si>
    <t>8/19/2020</t>
  </si>
  <si>
    <t>EMP1764</t>
  </si>
  <si>
    <t>2/21/2020</t>
  </si>
  <si>
    <t>EMP1765</t>
  </si>
  <si>
    <t>11/17/2023</t>
  </si>
  <si>
    <t>EMP1766</t>
  </si>
  <si>
    <t>EMP1767</t>
  </si>
  <si>
    <t>EMP1768</t>
  </si>
  <si>
    <t>11/14/2024</t>
  </si>
  <si>
    <t>EMP1769</t>
  </si>
  <si>
    <t>EMP1770</t>
  </si>
  <si>
    <t>6/29/2023</t>
  </si>
  <si>
    <t>EMP1771</t>
  </si>
  <si>
    <t>EMP1772</t>
  </si>
  <si>
    <t>EMP1773</t>
  </si>
  <si>
    <t>EMP1774</t>
  </si>
  <si>
    <t>EMP1775</t>
  </si>
  <si>
    <t>11/26/2020</t>
  </si>
  <si>
    <t>EMP1776</t>
  </si>
  <si>
    <t>3/14/2020</t>
  </si>
  <si>
    <t>EMP1777</t>
  </si>
  <si>
    <t>EMP1778</t>
  </si>
  <si>
    <t>EMP1779</t>
  </si>
  <si>
    <t>EMP1780</t>
  </si>
  <si>
    <t>EMP1781</t>
  </si>
  <si>
    <t>EMP1782</t>
  </si>
  <si>
    <t>EMP1783</t>
  </si>
  <si>
    <t>EMP1784</t>
  </si>
  <si>
    <t>7/30/2021</t>
  </si>
  <si>
    <t>EMP1785</t>
  </si>
  <si>
    <t>EMP1786</t>
  </si>
  <si>
    <t>EMP1787</t>
  </si>
  <si>
    <t>EMP1788</t>
  </si>
  <si>
    <t>EMP1789</t>
  </si>
  <si>
    <t>3/28/2023</t>
  </si>
  <si>
    <t>EMP1790</t>
  </si>
  <si>
    <t>11/25/2021</t>
  </si>
  <si>
    <t>EMP1791</t>
  </si>
  <si>
    <t>EMP1792</t>
  </si>
  <si>
    <t>4/27/2022</t>
  </si>
  <si>
    <t>EMP1793</t>
  </si>
  <si>
    <t>EMP1794</t>
  </si>
  <si>
    <t>EMP1795</t>
  </si>
  <si>
    <t>11/24/2024</t>
  </si>
  <si>
    <t>EMP1796</t>
  </si>
  <si>
    <t>EMP1797</t>
  </si>
  <si>
    <t>EMP1798</t>
  </si>
  <si>
    <t>EMP1799</t>
  </si>
  <si>
    <t>EMP1800</t>
  </si>
  <si>
    <t>EMP1801</t>
  </si>
  <si>
    <t>EMP1802</t>
  </si>
  <si>
    <t>EMP1803</t>
  </si>
  <si>
    <t>10/15/2023</t>
  </si>
  <si>
    <t>EMP1804</t>
  </si>
  <si>
    <t>EMP1805</t>
  </si>
  <si>
    <t>EMP1806</t>
  </si>
  <si>
    <t>7/22/2024</t>
  </si>
  <si>
    <t>EMP1807</t>
  </si>
  <si>
    <t>EMP1808</t>
  </si>
  <si>
    <t>3/13/2022</t>
  </si>
  <si>
    <t>EMP1809</t>
  </si>
  <si>
    <t>5/13/2020</t>
  </si>
  <si>
    <t>EMP1810</t>
  </si>
  <si>
    <t>3/22/2023</t>
  </si>
  <si>
    <t>EMP1811</t>
  </si>
  <si>
    <t>EMP1812</t>
  </si>
  <si>
    <t>11/21/2020</t>
  </si>
  <si>
    <t>EMP1813</t>
  </si>
  <si>
    <t>EMP1814</t>
  </si>
  <si>
    <t>9/19/2023</t>
  </si>
  <si>
    <t>EMP1815</t>
  </si>
  <si>
    <t>10/28/2021</t>
  </si>
  <si>
    <t>EMP1816</t>
  </si>
  <si>
    <t>EMP1817</t>
  </si>
  <si>
    <t>EMP1818</t>
  </si>
  <si>
    <t>12/24/2022</t>
  </si>
  <si>
    <t>EMP1819</t>
  </si>
  <si>
    <t>EMP1820</t>
  </si>
  <si>
    <t>EMP1821</t>
  </si>
  <si>
    <t>1/29/2023</t>
  </si>
  <si>
    <t>EMP1822</t>
  </si>
  <si>
    <t>EMP1823</t>
  </si>
  <si>
    <t>1/21/2023</t>
  </si>
  <si>
    <t>EMP1824</t>
  </si>
  <si>
    <t>EMP1825</t>
  </si>
  <si>
    <t>EMP1826</t>
  </si>
  <si>
    <t>EMP1827</t>
  </si>
  <si>
    <t>5/18/2022</t>
  </si>
  <si>
    <t>EMP1828</t>
  </si>
  <si>
    <t>1/16/2020</t>
  </si>
  <si>
    <t>EMP1829</t>
  </si>
  <si>
    <t>3/26/2023</t>
  </si>
  <si>
    <t>EMP1830</t>
  </si>
  <si>
    <t>EMP1831</t>
  </si>
  <si>
    <t>EMP1832</t>
  </si>
  <si>
    <t>EMP1833</t>
  </si>
  <si>
    <t>3/21/2023</t>
  </si>
  <si>
    <t>EMP1834</t>
  </si>
  <si>
    <t>EMP1835</t>
  </si>
  <si>
    <t>EMP1836</t>
  </si>
  <si>
    <t>6/17/2020</t>
  </si>
  <si>
    <t>EMP1837</t>
  </si>
  <si>
    <t>7/17/2021</t>
  </si>
  <si>
    <t>EMP1838</t>
  </si>
  <si>
    <t>EMP1839</t>
  </si>
  <si>
    <t>EMP1840</t>
  </si>
  <si>
    <t>EMP1841</t>
  </si>
  <si>
    <t>EMP1842</t>
  </si>
  <si>
    <t>4/17/2020</t>
  </si>
  <si>
    <t>EMP1843</t>
  </si>
  <si>
    <t>2/16/2022</t>
  </si>
  <si>
    <t>EMP1844</t>
  </si>
  <si>
    <t>8/14/2021</t>
  </si>
  <si>
    <t>EMP1845</t>
  </si>
  <si>
    <t>EMP1846</t>
  </si>
  <si>
    <t>EMP1847</t>
  </si>
  <si>
    <t>EMP1848</t>
  </si>
  <si>
    <t>EMP1849</t>
  </si>
  <si>
    <t>EMP1850</t>
  </si>
  <si>
    <t>EMP1851</t>
  </si>
  <si>
    <t>EMP1852</t>
  </si>
  <si>
    <t>EMP1853</t>
  </si>
  <si>
    <t>EMP1854</t>
  </si>
  <si>
    <t>EMP1855</t>
  </si>
  <si>
    <t>2/14/2021</t>
  </si>
  <si>
    <t>EMP1856</t>
  </si>
  <si>
    <t>EMP1857</t>
  </si>
  <si>
    <t>5/24/2020</t>
  </si>
  <si>
    <t>EMP1858</t>
  </si>
  <si>
    <t>EMP1859</t>
  </si>
  <si>
    <t>EMP1860</t>
  </si>
  <si>
    <t>5/18/2024</t>
  </si>
  <si>
    <t>EMP1861</t>
  </si>
  <si>
    <t>EMP1862</t>
  </si>
  <si>
    <t>EMP1863</t>
  </si>
  <si>
    <t>9/18/2024</t>
  </si>
  <si>
    <t>EMP1864</t>
  </si>
  <si>
    <t>EMP1865</t>
  </si>
  <si>
    <t>6/15/2022</t>
  </si>
  <si>
    <t>EMP1866</t>
  </si>
  <si>
    <t>9/28/2022</t>
  </si>
  <si>
    <t>EMP1867</t>
  </si>
  <si>
    <t>EMP1868</t>
  </si>
  <si>
    <t>9/28/2023</t>
  </si>
  <si>
    <t>EMP1869</t>
  </si>
  <si>
    <t>EMP1870</t>
  </si>
  <si>
    <t>EMP1871</t>
  </si>
  <si>
    <t>EMP1872</t>
  </si>
  <si>
    <t>EMP1873</t>
  </si>
  <si>
    <t>3/25/2023</t>
  </si>
  <si>
    <t>EMP1874</t>
  </si>
  <si>
    <t>EMP1875</t>
  </si>
  <si>
    <t>EMP1876</t>
  </si>
  <si>
    <t>EMP1877</t>
  </si>
  <si>
    <t>EMP1878</t>
  </si>
  <si>
    <t>9/16/2020</t>
  </si>
  <si>
    <t>EMP1879</t>
  </si>
  <si>
    <t>EMP1880</t>
  </si>
  <si>
    <t>12/13/2021</t>
  </si>
  <si>
    <t>EMP1881</t>
  </si>
  <si>
    <t>EMP1882</t>
  </si>
  <si>
    <t>7/20/2021</t>
  </si>
  <si>
    <t>EMP1883</t>
  </si>
  <si>
    <t>EMP1884</t>
  </si>
  <si>
    <t>11/15/2021</t>
  </si>
  <si>
    <t>EMP1885</t>
  </si>
  <si>
    <t>EMP1886</t>
  </si>
  <si>
    <t>1/17/2024</t>
  </si>
  <si>
    <t>EMP1887</t>
  </si>
  <si>
    <t>4/16/2021</t>
  </si>
  <si>
    <t>EMP1888</t>
  </si>
  <si>
    <t>EMP1889</t>
  </si>
  <si>
    <t>EMP1890</t>
  </si>
  <si>
    <t>EMP1891</t>
  </si>
  <si>
    <t>EMP1892</t>
  </si>
  <si>
    <t>EMP1893</t>
  </si>
  <si>
    <t>EMP1894</t>
  </si>
  <si>
    <t>1/30/2020</t>
  </si>
  <si>
    <t>EMP1895</t>
  </si>
  <si>
    <t>3/31/2021</t>
  </si>
  <si>
    <t>EMP1896</t>
  </si>
  <si>
    <t>EMP1897</t>
  </si>
  <si>
    <t>7/16/2024</t>
  </si>
  <si>
    <t>EMP1898</t>
  </si>
  <si>
    <t>EMP1899</t>
  </si>
  <si>
    <t>EMP1900</t>
  </si>
  <si>
    <t>EMP1901</t>
  </si>
  <si>
    <t>EMP1902</t>
  </si>
  <si>
    <t>EMP1903</t>
  </si>
  <si>
    <t>EMP1904</t>
  </si>
  <si>
    <t>12/23/2024</t>
  </si>
  <si>
    <t>EMP1905</t>
  </si>
  <si>
    <t>EMP1906</t>
  </si>
  <si>
    <t>EMP1907</t>
  </si>
  <si>
    <t>10/28/2022</t>
  </si>
  <si>
    <t>EMP1908</t>
  </si>
  <si>
    <t>EMP1909</t>
  </si>
  <si>
    <t>11/20/2023</t>
  </si>
  <si>
    <t>EMP1910</t>
  </si>
  <si>
    <t>EMP1911</t>
  </si>
  <si>
    <t>EMP1912</t>
  </si>
  <si>
    <t>EMP1913</t>
  </si>
  <si>
    <t>2/19/2024</t>
  </si>
  <si>
    <t>EMP1914</t>
  </si>
  <si>
    <t>11/18/2021</t>
  </si>
  <si>
    <t>EMP1915</t>
  </si>
  <si>
    <t>12/21/2022</t>
  </si>
  <si>
    <t>EMP1916</t>
  </si>
  <si>
    <t>EMP1917</t>
  </si>
  <si>
    <t>7/22/2022</t>
  </si>
  <si>
    <t>EMP1918</t>
  </si>
  <si>
    <t>EMP1919</t>
  </si>
  <si>
    <t>EMP1920</t>
  </si>
  <si>
    <t>EMP1921</t>
  </si>
  <si>
    <t>EMP1922</t>
  </si>
  <si>
    <t>EMP1923</t>
  </si>
  <si>
    <t>EMP1924</t>
  </si>
  <si>
    <t>EMP1925</t>
  </si>
  <si>
    <t>EMP1926</t>
  </si>
  <si>
    <t>EMP1927</t>
  </si>
  <si>
    <t>EMP1928</t>
  </si>
  <si>
    <t>EMP1929</t>
  </si>
  <si>
    <t>10/14/2024</t>
  </si>
  <si>
    <t>EMP1930</t>
  </si>
  <si>
    <t>EMP1931</t>
  </si>
  <si>
    <t>EMP1932</t>
  </si>
  <si>
    <t>10/21/2020</t>
  </si>
  <si>
    <t>EMP1933</t>
  </si>
  <si>
    <t>1/14/2020</t>
  </si>
  <si>
    <t>EMP1934</t>
  </si>
  <si>
    <t>EMP1935</t>
  </si>
  <si>
    <t>EMP1936</t>
  </si>
  <si>
    <t>EMP1937</t>
  </si>
  <si>
    <t>EMP1938</t>
  </si>
  <si>
    <t>5/16/2021</t>
  </si>
  <si>
    <t>EMP1939</t>
  </si>
  <si>
    <t>EMP1940</t>
  </si>
  <si>
    <t>11/15/2022</t>
  </si>
  <si>
    <t>EMP1941</t>
  </si>
  <si>
    <t>EMP1942</t>
  </si>
  <si>
    <t>EMP1943</t>
  </si>
  <si>
    <t>EMP1944</t>
  </si>
  <si>
    <t>10/22/2021</t>
  </si>
  <si>
    <t>EMP1945</t>
  </si>
  <si>
    <t>EMP1946</t>
  </si>
  <si>
    <t>EMP1947</t>
  </si>
  <si>
    <t>EMP1948</t>
  </si>
  <si>
    <t>EMP1949</t>
  </si>
  <si>
    <t>EMP1950</t>
  </si>
  <si>
    <t>EMP1951</t>
  </si>
  <si>
    <t>EMP1952</t>
  </si>
  <si>
    <t>EMP1953</t>
  </si>
  <si>
    <t>5/15/2020</t>
  </si>
  <si>
    <t>EMP1954</t>
  </si>
  <si>
    <t>2/13/2021</t>
  </si>
  <si>
    <t>EMP1955</t>
  </si>
  <si>
    <t>EMP1956</t>
  </si>
  <si>
    <t>EMP1957</t>
  </si>
  <si>
    <t>EMP1958</t>
  </si>
  <si>
    <t>11/30/2023</t>
  </si>
  <si>
    <t>EMP1959</t>
  </si>
  <si>
    <t>EMP1960</t>
  </si>
  <si>
    <t>EMP1961</t>
  </si>
  <si>
    <t>EMP1962</t>
  </si>
  <si>
    <t>EMP1963</t>
  </si>
  <si>
    <t>10/22/2023</t>
  </si>
  <si>
    <t>EMP1964</t>
  </si>
  <si>
    <t>EMP1965</t>
  </si>
  <si>
    <t>EMP1966</t>
  </si>
  <si>
    <t>EMP1967</t>
  </si>
  <si>
    <t>4/15/2024</t>
  </si>
  <si>
    <t>EMP1968</t>
  </si>
  <si>
    <t>EMP1969</t>
  </si>
  <si>
    <t>EMP1970</t>
  </si>
  <si>
    <t>8/27/2024</t>
  </si>
  <si>
    <t>EMP1971</t>
  </si>
  <si>
    <t>EMP1972</t>
  </si>
  <si>
    <t>8/24/2021</t>
  </si>
  <si>
    <t>EMP1973</t>
  </si>
  <si>
    <t>EMP1974</t>
  </si>
  <si>
    <t>EMP1975</t>
  </si>
  <si>
    <t>EMP1976</t>
  </si>
  <si>
    <t>4/13/2024</t>
  </si>
  <si>
    <t>EMP1977</t>
  </si>
  <si>
    <t>EMP1978</t>
  </si>
  <si>
    <t>10/18/2021</t>
  </si>
  <si>
    <t>EMP1979</t>
  </si>
  <si>
    <t>2/25/2020</t>
  </si>
  <si>
    <t>EMP1980</t>
  </si>
  <si>
    <t>EMP1981</t>
  </si>
  <si>
    <t>6/22/2020</t>
  </si>
  <si>
    <t>EMP1982</t>
  </si>
  <si>
    <t>EMP1983</t>
  </si>
  <si>
    <t>EMP1984</t>
  </si>
  <si>
    <t>EMP1985</t>
  </si>
  <si>
    <t>11/26/2021</t>
  </si>
  <si>
    <t>EMP1986</t>
  </si>
  <si>
    <t>9/17/2024</t>
  </si>
  <si>
    <t>EMP1987</t>
  </si>
  <si>
    <t>EMP1988</t>
  </si>
  <si>
    <t>7/13/2021</t>
  </si>
  <si>
    <t>EMP1989</t>
  </si>
  <si>
    <t>EMP1990</t>
  </si>
  <si>
    <t>EMP1991</t>
  </si>
  <si>
    <t>EMP1992</t>
  </si>
  <si>
    <t>EMP1993</t>
  </si>
  <si>
    <t>EMP1994</t>
  </si>
  <si>
    <t>9/24/2024</t>
  </si>
  <si>
    <t>EMP1995</t>
  </si>
  <si>
    <t>8/16/2023</t>
  </si>
  <si>
    <t>EMP1996</t>
  </si>
  <si>
    <t>1/28/2021</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</si>
  <si>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</si>
  <si>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</si>
  <si>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</si>
  <si>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</si>
  <si>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</si>
  <si>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</si>
  <si>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</si>
  <si>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</si>
  <si>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</si>
  <si>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</si>
  <si>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</si>
  <si>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</si>
  <si>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</si>
  <si>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</si>
  <si>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</si>
  <si>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</si>
  <si>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</si>
  <si>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</si>
  <si>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</si>
  <si>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</si>
  <si>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</si>
  <si>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</si>
  <si>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</si>
  <si>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Data Kosong</t>
  </si>
  <si>
    <t>Data Duplikat</t>
  </si>
  <si>
    <t>Data Unik</t>
  </si>
  <si>
    <t>Banyak Data</t>
  </si>
  <si>
    <t>Quality Report</t>
  </si>
  <si>
    <t>Department</t>
  </si>
  <si>
    <t>Region</t>
  </si>
  <si>
    <t>Row Labels</t>
  </si>
  <si>
    <t>Grand Total</t>
  </si>
  <si>
    <t>Count of Employee_ID</t>
  </si>
  <si>
    <t>Finance</t>
  </si>
  <si>
    <t>Sum of Salary</t>
  </si>
  <si>
    <t>Average of Salary</t>
  </si>
  <si>
    <t>FALSE</t>
  </si>
  <si>
    <t>TRUE</t>
  </si>
  <si>
    <t/>
  </si>
  <si>
    <t>Nama Kolom</t>
  </si>
  <si>
    <t>Nilai Pengganti</t>
  </si>
  <si>
    <t>Keterangan</t>
  </si>
  <si>
    <t>Sel kosong diisi nilai Median (30 Tahun) agar distribusi usia talenta tetap seimbang.</t>
  </si>
  <si>
    <t>2020</t>
  </si>
  <si>
    <t>2021</t>
  </si>
  <si>
    <t>2022</t>
  </si>
  <si>
    <t>2023</t>
  </si>
  <si>
    <t>2024</t>
  </si>
  <si>
    <t>Average of Age</t>
  </si>
  <si>
    <t>HR DATA ANALYSIS: EMPLOYEE PERFORMANCE &amp; RETENTION PROJECT</t>
  </si>
  <si>
    <t>Navigation Guide</t>
  </si>
  <si>
    <t>Project Overview</t>
  </si>
  <si>
    <t>Scope of Work &amp; Data Lifecycle</t>
  </si>
  <si>
    <t>Prepared by: Lita Dewi Firstianti | Role: Data Analyst Portfolio</t>
  </si>
  <si>
    <r>
      <t>Proyek ini bertujuan untuk menganalisis data internal karyawan guna memahami faktor-faktor yang memengaruhi kinerja dan status kerja mereka. Analisis difokuskan pada evaluasi nilai performa kerja (</t>
    </r>
    <r>
      <rPr>
        <i/>
        <sz val="12"/>
        <color theme="1"/>
        <rFont val="Times New Roman"/>
        <family val="1"/>
      </rPr>
      <t>Performance Score</t>
    </r>
    <r>
      <rPr>
        <sz val="12"/>
        <color theme="1"/>
        <rFont val="Times New Roman"/>
        <family val="1"/>
      </rPr>
      <t>), perbandingan jumlah karyawan aktif dan tidak aktif, pola kompensasi gaji, serta pengaruh kebijakan kerja jarak jauh (</t>
    </r>
    <r>
      <rPr>
        <i/>
        <sz val="12"/>
        <color theme="1"/>
        <rFont val="Times New Roman"/>
        <family val="1"/>
      </rPr>
      <t>Remote Work</t>
    </r>
    <r>
      <rPr>
        <sz val="12"/>
        <color theme="1"/>
        <rFont val="Times New Roman"/>
        <family val="1"/>
      </rPr>
      <t>). Hasil analisis ini diharapkan dapat memberikan rekomendasi bagi manajemen HR dalam meningkatkan efisiensi dan pengelolaan karyawan.</t>
    </r>
  </si>
  <si>
    <r>
      <rPr>
        <b/>
        <i/>
        <sz val="12"/>
        <color theme="1"/>
        <rFont val="Times New Roman"/>
        <family val="1"/>
      </rPr>
      <t>Pemeriksaan Data (Data Profiling)</t>
    </r>
    <r>
      <rPr>
        <sz val="12"/>
        <color theme="1"/>
        <rFont val="Times New Roman"/>
        <family val="2"/>
      </rPr>
      <t>: Mengidentifikasi masalah kualitas data, seperti nilai yang kosong pada kolom usia, format penulisan tanggal yang tidak seragam, dan anomali simbol pada nomor telepon.</t>
    </r>
  </si>
  <si>
    <r>
      <rPr>
        <b/>
        <i/>
        <sz val="12"/>
        <color theme="1"/>
        <rFont val="Times New Roman"/>
        <family val="1"/>
      </rPr>
      <t>Pembersihan Data (Data Cleaning)</t>
    </r>
    <r>
      <rPr>
        <sz val="12"/>
        <color theme="1"/>
        <rFont val="Times New Roman"/>
        <family val="2"/>
      </rPr>
      <t>: Memperbaiki format tanggal, memisahkan kolom teks yang menggabungkan departemen dan wilayah, serta menghapus simbol anomali agar data siap digunakan.</t>
    </r>
  </si>
  <si>
    <r>
      <rPr>
        <b/>
        <i/>
        <sz val="12"/>
        <color theme="1"/>
        <rFont val="Times New Roman"/>
        <family val="1"/>
      </rPr>
      <t>Eksplorasi Data (Data Exploration)</t>
    </r>
    <r>
      <rPr>
        <sz val="12"/>
        <color theme="1"/>
        <rFont val="Times New Roman"/>
        <family val="2"/>
      </rPr>
      <t>: Menghitung ringkasan statistik dasar, seperti rata-rata gaji per departemen, persentase karyawan aktif, dan sebaran tingkat performa.</t>
    </r>
  </si>
  <si>
    <r>
      <rPr>
        <b/>
        <i/>
        <sz val="12"/>
        <color theme="1"/>
        <rFont val="Times New Roman"/>
        <family val="1"/>
      </rPr>
      <t>Visualisasi Data (Dashboard)</t>
    </r>
    <r>
      <rPr>
        <sz val="12"/>
        <color theme="1"/>
        <rFont val="Times New Roman"/>
        <family val="2"/>
      </rPr>
      <t>: Menyusun grafik interaktif menggunakan fitur Charts dan Slicers di Excel untuk mempermudah proses penarikan kesimpulan.</t>
    </r>
  </si>
  <si>
    <t>2. Dashboard</t>
  </si>
  <si>
    <t>3. Exploratory Data Analysis</t>
  </si>
  <si>
    <t>4. Quality Report</t>
  </si>
  <si>
    <t>5. Data Cleaning</t>
  </si>
  <si>
    <t>6. Raw Data</t>
  </si>
  <si>
    <t>DATA QUALITY REPORT (LAPORAN KUALITAS DATA)</t>
  </si>
  <si>
    <t>Before Cleaning</t>
  </si>
  <si>
    <t>After Cleaning</t>
  </si>
  <si>
    <t>HR</t>
  </si>
  <si>
    <t>DevOps</t>
  </si>
  <si>
    <t>Sales</t>
  </si>
  <si>
    <t>Cloud Tech</t>
  </si>
  <si>
    <t>Admin</t>
  </si>
  <si>
    <r>
      <rPr>
        <b/>
        <i/>
        <sz val="12"/>
        <color theme="1"/>
        <rFont val="Times New Roman"/>
        <family val="1"/>
      </rPr>
      <t>Q1</t>
    </r>
    <r>
      <rPr>
        <sz val="12"/>
        <color theme="1"/>
        <rFont val="Times New Roman"/>
        <family val="1"/>
      </rPr>
      <t>: Departemen mana yang memiliki jumlah karyawan terbanyak dan bagaimana tren pertumbuhan karyawan dari tahun ke tahun?</t>
    </r>
  </si>
  <si>
    <r>
      <rPr>
        <b/>
        <i/>
        <sz val="12"/>
        <color theme="1"/>
        <rFont val="Times New Roman"/>
        <family val="1"/>
      </rPr>
      <t>Q2</t>
    </r>
    <r>
      <rPr>
        <sz val="12"/>
        <color theme="1"/>
        <rFont val="Times New Roman"/>
        <family val="1"/>
      </rPr>
      <t>: Departemen apa yang memakan anggaran gaji terbesar dan apakah gajinya sebanding dengan performa kerja karyawan?</t>
    </r>
  </si>
  <si>
    <r>
      <rPr>
        <b/>
        <i/>
        <sz val="12"/>
        <color theme="1"/>
        <rFont val="Times New Roman"/>
        <family val="1"/>
      </rPr>
      <t>Q3</t>
    </r>
    <r>
      <rPr>
        <sz val="12"/>
        <color theme="1"/>
        <rFont val="Times New Roman"/>
        <family val="1"/>
      </rPr>
      <t>: Apakah sistem kerja dari rumah (Remote Work) berpengaruh nyata pada nilai performa kerja karyawan?</t>
    </r>
  </si>
  <si>
    <r>
      <rPr>
        <b/>
        <i/>
        <sz val="12"/>
        <color theme="1"/>
        <rFont val="Times New Roman"/>
        <family val="1"/>
      </rPr>
      <t>Q4</t>
    </r>
    <r>
      <rPr>
        <sz val="12"/>
        <color theme="1"/>
        <rFont val="Times New Roman"/>
        <family val="1"/>
      </rPr>
      <t>: Kelompok usia karyawan mana yang paling mendominasi di perusahaan saat ini?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</si>
</sst>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_-[$$-409]* #,##0.00_ ;_-[$$-409]* \-#,##0.00\ ;_-[$$-409]* &quot;-&quot;??_ ;_-@_ "/>
    <numFmt numFmtId="166" formatCode="_-[$$-409]* #,##0_ ;_-[$$-409]* \-#,##0\ ;_-[$$-409]* &quot;-&quot;_ ;_-@_ "/>
  </numFmts>
  <fonts count="30" x14ac:knownFonts="1">
    <font>
      <sz val="12"/>
      <color theme="1"/>
      <name val="Times New Roman"/>
      <family val="2"/>
    </font>
    <font>
      <sz val="12"/>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
      <b/>
      <sz val="12"/>
      <color theme="1"/>
      <name val="Times New Roman"/>
      <family val="1"/>
    </font>
    <font>
      <sz val="12"/>
      <color theme="1"/>
      <name val="Times New Roman"/>
      <family val="1"/>
    </font>
    <font>
      <b/>
      <sz val="24"/>
      <color rgb="FF51121A"/>
      <name val="Times New Roman"/>
      <family val="1"/>
    </font>
    <font>
      <sz val="12"/>
      <color theme="1"/>
      <name val="Kermit Condensed"/>
      <family val="2"/>
    </font>
    <font>
      <b/>
      <sz val="12"/>
      <color theme="0"/>
      <name val="Times New Roman"/>
      <family val="1"/>
    </font>
    <font>
      <u/>
      <sz val="12"/>
      <color theme="10"/>
      <name val="Times New Roman"/>
      <family val="2"/>
    </font>
    <font>
      <i/>
      <sz val="12"/>
      <color theme="1"/>
      <name val="Times New Roman"/>
      <family val="1"/>
    </font>
    <font>
      <b/>
      <i/>
      <sz val="12"/>
      <color theme="1"/>
      <name val="Times New Roman"/>
      <family val="1"/>
    </font>
    <font>
      <b/>
      <sz val="20"/>
      <color theme="0"/>
      <name val="Times New Roman"/>
      <family val="1"/>
    </font>
    <font>
      <i/>
      <sz val="11"/>
      <name val="Times New Roman"/>
      <family val="1"/>
    </font>
    <font>
      <b/>
      <sz val="12"/>
      <color rgb="FF51121A"/>
      <name val="Times New Roman"/>
      <family val="1"/>
    </font>
    <font>
      <sz val="12"/>
      <color rgb="FF51121A"/>
      <name val="Times New Roman"/>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1121A"/>
        <bgColor indexed="64"/>
      </patternFill>
    </fill>
    <fill>
      <patternFill patternType="solid">
        <fgColor rgb="FF671721"/>
        <bgColor theme="5"/>
      </patternFill>
    </fill>
    <fill>
      <patternFill patternType="solid">
        <fgColor rgb="FF671721"/>
        <bgColor theme="1"/>
      </patternFill>
    </fill>
    <fill>
      <patternFill patternType="solid">
        <fgColor rgb="FFD1DCE7"/>
        <bgColor indexed="64"/>
      </patternFill>
    </fill>
    <fill>
      <patternFill patternType="solid">
        <fgColor rgb="FFC6D3E0"/>
        <bgColor indexed="64"/>
      </patternFill>
    </fill>
    <fill>
      <patternFill patternType="solid">
        <fgColor rgb="FFDEDEDE"/>
        <bgColor theme="0" tint="-0.14999847407452621"/>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1"/>
      </bottom>
      <diagonal/>
    </border>
    <border>
      <left/>
      <right/>
      <top style="thin">
        <color indexed="64"/>
      </top>
      <bottom style="thin">
        <color indexed="64"/>
      </bottom>
      <diagonal/>
    </border>
    <border>
      <left style="thin">
        <color theme="1"/>
      </left>
      <right/>
      <top style="thin">
        <color theme="1"/>
      </top>
      <bottom/>
      <diagonal/>
    </border>
    <border>
      <left/>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medium">
        <color theme="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3" fillId="0" borderId="0" applyNumberFormat="0" applyFill="0" applyBorder="0" applyAlignment="0" applyProtection="0"/>
  </cellStyleXfs>
  <cellXfs count="48">
    <xf numFmtId="0" fontId="0" fillId="0" borderId="0" xfId="0"/>
    <xf numFmtId="14" fontId="0" fillId="0" borderId="0" xfId="0" applyNumberFormat="1"/>
    <xf numFmtId="0" fontId="0" fillId="0" borderId="0" xfId="0" applyAlignment="1">
      <alignment horizontal="center" vertical="center"/>
    </xf>
    <xf numFmtId="0" fontId="18" fillId="0" borderId="0" xfId="0" applyFont="1"/>
    <xf numFmtId="165" fontId="0" fillId="0" borderId="0" xfId="0" applyNumberFormat="1"/>
    <xf numFmtId="0" fontId="13" fillId="35" borderId="12" xfId="0" applyFont="1" applyFill="1" applyBorder="1" applyAlignment="1">
      <alignment horizontal="center" vertical="center"/>
    </xf>
    <xf numFmtId="0" fontId="13" fillId="35" borderId="13" xfId="0" applyFont="1" applyFill="1" applyBorder="1" applyAlignment="1">
      <alignment horizontal="center" vertical="center" wrapText="1"/>
    </xf>
    <xf numFmtId="0" fontId="20" fillId="0" borderId="0" xfId="0" applyFont="1"/>
    <xf numFmtId="1" fontId="20" fillId="0" borderId="0" xfId="0" applyNumberFormat="1" applyFont="1"/>
    <xf numFmtId="165" fontId="20" fillId="0" borderId="0" xfId="0" applyNumberFormat="1" applyFont="1"/>
    <xf numFmtId="0" fontId="0" fillId="36" borderId="0" xfId="0" applyFill="1"/>
    <xf numFmtId="0" fontId="21" fillId="36" borderId="0" xfId="0" applyFont="1" applyFill="1"/>
    <xf numFmtId="0" fontId="0" fillId="0" borderId="0" xfId="0" applyAlignment="1">
      <alignment wrapText="1"/>
    </xf>
    <xf numFmtId="0" fontId="23" fillId="0" borderId="0" xfId="42" quotePrefix="1"/>
    <xf numFmtId="0" fontId="26" fillId="33" borderId="0" xfId="0" applyFont="1" applyFill="1" applyAlignment="1">
      <alignment horizontal="center" vertical="center" wrapText="1"/>
    </xf>
    <xf numFmtId="0" fontId="22" fillId="33" borderId="0" xfId="0" applyFont="1" applyFill="1" applyAlignment="1">
      <alignment horizontal="center" vertical="center" wrapText="1"/>
    </xf>
    <xf numFmtId="0" fontId="19" fillId="37" borderId="0" xfId="0" applyFont="1" applyFill="1" applyAlignment="1">
      <alignment wrapText="1"/>
    </xf>
    <xf numFmtId="0" fontId="27" fillId="37" borderId="0" xfId="0" applyFont="1" applyFill="1" applyAlignment="1">
      <alignment horizontal="center" vertical="center" wrapText="1"/>
    </xf>
    <xf numFmtId="0" fontId="19" fillId="0" borderId="0" xfId="0" applyFont="1"/>
    <xf numFmtId="166" fontId="28" fillId="0" borderId="0" xfId="0" applyNumberFormat="1" applyFont="1"/>
    <xf numFmtId="1" fontId="28" fillId="0" borderId="0" xfId="0" applyNumberFormat="1" applyFont="1"/>
    <xf numFmtId="0" fontId="29" fillId="37" borderId="0" xfId="42" applyFont="1" applyFill="1" applyAlignment="1">
      <alignment wrapText="1"/>
    </xf>
    <xf numFmtId="0" fontId="13" fillId="34" borderId="10" xfId="0" applyFont="1" applyFill="1" applyBorder="1" applyAlignment="1">
      <alignment horizontal="center" vertical="center"/>
    </xf>
    <xf numFmtId="0" fontId="0" fillId="38" borderId="11" xfId="0" applyFill="1" applyBorder="1" applyAlignment="1">
      <alignment horizontal="center" vertical="center"/>
    </xf>
    <xf numFmtId="0" fontId="19" fillId="38" borderId="14" xfId="0" applyFont="1" applyFill="1" applyBorder="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13" fillId="34" borderId="20" xfId="0" applyFont="1" applyFill="1" applyBorder="1" applyAlignment="1">
      <alignment horizontal="center" vertical="center"/>
    </xf>
    <xf numFmtId="0" fontId="0" fillId="0" borderId="19" xfId="0" applyBorder="1"/>
    <xf numFmtId="0" fontId="0" fillId="0" borderId="21" xfId="0" applyBorder="1" applyAlignment="1">
      <alignment horizontal="center" vertical="center"/>
    </xf>
    <xf numFmtId="0" fontId="0" fillId="0" borderId="22" xfId="0" applyBorder="1"/>
    <xf numFmtId="0" fontId="0" fillId="0" borderId="23" xfId="0" applyBorder="1" applyAlignment="1">
      <alignment horizontal="center" vertical="center"/>
    </xf>
    <xf numFmtId="0" fontId="0" fillId="0" borderId="24" xfId="0" applyBorder="1" applyAlignment="1">
      <alignment horizontal="center" vertical="center"/>
    </xf>
    <xf numFmtId="0" fontId="28" fillId="0" borderId="19" xfId="0" applyFont="1" applyBorder="1"/>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13" fillId="35" borderId="0" xfId="0" applyFont="1" applyFill="1" applyAlignment="1">
      <alignment horizontal="center" vertical="center"/>
    </xf>
    <xf numFmtId="0" fontId="0" fillId="38" borderId="11" xfId="0" applyFill="1" applyBorder="1" applyAlignment="1">
      <alignment horizontal="left" wrapText="1"/>
    </xf>
    <xf numFmtId="0" fontId="0" fillId="38" borderId="15" xfId="0" applyFill="1" applyBorder="1" applyAlignment="1">
      <alignment horizontal="left" wrapText="1"/>
    </xf>
    <xf numFmtId="0" fontId="26" fillId="33" borderId="0" xfId="0" applyFont="1" applyFill="1" applyAlignment="1">
      <alignment horizontal="center"/>
    </xf>
    <xf numFmtId="0" fontId="0" fillId="0" borderId="0" xfId="0" pivotButton="1" applyFont="1"/>
    <xf numFmtId="0" fontId="0" fillId="0" borderId="0" xfId="0" applyFont="1"/>
    <xf numFmtId="0" fontId="0" fillId="0" borderId="0" xfId="0" applyFont="1" applyAlignment="1">
      <alignment horizontal="left"/>
    </xf>
    <xf numFmtId="0" fontId="0" fillId="0" borderId="0" xfId="0" applyNumberFormat="1" applyFont="1"/>
    <xf numFmtId="0" fontId="28" fillId="0" borderId="0" xfId="0" applyNumberFormat="1" applyFont="1"/>
    <xf numFmtId="165" fontId="0" fillId="0" borderId="0" xfId="0" applyNumberFormat="1" applyFont="1"/>
    <xf numFmtId="10" fontId="0"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
    <dxf>
      <numFmt numFmtId="0" formatCode="General"/>
      <alignment horizontal="center" vertical="center"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0" formatCode="General"/>
    </dxf>
    <dxf>
      <numFmt numFmtId="165" formatCode="_-[$$-409]* #,##0.00_ ;_-[$$-409]* \-#,##0.00\ ;_-[$$-409]* &quot;-&quot;??_ ;_-@_ "/>
    </dxf>
    <dxf>
      <numFmt numFmtId="164" formatCode="yyyy\-mm\-dd;@"/>
      <alignment horizontal="center" vertical="center" textRotation="0" wrapText="0" indent="0" justifyLastLine="0" shrinkToFit="0" readingOrder="0"/>
    </dxf>
    <dxf>
      <numFmt numFmtId="0" formatCode="General"/>
    </dxf>
    <dxf>
      <numFmt numFmtId="0" formatCode="General"/>
    </dxf>
    <dxf>
      <numFmt numFmtId="0" formatCode="General"/>
    </dxf>
    <dxf>
      <numFmt numFmtId="1" formatCode="0"/>
      <alignment horizontal="center" vertical="center" textRotation="0" wrapText="0" indent="0" justifyLastLine="0" shrinkToFit="0" readingOrder="0"/>
    </dxf>
    <dxf>
      <numFmt numFmtId="0" formatCode="General"/>
    </dxf>
    <dxf>
      <numFmt numFmtId="0" formatCode="General"/>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0"/>
        <name val="Times New Roman"/>
        <family val="2"/>
        <scheme val="none"/>
      </font>
      <fill>
        <patternFill patternType="solid">
          <fgColor theme="5"/>
          <bgColor theme="5"/>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0"/>
        <name val="Times New Roman"/>
        <family val="2"/>
        <scheme val="none"/>
      </font>
      <fill>
        <patternFill patternType="solid">
          <fgColor theme="5"/>
          <bgColor theme="5"/>
        </patternFill>
      </fill>
      <alignment horizontal="center" vertical="center" textRotation="0" wrapText="0" indent="0" justifyLastLine="0" shrinkToFit="0" readingOrder="0"/>
    </dxf>
    <dxf>
      <font>
        <sz val="12"/>
      </font>
    </dxf>
    <dxf>
      <font>
        <sz val="12"/>
      </font>
    </dxf>
    <dxf>
      <font>
        <sz val="12"/>
      </font>
    </dxf>
    <dxf>
      <font>
        <sz val="12"/>
      </font>
    </dxf>
    <dxf>
      <font>
        <sz val="12"/>
      </font>
    </dxf>
    <dxf>
      <font>
        <sz val="12"/>
      </font>
    </dxf>
    <dxf>
      <font>
        <sz val="12"/>
      </font>
    </dxf>
    <dxf>
      <font>
        <sz val="12"/>
      </font>
    </dxf>
    <dxf>
      <font>
        <sz val="12"/>
      </font>
    </dxf>
    <dxf>
      <font>
        <color rgb="FF51121A"/>
      </font>
    </dxf>
    <dxf>
      <numFmt numFmtId="1" formatCode="0"/>
    </dxf>
    <dxf>
      <font>
        <sz val="24"/>
      </font>
    </dxf>
    <dxf>
      <font>
        <sz val="24"/>
      </font>
    </dxf>
    <dxf>
      <font>
        <sz val="24"/>
      </font>
    </dxf>
    <dxf>
      <font>
        <sz val="24"/>
      </font>
    </dxf>
    <dxf>
      <font>
        <b/>
        <family val="1"/>
      </font>
    </dxf>
    <dxf>
      <font>
        <b/>
        <family val="1"/>
      </font>
    </dxf>
    <dxf>
      <font>
        <b/>
        <family val="1"/>
      </font>
    </dxf>
    <dxf>
      <font>
        <b/>
        <family val="1"/>
      </font>
    </dxf>
    <dxf>
      <font>
        <b/>
        <family val="1"/>
      </font>
    </dxf>
    <dxf>
      <font>
        <sz val="12"/>
      </font>
    </dxf>
    <dxf>
      <font>
        <sz val="12"/>
      </font>
    </dxf>
    <dxf>
      <font>
        <sz val="12"/>
      </font>
    </dxf>
    <dxf>
      <font>
        <color rgb="FF51121A"/>
      </font>
    </dxf>
    <dxf>
      <font>
        <b/>
        <family val="1"/>
      </font>
    </dxf>
    <dxf>
      <font>
        <b/>
        <family val="1"/>
      </font>
    </dxf>
    <dxf>
      <font>
        <b/>
        <family val="1"/>
      </font>
    </dxf>
    <dxf>
      <font>
        <sz val="12"/>
      </font>
    </dxf>
    <dxf>
      <font>
        <sz val="12"/>
      </font>
    </dxf>
    <dxf>
      <font>
        <sz val="12"/>
      </font>
    </dxf>
    <dxf>
      <font>
        <sz val="12"/>
      </font>
    </dxf>
    <dxf>
      <font>
        <sz val="12"/>
      </font>
    </dxf>
    <dxf>
      <font>
        <sz val="12"/>
      </font>
    </dxf>
    <dxf>
      <font>
        <sz val="12"/>
      </font>
    </dxf>
    <dxf>
      <font>
        <sz val="12"/>
      </font>
    </dxf>
    <dxf>
      <font>
        <sz val="12"/>
      </font>
    </dxf>
    <dxf>
      <font>
        <color rgb="FF51121A"/>
      </font>
    </dxf>
    <dxf>
      <font>
        <b/>
        <family val="1"/>
      </font>
    </dxf>
    <dxf>
      <font>
        <b/>
        <family val="1"/>
      </font>
    </dxf>
    <dxf>
      <font>
        <b/>
        <family val="1"/>
      </font>
    </dxf>
    <dxf>
      <font>
        <sz val="12"/>
      </font>
    </dxf>
    <dxf>
      <font>
        <sz val="12"/>
      </font>
    </dxf>
    <dxf>
      <font>
        <sz val="12"/>
      </font>
    </dxf>
    <dxf>
      <font>
        <color rgb="FF51121A"/>
      </font>
    </dxf>
    <dxf>
      <font>
        <b/>
        <family val="1"/>
      </font>
    </dxf>
    <dxf>
      <font>
        <b/>
        <family val="1"/>
      </font>
    </dxf>
    <dxf>
      <font>
        <b/>
        <family val="1"/>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5"/>
          <bgColor theme="5"/>
        </patternFill>
      </fill>
    </dxf>
    <dxf>
      <font>
        <b/>
        <color theme="0"/>
      </font>
      <fill>
        <patternFill patternType="solid">
          <fgColor theme="5"/>
          <bgColor theme="5"/>
        </patternFill>
      </fill>
    </dxf>
    <dxf>
      <border>
        <top style="double">
          <color theme="1"/>
        </top>
      </border>
    </dxf>
    <dxf>
      <font>
        <b/>
        <color theme="0"/>
      </font>
      <fill>
        <patternFill patternType="solid">
          <fgColor theme="5"/>
          <bgColor rgb="FF671721"/>
        </patternFill>
      </fill>
      <border>
        <bottom style="medium">
          <color theme="1"/>
        </bottom>
      </border>
    </dxf>
    <dxf>
      <font>
        <color theme="1"/>
      </font>
      <border>
        <top style="medium">
          <color theme="1"/>
        </top>
        <bottom style="medium">
          <color theme="1"/>
        </bottom>
      </border>
    </dxf>
    <dxf>
      <font>
        <b/>
        <i val="0"/>
        <color theme="0"/>
      </font>
      <fill>
        <patternFill>
          <bgColor rgb="FFA4B9CE"/>
        </patternFill>
      </fill>
    </dxf>
    <dxf>
      <font>
        <b/>
        <i val="0"/>
        <color theme="0"/>
      </font>
      <fill>
        <patternFill>
          <bgColor rgb="FF7A99B8"/>
        </patternFill>
      </fill>
    </dxf>
    <dxf>
      <font>
        <b/>
        <i val="0"/>
      </font>
    </dxf>
    <dxf>
      <font>
        <b/>
        <i val="0"/>
        <color theme="0"/>
      </font>
      <fill>
        <patternFill>
          <bgColor rgb="FF7E1C28"/>
        </patternFill>
      </fill>
    </dxf>
    <dxf>
      <font>
        <b/>
        <i val="0"/>
        <color theme="0"/>
      </font>
      <fill>
        <patternFill>
          <bgColor rgb="FF51121A"/>
        </patternFill>
      </fill>
    </dxf>
    <dxf>
      <fill>
        <patternFill>
          <bgColor rgb="FFC1CFDD"/>
        </patternFill>
      </fill>
    </dxf>
  </dxfs>
  <tableStyles count="4" defaultTableStyle="TableStyleMedium2" defaultPivotStyle="PivotStyleLight16">
    <tableStyle name="PivotTable Style 1" table="0" count="4" xr9:uid="{4D833AC7-BADD-4A69-A28E-4AE4881F3E91}">
      <tableStyleElement type="wholeTable" dxfId="128"/>
      <tableStyleElement type="headerRow" dxfId="127"/>
      <tableStyleElement type="totalRow" dxfId="126"/>
      <tableStyleElement type="firstRowSubheading" dxfId="125"/>
    </tableStyle>
    <tableStyle name="Slicer Style 1" pivot="0" table="0" count="3" xr9:uid="{35631C92-4ADD-4FEF-BD3F-224D2F8F1B46}">
      <tableStyleElement type="wholeTable" dxfId="124"/>
    </tableStyle>
    <tableStyle name="Slicer Style 1 2" pivot="0" table="0" count="3" xr9:uid="{358D4900-A022-4CEB-9703-115778F032B2}">
      <tableStyleElement type="wholeTable" dxfId="123"/>
    </tableStyle>
    <tableStyle name="TableStyleMedium17 2" pivot="0" count="7" xr9:uid="{EFA9D69D-CBFF-49D4-99BC-89878AB694ED}">
      <tableStyleElement type="wholeTable" dxfId="122"/>
      <tableStyleElement type="headerRow" dxfId="121"/>
      <tableStyleElement type="totalRow" dxfId="120"/>
      <tableStyleElement type="firstColumn" dxfId="119"/>
      <tableStyleElement type="lastColumn" dxfId="118"/>
      <tableStyleElement type="firstRowStripe" dxfId="117"/>
      <tableStyleElement type="firstColumnStripe" dxfId="116"/>
    </tableStyle>
  </tableStyles>
  <colors>
    <mruColors>
      <color rgb="FFA5BACF"/>
      <color rgb="FF7A99B8"/>
      <color rgb="FF557BA1"/>
      <color rgb="FF32475C"/>
      <color rgb="FF51121A"/>
      <color rgb="FFDEDEDE"/>
      <color rgb="FFD9D9D9"/>
      <color rgb="FFC6D3E0"/>
      <color rgb="FF25098D"/>
      <color rgb="FF450F15"/>
    </mruColors>
  </colors>
  <extLst>
    <ext xmlns:x14="http://schemas.microsoft.com/office/spreadsheetml/2009/9/main" uri="{46F421CA-312F-682f-3DD2-61675219B42D}">
      <x14:dxfs count="4">
        <dxf>
          <fill>
            <patternFill>
              <bgColor rgb="FF32475C"/>
            </patternFill>
          </fill>
        </dxf>
        <dxf>
          <fill>
            <patternFill>
              <bgColor rgb="FF557BA1"/>
            </patternFill>
          </fill>
        </dxf>
        <dxf>
          <fill>
            <patternFill>
              <bgColor rgb="FF32475C"/>
            </patternFill>
          </fill>
        </dxf>
        <dxf>
          <fill>
            <patternFill>
              <bgColor rgb="FF557BA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1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[Employee_Portofolio.xlsx]3. Exploratory Data Analysis!PivotTable9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57B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 Exploratory Data Analysis'!$G$17</c:f>
              <c:strCache>
                <c:ptCount val="1"/>
                <c:pt idx="0">
                  <c:v>Total</c:v>
                </c:pt>
              </c:strCache>
            </c:strRef>
          </c:tx>
          <c:spPr>
            <a:solidFill>
              <a:srgbClr val="557BA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Exploratory Data Analysis'!$F$18:$F$24</c:f>
              <c:strCache>
                <c:ptCount val="6"/>
                <c:pt idx="0">
                  <c:v>DevOps</c:v>
                </c:pt>
                <c:pt idx="1">
                  <c:v>Sales</c:v>
                </c:pt>
                <c:pt idx="2">
                  <c:v>HR</c:v>
                </c:pt>
                <c:pt idx="3">
                  <c:v>Finance</c:v>
                </c:pt>
                <c:pt idx="4">
                  <c:v>Admin</c:v>
                </c:pt>
                <c:pt idx="5">
                  <c:v>Cloud Tech</c:v>
                </c:pt>
              </c:strCache>
            </c:strRef>
          </c:cat>
          <c:val>
            <c:numRef>
              <c:f>'3. Exploratory Data Analysis'!$G$18:$G$24</c:f>
              <c:numCache>
                <c:formatCode>General</c:formatCode>
                <c:ptCount val="6"/>
                <c:pt idx="0">
                  <c:v>189</c:v>
                </c:pt>
                <c:pt idx="1">
                  <c:v>178</c:v>
                </c:pt>
                <c:pt idx="2">
                  <c:v>171</c:v>
                </c:pt>
                <c:pt idx="3">
                  <c:v>170</c:v>
                </c:pt>
                <c:pt idx="4">
                  <c:v>166</c:v>
                </c:pt>
                <c:pt idx="5">
                  <c:v>146</c:v>
                </c:pt>
              </c:numCache>
            </c:numRef>
          </c:val>
          <c:extLst>
            <c:ext xmlns:c16="http://schemas.microsoft.com/office/drawing/2014/chart" uri="{C3380CC4-5D6E-409C-BE32-E72D297353CC}">
              <c16:uniqueId val="{00000000-D7C1-4D01-A2F9-CC2CD1053A1F}"/>
            </c:ext>
          </c:extLst>
        </c:ser>
        <c:dLbls>
          <c:dLblPos val="outEnd"/>
          <c:showLegendKey val="0"/>
          <c:showVal val="1"/>
          <c:showCatName val="0"/>
          <c:showSerName val="0"/>
          <c:showPercent val="0"/>
          <c:showBubbleSize val="0"/>
        </c:dLbls>
        <c:gapWidth val="50"/>
        <c:axId val="109249711"/>
        <c:axId val="109250671"/>
      </c:barChart>
      <c:catAx>
        <c:axId val="10924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0671"/>
        <c:crosses val="autoZero"/>
        <c:auto val="1"/>
        <c:lblAlgn val="ctr"/>
        <c:lblOffset val="100"/>
        <c:noMultiLvlLbl val="0"/>
      </c:catAx>
      <c:valAx>
        <c:axId val="109250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4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[Employee_Portofolio.xlsx]3. Exploratory Data Analysis!PivotTable8</c:name>
    <c:fmtId val="1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57BA1"/>
            </a:solidFill>
            <a:round/>
          </a:ln>
          <a:effectLst/>
        </c:spPr>
        <c:marker>
          <c:symbol val="circle"/>
          <c:size val="5"/>
          <c:spPr>
            <a:solidFill>
              <a:schemeClr val="accent1"/>
            </a:solidFill>
            <a:ln w="9525">
              <a:solidFill>
                <a:srgbClr val="557BA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 Exploratory Data Analysis'!$K$17</c:f>
              <c:strCache>
                <c:ptCount val="1"/>
                <c:pt idx="0">
                  <c:v>Total</c:v>
                </c:pt>
              </c:strCache>
            </c:strRef>
          </c:tx>
          <c:spPr>
            <a:ln w="28575" cap="rnd">
              <a:solidFill>
                <a:srgbClr val="557BA1"/>
              </a:solidFill>
              <a:round/>
            </a:ln>
            <a:effectLst/>
          </c:spPr>
          <c:marker>
            <c:symbol val="circle"/>
            <c:size val="5"/>
            <c:spPr>
              <a:solidFill>
                <a:schemeClr val="accent1"/>
              </a:solidFill>
              <a:ln w="9525">
                <a:solidFill>
                  <a:srgbClr val="557BA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Exploratory Data Analysis'!$J$18:$J$23</c:f>
              <c:strCache>
                <c:ptCount val="5"/>
                <c:pt idx="0">
                  <c:v>2020</c:v>
                </c:pt>
                <c:pt idx="1">
                  <c:v>2021</c:v>
                </c:pt>
                <c:pt idx="2">
                  <c:v>2022</c:v>
                </c:pt>
                <c:pt idx="3">
                  <c:v>2023</c:v>
                </c:pt>
                <c:pt idx="4">
                  <c:v>2024</c:v>
                </c:pt>
              </c:strCache>
            </c:strRef>
          </c:cat>
          <c:val>
            <c:numRef>
              <c:f>'3. Exploratory Data Analysis'!$K$18:$K$23</c:f>
              <c:numCache>
                <c:formatCode>General</c:formatCode>
                <c:ptCount val="5"/>
                <c:pt idx="0">
                  <c:v>203</c:v>
                </c:pt>
                <c:pt idx="1">
                  <c:v>189</c:v>
                </c:pt>
                <c:pt idx="2">
                  <c:v>183</c:v>
                </c:pt>
                <c:pt idx="3">
                  <c:v>228</c:v>
                </c:pt>
                <c:pt idx="4">
                  <c:v>217</c:v>
                </c:pt>
              </c:numCache>
            </c:numRef>
          </c:val>
          <c:smooth val="0"/>
          <c:extLst>
            <c:ext xmlns:c16="http://schemas.microsoft.com/office/drawing/2014/chart" uri="{C3380CC4-5D6E-409C-BE32-E72D297353CC}">
              <c16:uniqueId val="{00000000-FFF9-4F5D-9F8A-08D809C0056E}"/>
            </c:ext>
          </c:extLst>
        </c:ser>
        <c:dLbls>
          <c:dLblPos val="t"/>
          <c:showLegendKey val="0"/>
          <c:showVal val="1"/>
          <c:showCatName val="0"/>
          <c:showSerName val="0"/>
          <c:showPercent val="0"/>
          <c:showBubbleSize val="0"/>
        </c:dLbls>
        <c:marker val="1"/>
        <c:smooth val="0"/>
        <c:axId val="224924943"/>
        <c:axId val="224920143"/>
      </c:lineChart>
      <c:catAx>
        <c:axId val="22492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920143"/>
        <c:crosses val="autoZero"/>
        <c:auto val="1"/>
        <c:lblAlgn val="ctr"/>
        <c:lblOffset val="100"/>
        <c:noMultiLvlLbl val="0"/>
      </c:catAx>
      <c:valAx>
        <c:axId val="22492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92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[Employee_Portofolio.xlsx]3. Exploratory Data Analysis!PivotTable2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57B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112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Exploratory Data Analysis'!$O$17</c:f>
              <c:strCache>
                <c:ptCount val="1"/>
                <c:pt idx="0">
                  <c:v>Sum of Salary</c:v>
                </c:pt>
              </c:strCache>
            </c:strRef>
          </c:tx>
          <c:spPr>
            <a:solidFill>
              <a:srgbClr val="557BA1"/>
            </a:solidFill>
            <a:ln>
              <a:noFill/>
            </a:ln>
            <a:effectLst/>
          </c:spPr>
          <c:invertIfNegative val="0"/>
          <c:cat>
            <c:strRef>
              <c:f>'3. Exploratory Data Analysis'!$N$18:$N$24</c:f>
              <c:strCache>
                <c:ptCount val="6"/>
                <c:pt idx="0">
                  <c:v>Sales</c:v>
                </c:pt>
                <c:pt idx="1">
                  <c:v>DevOps</c:v>
                </c:pt>
                <c:pt idx="2">
                  <c:v>HR</c:v>
                </c:pt>
                <c:pt idx="3">
                  <c:v>Admin</c:v>
                </c:pt>
                <c:pt idx="4">
                  <c:v>Cloud Tech</c:v>
                </c:pt>
                <c:pt idx="5">
                  <c:v>Finance</c:v>
                </c:pt>
              </c:strCache>
            </c:strRef>
          </c:cat>
          <c:val>
            <c:numRef>
              <c:f>'3. Exploratory Data Analysis'!$O$18:$O$24</c:f>
              <c:numCache>
                <c:formatCode>_-[$$-409]* #,##0.00_ ;_-[$$-409]* \-#,##0.00\ ;_-[$$-409]* "-"??_ ;_-@_ </c:formatCode>
                <c:ptCount val="6"/>
                <c:pt idx="0">
                  <c:v>15206919.180000003</c:v>
                </c:pt>
                <c:pt idx="1">
                  <c:v>15826948.350000009</c:v>
                </c:pt>
                <c:pt idx="2">
                  <c:v>14274098.409999998</c:v>
                </c:pt>
                <c:pt idx="3">
                  <c:v>13715899.570000006</c:v>
                </c:pt>
                <c:pt idx="4">
                  <c:v>11974148.110000007</c:v>
                </c:pt>
                <c:pt idx="5">
                  <c:v>13816422.550000004</c:v>
                </c:pt>
              </c:numCache>
            </c:numRef>
          </c:val>
          <c:extLst>
            <c:ext xmlns:c16="http://schemas.microsoft.com/office/drawing/2014/chart" uri="{C3380CC4-5D6E-409C-BE32-E72D297353CC}">
              <c16:uniqueId val="{00000000-F3EA-40A3-80B4-B41C6E940870}"/>
            </c:ext>
          </c:extLst>
        </c:ser>
        <c:dLbls>
          <c:showLegendKey val="0"/>
          <c:showVal val="0"/>
          <c:showCatName val="0"/>
          <c:showSerName val="0"/>
          <c:showPercent val="0"/>
          <c:showBubbleSize val="0"/>
        </c:dLbls>
        <c:gapWidth val="50"/>
        <c:overlap val="-27"/>
        <c:axId val="790106031"/>
        <c:axId val="790107951"/>
      </c:barChart>
      <c:lineChart>
        <c:grouping val="standard"/>
        <c:varyColors val="0"/>
        <c:ser>
          <c:idx val="1"/>
          <c:order val="1"/>
          <c:tx>
            <c:strRef>
              <c:f>'3. Exploratory Data Analysis'!$P$17</c:f>
              <c:strCache>
                <c:ptCount val="1"/>
                <c:pt idx="0">
                  <c:v>Average of Salary</c:v>
                </c:pt>
              </c:strCache>
            </c:strRef>
          </c:tx>
          <c:spPr>
            <a:ln w="28575" cap="rnd">
              <a:solidFill>
                <a:srgbClr val="51121A"/>
              </a:solidFill>
              <a:round/>
            </a:ln>
            <a:effectLst/>
          </c:spPr>
          <c:marker>
            <c:symbol val="none"/>
          </c:marker>
          <c:cat>
            <c:strRef>
              <c:f>'3. Exploratory Data Analysis'!$N$18:$N$24</c:f>
              <c:strCache>
                <c:ptCount val="6"/>
                <c:pt idx="0">
                  <c:v>Sales</c:v>
                </c:pt>
                <c:pt idx="1">
                  <c:v>DevOps</c:v>
                </c:pt>
                <c:pt idx="2">
                  <c:v>HR</c:v>
                </c:pt>
                <c:pt idx="3">
                  <c:v>Admin</c:v>
                </c:pt>
                <c:pt idx="4">
                  <c:v>Cloud Tech</c:v>
                </c:pt>
                <c:pt idx="5">
                  <c:v>Finance</c:v>
                </c:pt>
              </c:strCache>
            </c:strRef>
          </c:cat>
          <c:val>
            <c:numRef>
              <c:f>'3. Exploratory Data Analysis'!$P$18:$P$24</c:f>
              <c:numCache>
                <c:formatCode>_-[$$-409]* #,##0.00_ ;_-[$$-409]* \-#,##0.00\ ;_-[$$-409]* "-"??_ ;_-@_ </c:formatCode>
                <c:ptCount val="6"/>
                <c:pt idx="0">
                  <c:v>86896.681028571445</c:v>
                </c:pt>
                <c:pt idx="1">
                  <c:v>86016.023641304389</c:v>
                </c:pt>
                <c:pt idx="2">
                  <c:v>85473.643173652687</c:v>
                </c:pt>
                <c:pt idx="3">
                  <c:v>85191.922795031089</c:v>
                </c:pt>
                <c:pt idx="4">
                  <c:v>84923.036241134803</c:v>
                </c:pt>
                <c:pt idx="5">
                  <c:v>82240.610416666692</c:v>
                </c:pt>
              </c:numCache>
            </c:numRef>
          </c:val>
          <c:smooth val="0"/>
          <c:extLst>
            <c:ext xmlns:c16="http://schemas.microsoft.com/office/drawing/2014/chart" uri="{C3380CC4-5D6E-409C-BE32-E72D297353CC}">
              <c16:uniqueId val="{00000001-F3EA-40A3-80B4-B41C6E940870}"/>
            </c:ext>
          </c:extLst>
        </c:ser>
        <c:dLbls>
          <c:showLegendKey val="0"/>
          <c:showVal val="0"/>
          <c:showCatName val="0"/>
          <c:showSerName val="0"/>
          <c:showPercent val="0"/>
          <c:showBubbleSize val="0"/>
        </c:dLbls>
        <c:marker val="1"/>
        <c:smooth val="0"/>
        <c:axId val="835176239"/>
        <c:axId val="789368799"/>
      </c:lineChart>
      <c:catAx>
        <c:axId val="79010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07951"/>
        <c:crosses val="autoZero"/>
        <c:auto val="1"/>
        <c:lblAlgn val="ctr"/>
        <c:lblOffset val="100"/>
        <c:noMultiLvlLbl val="0"/>
      </c:catAx>
      <c:valAx>
        <c:axId val="79010795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06031"/>
        <c:crosses val="autoZero"/>
        <c:crossBetween val="between"/>
      </c:valAx>
      <c:valAx>
        <c:axId val="789368799"/>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176239"/>
        <c:crosses val="max"/>
        <c:crossBetween val="between"/>
      </c:valAx>
      <c:catAx>
        <c:axId val="835176239"/>
        <c:scaling>
          <c:orientation val="minMax"/>
        </c:scaling>
        <c:delete val="1"/>
        <c:axPos val="b"/>
        <c:numFmt formatCode="General" sourceLinked="1"/>
        <c:majorTickMark val="out"/>
        <c:minorTickMark val="none"/>
        <c:tickLblPos val="nextTo"/>
        <c:crossAx val="7893687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[Employee_Portofolio.xlsx]3. Exploratory Data Analysis!PivotTable3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247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57B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A99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5BA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475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'3. Exploratory Data Analysis'!$T$17:$T$18</c:f>
              <c:strCache>
                <c:ptCount val="1"/>
                <c:pt idx="0">
                  <c:v>Excellent</c:v>
                </c:pt>
              </c:strCache>
            </c:strRef>
          </c:tx>
          <c:spPr>
            <a:solidFill>
              <a:srgbClr val="32475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Exploratory Data Analysis'!$S$19:$S$21</c:f>
              <c:strCache>
                <c:ptCount val="2"/>
                <c:pt idx="0">
                  <c:v>TRUE</c:v>
                </c:pt>
                <c:pt idx="1">
                  <c:v>FALSE</c:v>
                </c:pt>
              </c:strCache>
            </c:strRef>
          </c:cat>
          <c:val>
            <c:numRef>
              <c:f>'3. Exploratory Data Analysis'!$T$19:$T$21</c:f>
              <c:numCache>
                <c:formatCode>0.00%</c:formatCode>
                <c:ptCount val="2"/>
                <c:pt idx="0">
                  <c:v>0.2553606237816764</c:v>
                </c:pt>
                <c:pt idx="1">
                  <c:v>0.26824457593688361</c:v>
                </c:pt>
              </c:numCache>
            </c:numRef>
          </c:val>
          <c:extLst>
            <c:ext xmlns:c16="http://schemas.microsoft.com/office/drawing/2014/chart" uri="{C3380CC4-5D6E-409C-BE32-E72D297353CC}">
              <c16:uniqueId val="{00000000-D376-4611-8779-0E865D3D396E}"/>
            </c:ext>
          </c:extLst>
        </c:ser>
        <c:ser>
          <c:idx val="1"/>
          <c:order val="1"/>
          <c:tx>
            <c:strRef>
              <c:f>'3. Exploratory Data Analysis'!$U$17:$U$18</c:f>
              <c:strCache>
                <c:ptCount val="1"/>
                <c:pt idx="0">
                  <c:v>Good</c:v>
                </c:pt>
              </c:strCache>
            </c:strRef>
          </c:tx>
          <c:spPr>
            <a:solidFill>
              <a:srgbClr val="557BA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Exploratory Data Analysis'!$S$19:$S$21</c:f>
              <c:strCache>
                <c:ptCount val="2"/>
                <c:pt idx="0">
                  <c:v>TRUE</c:v>
                </c:pt>
                <c:pt idx="1">
                  <c:v>FALSE</c:v>
                </c:pt>
              </c:strCache>
            </c:strRef>
          </c:cat>
          <c:val>
            <c:numRef>
              <c:f>'3. Exploratory Data Analysis'!$U$19:$U$21</c:f>
              <c:numCache>
                <c:formatCode>0.00%</c:formatCode>
                <c:ptCount val="2"/>
                <c:pt idx="0">
                  <c:v>0.27875243664717347</c:v>
                </c:pt>
                <c:pt idx="1">
                  <c:v>0.2504930966469428</c:v>
                </c:pt>
              </c:numCache>
            </c:numRef>
          </c:val>
          <c:extLst>
            <c:ext xmlns:c16="http://schemas.microsoft.com/office/drawing/2014/chart" uri="{C3380CC4-5D6E-409C-BE32-E72D297353CC}">
              <c16:uniqueId val="{00000001-D376-4611-8779-0E865D3D396E}"/>
            </c:ext>
          </c:extLst>
        </c:ser>
        <c:ser>
          <c:idx val="2"/>
          <c:order val="2"/>
          <c:tx>
            <c:strRef>
              <c:f>'3. Exploratory Data Analysis'!$V$17:$V$18</c:f>
              <c:strCache>
                <c:ptCount val="1"/>
                <c:pt idx="0">
                  <c:v>Average</c:v>
                </c:pt>
              </c:strCache>
            </c:strRef>
          </c:tx>
          <c:spPr>
            <a:solidFill>
              <a:srgbClr val="7A99B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Exploratory Data Analysis'!$S$19:$S$21</c:f>
              <c:strCache>
                <c:ptCount val="2"/>
                <c:pt idx="0">
                  <c:v>TRUE</c:v>
                </c:pt>
                <c:pt idx="1">
                  <c:v>FALSE</c:v>
                </c:pt>
              </c:strCache>
            </c:strRef>
          </c:cat>
          <c:val>
            <c:numRef>
              <c:f>'3. Exploratory Data Analysis'!$V$19:$V$21</c:f>
              <c:numCache>
                <c:formatCode>0.00%</c:formatCode>
                <c:ptCount val="2"/>
                <c:pt idx="0">
                  <c:v>0.26705653021442494</c:v>
                </c:pt>
                <c:pt idx="1">
                  <c:v>0.25641025641025639</c:v>
                </c:pt>
              </c:numCache>
            </c:numRef>
          </c:val>
          <c:extLst>
            <c:ext xmlns:c16="http://schemas.microsoft.com/office/drawing/2014/chart" uri="{C3380CC4-5D6E-409C-BE32-E72D297353CC}">
              <c16:uniqueId val="{00000001-8037-44DB-A928-83660FCDDBD1}"/>
            </c:ext>
          </c:extLst>
        </c:ser>
        <c:ser>
          <c:idx val="3"/>
          <c:order val="3"/>
          <c:tx>
            <c:strRef>
              <c:f>'3. Exploratory Data Analysis'!$W$17:$W$18</c:f>
              <c:strCache>
                <c:ptCount val="1"/>
                <c:pt idx="0">
                  <c:v>Poor</c:v>
                </c:pt>
              </c:strCache>
            </c:strRef>
          </c:tx>
          <c:spPr>
            <a:solidFill>
              <a:srgbClr val="A5BA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475C"/>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Exploratory Data Analysis'!$S$19:$S$21</c:f>
              <c:strCache>
                <c:ptCount val="2"/>
                <c:pt idx="0">
                  <c:v>TRUE</c:v>
                </c:pt>
                <c:pt idx="1">
                  <c:v>FALSE</c:v>
                </c:pt>
              </c:strCache>
            </c:strRef>
          </c:cat>
          <c:val>
            <c:numRef>
              <c:f>'3. Exploratory Data Analysis'!$W$19:$W$21</c:f>
              <c:numCache>
                <c:formatCode>0.00%</c:formatCode>
                <c:ptCount val="2"/>
                <c:pt idx="0">
                  <c:v>0.19883040935672514</c:v>
                </c:pt>
                <c:pt idx="1">
                  <c:v>0.22485207100591717</c:v>
                </c:pt>
              </c:numCache>
            </c:numRef>
          </c:val>
          <c:extLst>
            <c:ext xmlns:c16="http://schemas.microsoft.com/office/drawing/2014/chart" uri="{C3380CC4-5D6E-409C-BE32-E72D297353CC}">
              <c16:uniqueId val="{00000002-8037-44DB-A928-83660FCDDBD1}"/>
            </c:ext>
          </c:extLst>
        </c:ser>
        <c:dLbls>
          <c:showLegendKey val="0"/>
          <c:showVal val="0"/>
          <c:showCatName val="0"/>
          <c:showSerName val="0"/>
          <c:showPercent val="0"/>
          <c:showBubbleSize val="0"/>
        </c:dLbls>
        <c:gapWidth val="50"/>
        <c:overlap val="100"/>
        <c:axId val="789579951"/>
        <c:axId val="789573711"/>
      </c:barChart>
      <c:catAx>
        <c:axId val="78957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573711"/>
        <c:crosses val="autoZero"/>
        <c:auto val="1"/>
        <c:lblAlgn val="ctr"/>
        <c:lblOffset val="100"/>
        <c:noMultiLvlLbl val="0"/>
      </c:catAx>
      <c:valAx>
        <c:axId val="7895737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579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[Employee_Portofolio.xlsx]3. Exploratory Data Analysis!PivotTable5</c:name>
    <c:fmtId val="17"/>
  </c:pivotSource>
  <c:chart>
    <c:autoTitleDeleted val="0"/>
    <c:pivotFmts>
      <c:pivotFmt>
        <c:idx val="0"/>
        <c:spPr>
          <a:solidFill>
            <a:srgbClr val="3247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57B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99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5BA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247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7B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A99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5BA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247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57B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A99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A5BA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Exploratory Data Analysis'!$AB$17:$AB$18</c:f>
              <c:strCache>
                <c:ptCount val="1"/>
                <c:pt idx="0">
                  <c:v>25</c:v>
                </c:pt>
              </c:strCache>
            </c:strRef>
          </c:tx>
          <c:spPr>
            <a:solidFill>
              <a:srgbClr val="32475C"/>
            </a:solidFill>
            <a:ln>
              <a:noFill/>
            </a:ln>
            <a:effectLst/>
          </c:spPr>
          <c:invertIfNegative val="0"/>
          <c:cat>
            <c:strRef>
              <c:f>'3. Exploratory Data Analysis'!$AA$19:$AA$23</c:f>
              <c:strCache>
                <c:ptCount val="4"/>
                <c:pt idx="0">
                  <c:v>Excellent</c:v>
                </c:pt>
                <c:pt idx="1">
                  <c:v>Good</c:v>
                </c:pt>
                <c:pt idx="2">
                  <c:v>Average</c:v>
                </c:pt>
                <c:pt idx="3">
                  <c:v>Poor</c:v>
                </c:pt>
              </c:strCache>
            </c:strRef>
          </c:cat>
          <c:val>
            <c:numRef>
              <c:f>'3. Exploratory Data Analysis'!$AB$19:$AB$23</c:f>
              <c:numCache>
                <c:formatCode>General</c:formatCode>
                <c:ptCount val="4"/>
                <c:pt idx="0">
                  <c:v>55</c:v>
                </c:pt>
                <c:pt idx="1">
                  <c:v>54</c:v>
                </c:pt>
                <c:pt idx="2">
                  <c:v>50</c:v>
                </c:pt>
                <c:pt idx="3">
                  <c:v>47</c:v>
                </c:pt>
              </c:numCache>
            </c:numRef>
          </c:val>
          <c:extLst>
            <c:ext xmlns:c16="http://schemas.microsoft.com/office/drawing/2014/chart" uri="{C3380CC4-5D6E-409C-BE32-E72D297353CC}">
              <c16:uniqueId val="{00000000-BFB7-43CF-8A84-3AC0199B1D31}"/>
            </c:ext>
          </c:extLst>
        </c:ser>
        <c:ser>
          <c:idx val="1"/>
          <c:order val="1"/>
          <c:tx>
            <c:strRef>
              <c:f>'3. Exploratory Data Analysis'!$AC$17:$AC$18</c:f>
              <c:strCache>
                <c:ptCount val="1"/>
                <c:pt idx="0">
                  <c:v>30</c:v>
                </c:pt>
              </c:strCache>
            </c:strRef>
          </c:tx>
          <c:spPr>
            <a:solidFill>
              <a:srgbClr val="557BA1"/>
            </a:solidFill>
            <a:ln>
              <a:noFill/>
            </a:ln>
            <a:effectLst/>
          </c:spPr>
          <c:invertIfNegative val="0"/>
          <c:cat>
            <c:strRef>
              <c:f>'3. Exploratory Data Analysis'!$AA$19:$AA$23</c:f>
              <c:strCache>
                <c:ptCount val="4"/>
                <c:pt idx="0">
                  <c:v>Excellent</c:v>
                </c:pt>
                <c:pt idx="1">
                  <c:v>Good</c:v>
                </c:pt>
                <c:pt idx="2">
                  <c:v>Average</c:v>
                </c:pt>
                <c:pt idx="3">
                  <c:v>Poor</c:v>
                </c:pt>
              </c:strCache>
            </c:strRef>
          </c:cat>
          <c:val>
            <c:numRef>
              <c:f>'3. Exploratory Data Analysis'!$AC$19:$AC$23</c:f>
              <c:numCache>
                <c:formatCode>General</c:formatCode>
                <c:ptCount val="4"/>
                <c:pt idx="0">
                  <c:v>120</c:v>
                </c:pt>
                <c:pt idx="1">
                  <c:v>102</c:v>
                </c:pt>
                <c:pt idx="2">
                  <c:v>110</c:v>
                </c:pt>
                <c:pt idx="3">
                  <c:v>84</c:v>
                </c:pt>
              </c:numCache>
            </c:numRef>
          </c:val>
          <c:extLst>
            <c:ext xmlns:c16="http://schemas.microsoft.com/office/drawing/2014/chart" uri="{C3380CC4-5D6E-409C-BE32-E72D297353CC}">
              <c16:uniqueId val="{00000001-BFB7-43CF-8A84-3AC0199B1D31}"/>
            </c:ext>
          </c:extLst>
        </c:ser>
        <c:ser>
          <c:idx val="2"/>
          <c:order val="2"/>
          <c:tx>
            <c:strRef>
              <c:f>'3. Exploratory Data Analysis'!$AD$17:$AD$18</c:f>
              <c:strCache>
                <c:ptCount val="1"/>
                <c:pt idx="0">
                  <c:v>35</c:v>
                </c:pt>
              </c:strCache>
            </c:strRef>
          </c:tx>
          <c:spPr>
            <a:solidFill>
              <a:srgbClr val="7A99B8"/>
            </a:solidFill>
            <a:ln>
              <a:noFill/>
            </a:ln>
            <a:effectLst/>
          </c:spPr>
          <c:invertIfNegative val="0"/>
          <c:cat>
            <c:strRef>
              <c:f>'3. Exploratory Data Analysis'!$AA$19:$AA$23</c:f>
              <c:strCache>
                <c:ptCount val="4"/>
                <c:pt idx="0">
                  <c:v>Excellent</c:v>
                </c:pt>
                <c:pt idx="1">
                  <c:v>Good</c:v>
                </c:pt>
                <c:pt idx="2">
                  <c:v>Average</c:v>
                </c:pt>
                <c:pt idx="3">
                  <c:v>Poor</c:v>
                </c:pt>
              </c:strCache>
            </c:strRef>
          </c:cat>
          <c:val>
            <c:numRef>
              <c:f>'3. Exploratory Data Analysis'!$AD$19:$AD$23</c:f>
              <c:numCache>
                <c:formatCode>General</c:formatCode>
                <c:ptCount val="4"/>
                <c:pt idx="0">
                  <c:v>48</c:v>
                </c:pt>
                <c:pt idx="1">
                  <c:v>46</c:v>
                </c:pt>
                <c:pt idx="2">
                  <c:v>52</c:v>
                </c:pt>
                <c:pt idx="3">
                  <c:v>42</c:v>
                </c:pt>
              </c:numCache>
            </c:numRef>
          </c:val>
          <c:extLst>
            <c:ext xmlns:c16="http://schemas.microsoft.com/office/drawing/2014/chart" uri="{C3380CC4-5D6E-409C-BE32-E72D297353CC}">
              <c16:uniqueId val="{00000002-BFB7-43CF-8A84-3AC0199B1D31}"/>
            </c:ext>
          </c:extLst>
        </c:ser>
        <c:ser>
          <c:idx val="3"/>
          <c:order val="3"/>
          <c:tx>
            <c:strRef>
              <c:f>'3. Exploratory Data Analysis'!$AE$17:$AE$18</c:f>
              <c:strCache>
                <c:ptCount val="1"/>
                <c:pt idx="0">
                  <c:v>40</c:v>
                </c:pt>
              </c:strCache>
            </c:strRef>
          </c:tx>
          <c:spPr>
            <a:solidFill>
              <a:srgbClr val="A5BACF"/>
            </a:solidFill>
            <a:ln>
              <a:noFill/>
            </a:ln>
            <a:effectLst/>
          </c:spPr>
          <c:invertIfNegative val="0"/>
          <c:cat>
            <c:strRef>
              <c:f>'3. Exploratory Data Analysis'!$AA$19:$AA$23</c:f>
              <c:strCache>
                <c:ptCount val="4"/>
                <c:pt idx="0">
                  <c:v>Excellent</c:v>
                </c:pt>
                <c:pt idx="1">
                  <c:v>Good</c:v>
                </c:pt>
                <c:pt idx="2">
                  <c:v>Average</c:v>
                </c:pt>
                <c:pt idx="3">
                  <c:v>Poor</c:v>
                </c:pt>
              </c:strCache>
            </c:strRef>
          </c:cat>
          <c:val>
            <c:numRef>
              <c:f>'3. Exploratory Data Analysis'!$AE$19:$AE$23</c:f>
              <c:numCache>
                <c:formatCode>General</c:formatCode>
                <c:ptCount val="4"/>
                <c:pt idx="0">
                  <c:v>44</c:v>
                </c:pt>
                <c:pt idx="1">
                  <c:v>68</c:v>
                </c:pt>
                <c:pt idx="2">
                  <c:v>55</c:v>
                </c:pt>
                <c:pt idx="3">
                  <c:v>43</c:v>
                </c:pt>
              </c:numCache>
            </c:numRef>
          </c:val>
          <c:extLst>
            <c:ext xmlns:c16="http://schemas.microsoft.com/office/drawing/2014/chart" uri="{C3380CC4-5D6E-409C-BE32-E72D297353CC}">
              <c16:uniqueId val="{00000002-F054-4C7E-9356-92D2F8BC049A}"/>
            </c:ext>
          </c:extLst>
        </c:ser>
        <c:dLbls>
          <c:showLegendKey val="0"/>
          <c:showVal val="0"/>
          <c:showCatName val="0"/>
          <c:showSerName val="0"/>
          <c:showPercent val="0"/>
          <c:showBubbleSize val="0"/>
        </c:dLbls>
        <c:gapWidth val="219"/>
        <c:overlap val="-27"/>
        <c:axId val="787795375"/>
        <c:axId val="787798255"/>
      </c:barChart>
      <c:catAx>
        <c:axId val="78779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98255"/>
        <c:crosses val="autoZero"/>
        <c:auto val="1"/>
        <c:lblAlgn val="ctr"/>
        <c:lblOffset val="100"/>
        <c:noMultiLvlLbl val="0"/>
      </c:catAx>
      <c:valAx>
        <c:axId val="7877982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9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[Employee_Portofolio.xlsx]3. Exploratory Data Analysis!PivotTable9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 Exploratory Data Analysis'!$G$17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Exploratory Data Analysis'!$F$18:$F$24</c:f>
              <c:strCache>
                <c:ptCount val="6"/>
                <c:pt idx="0">
                  <c:v>DevOps</c:v>
                </c:pt>
                <c:pt idx="1">
                  <c:v>Sales</c:v>
                </c:pt>
                <c:pt idx="2">
                  <c:v>HR</c:v>
                </c:pt>
                <c:pt idx="3">
                  <c:v>Finance</c:v>
                </c:pt>
                <c:pt idx="4">
                  <c:v>Admin</c:v>
                </c:pt>
                <c:pt idx="5">
                  <c:v>Cloud Tech</c:v>
                </c:pt>
              </c:strCache>
            </c:strRef>
          </c:cat>
          <c:val>
            <c:numRef>
              <c:f>'3. Exploratory Data Analysis'!$G$18:$G$24</c:f>
              <c:numCache>
                <c:formatCode>General</c:formatCode>
                <c:ptCount val="6"/>
                <c:pt idx="0">
                  <c:v>189</c:v>
                </c:pt>
                <c:pt idx="1">
                  <c:v>178</c:v>
                </c:pt>
                <c:pt idx="2">
                  <c:v>171</c:v>
                </c:pt>
                <c:pt idx="3">
                  <c:v>170</c:v>
                </c:pt>
                <c:pt idx="4">
                  <c:v>166</c:v>
                </c:pt>
                <c:pt idx="5">
                  <c:v>146</c:v>
                </c:pt>
              </c:numCache>
            </c:numRef>
          </c:val>
          <c:extLst>
            <c:ext xmlns:c16="http://schemas.microsoft.com/office/drawing/2014/chart" uri="{C3380CC4-5D6E-409C-BE32-E72D297353CC}">
              <c16:uniqueId val="{00000000-F49B-46E0-92E7-0C7C4BEC9D06}"/>
            </c:ext>
          </c:extLst>
        </c:ser>
        <c:dLbls>
          <c:dLblPos val="outEnd"/>
          <c:showLegendKey val="0"/>
          <c:showVal val="1"/>
          <c:showCatName val="0"/>
          <c:showSerName val="0"/>
          <c:showPercent val="0"/>
          <c:showBubbleSize val="0"/>
        </c:dLbls>
        <c:gapWidth val="50"/>
        <c:axId val="109249711"/>
        <c:axId val="109250671"/>
      </c:barChart>
      <c:catAx>
        <c:axId val="10924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50671"/>
        <c:crosses val="autoZero"/>
        <c:auto val="1"/>
        <c:lblAlgn val="ctr"/>
        <c:lblOffset val="100"/>
        <c:noMultiLvlLbl val="0"/>
      </c:catAx>
      <c:valAx>
        <c:axId val="10925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49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[Employee_Portofolio.xlsx]3. Exploratory Data Analysis!PivotTable8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 Exploratory Data Analysis'!$K$17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'3. Exploratory Data Analysis'!$J$18:$J$23</c:f>
              <c:strCache>
                <c:ptCount val="5"/>
                <c:pt idx="0">
                  <c:v>2020</c:v>
                </c:pt>
                <c:pt idx="1">
                  <c:v>2021</c:v>
                </c:pt>
                <c:pt idx="2">
                  <c:v>2022</c:v>
                </c:pt>
                <c:pt idx="3">
                  <c:v>2023</c:v>
                </c:pt>
                <c:pt idx="4">
                  <c:v>2024</c:v>
                </c:pt>
              </c:strCache>
            </c:strRef>
          </c:cat>
          <c:val>
            <c:numRef>
              <c:f>'3. Exploratory Data Analysis'!$K$18:$K$23</c:f>
              <c:numCache>
                <c:formatCode>General</c:formatCode>
                <c:ptCount val="5"/>
                <c:pt idx="0">
                  <c:v>203</c:v>
                </c:pt>
                <c:pt idx="1">
                  <c:v>189</c:v>
                </c:pt>
                <c:pt idx="2">
                  <c:v>183</c:v>
                </c:pt>
                <c:pt idx="3">
                  <c:v>228</c:v>
                </c:pt>
                <c:pt idx="4">
                  <c:v>217</c:v>
                </c:pt>
              </c:numCache>
            </c:numRef>
          </c:val>
          <c:smooth val="0"/>
          <c:extLst>
            <c:ext xmlns:c16="http://schemas.microsoft.com/office/drawing/2014/chart" uri="{C3380CC4-5D6E-409C-BE32-E72D297353CC}">
              <c16:uniqueId val="{00000000-79A8-4AFA-A762-CEE4F06F4114}"/>
            </c:ext>
          </c:extLst>
        </c:ser>
        <c:dLbls>
          <c:showLegendKey val="0"/>
          <c:showVal val="0"/>
          <c:showCatName val="0"/>
          <c:showSerName val="0"/>
          <c:showPercent val="0"/>
          <c:showBubbleSize val="0"/>
        </c:dLbls>
        <c:marker val="1"/>
        <c:smooth val="0"/>
        <c:axId val="224924943"/>
        <c:axId val="224920143"/>
      </c:lineChart>
      <c:catAx>
        <c:axId val="22492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920143"/>
        <c:crosses val="autoZero"/>
        <c:auto val="1"/>
        <c:lblAlgn val="ctr"/>
        <c:lblOffset val="100"/>
        <c:noMultiLvlLbl val="0"/>
      </c:catAx>
      <c:valAx>
        <c:axId val="22492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9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[Employee_Portofolio.xlsx]3. Exploratory Data Analysis!PivotTable2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Exploratory Data Analysis'!$O$17</c:f>
              <c:strCache>
                <c:ptCount val="1"/>
                <c:pt idx="0">
                  <c:v>Sum of Salary</c:v>
                </c:pt>
              </c:strCache>
            </c:strRef>
          </c:tx>
          <c:spPr>
            <a:solidFill>
              <a:schemeClr val="accent1"/>
            </a:solidFill>
            <a:ln>
              <a:noFill/>
            </a:ln>
            <a:effectLst/>
          </c:spPr>
          <c:invertIfNegative val="0"/>
          <c:cat>
            <c:strRef>
              <c:f>'3. Exploratory Data Analysis'!$N$18:$N$24</c:f>
              <c:strCache>
                <c:ptCount val="6"/>
                <c:pt idx="0">
                  <c:v>Sales</c:v>
                </c:pt>
                <c:pt idx="1">
                  <c:v>DevOps</c:v>
                </c:pt>
                <c:pt idx="2">
                  <c:v>HR</c:v>
                </c:pt>
                <c:pt idx="3">
                  <c:v>Admin</c:v>
                </c:pt>
                <c:pt idx="4">
                  <c:v>Cloud Tech</c:v>
                </c:pt>
                <c:pt idx="5">
                  <c:v>Finance</c:v>
                </c:pt>
              </c:strCache>
            </c:strRef>
          </c:cat>
          <c:val>
            <c:numRef>
              <c:f>'3. Exploratory Data Analysis'!$O$18:$O$24</c:f>
              <c:numCache>
                <c:formatCode>_-[$$-409]* #,##0.00_ ;_-[$$-409]* \-#,##0.00\ ;_-[$$-409]* "-"??_ ;_-@_ </c:formatCode>
                <c:ptCount val="6"/>
                <c:pt idx="0">
                  <c:v>15206919.180000003</c:v>
                </c:pt>
                <c:pt idx="1">
                  <c:v>15826948.350000009</c:v>
                </c:pt>
                <c:pt idx="2">
                  <c:v>14274098.409999998</c:v>
                </c:pt>
                <c:pt idx="3">
                  <c:v>13715899.570000006</c:v>
                </c:pt>
                <c:pt idx="4">
                  <c:v>11974148.110000007</c:v>
                </c:pt>
                <c:pt idx="5">
                  <c:v>13816422.550000004</c:v>
                </c:pt>
              </c:numCache>
            </c:numRef>
          </c:val>
          <c:extLst>
            <c:ext xmlns:c16="http://schemas.microsoft.com/office/drawing/2014/chart" uri="{C3380CC4-5D6E-409C-BE32-E72D297353CC}">
              <c16:uniqueId val="{00000000-2253-40FB-9C8C-115479A6B464}"/>
            </c:ext>
          </c:extLst>
        </c:ser>
        <c:dLbls>
          <c:showLegendKey val="0"/>
          <c:showVal val="0"/>
          <c:showCatName val="0"/>
          <c:showSerName val="0"/>
          <c:showPercent val="0"/>
          <c:showBubbleSize val="0"/>
        </c:dLbls>
        <c:gapWidth val="219"/>
        <c:overlap val="-27"/>
        <c:axId val="790106031"/>
        <c:axId val="790107951"/>
      </c:barChart>
      <c:lineChart>
        <c:grouping val="standard"/>
        <c:varyColors val="0"/>
        <c:ser>
          <c:idx val="1"/>
          <c:order val="1"/>
          <c:tx>
            <c:strRef>
              <c:f>'3. Exploratory Data Analysis'!$P$17</c:f>
              <c:strCache>
                <c:ptCount val="1"/>
                <c:pt idx="0">
                  <c:v>Average of Salary</c:v>
                </c:pt>
              </c:strCache>
            </c:strRef>
          </c:tx>
          <c:spPr>
            <a:ln w="28575" cap="rnd">
              <a:solidFill>
                <a:schemeClr val="accent2"/>
              </a:solidFill>
              <a:round/>
            </a:ln>
            <a:effectLst/>
          </c:spPr>
          <c:marker>
            <c:symbol val="none"/>
          </c:marker>
          <c:cat>
            <c:strRef>
              <c:f>'3. Exploratory Data Analysis'!$N$18:$N$24</c:f>
              <c:strCache>
                <c:ptCount val="6"/>
                <c:pt idx="0">
                  <c:v>Sales</c:v>
                </c:pt>
                <c:pt idx="1">
                  <c:v>DevOps</c:v>
                </c:pt>
                <c:pt idx="2">
                  <c:v>HR</c:v>
                </c:pt>
                <c:pt idx="3">
                  <c:v>Admin</c:v>
                </c:pt>
                <c:pt idx="4">
                  <c:v>Cloud Tech</c:v>
                </c:pt>
                <c:pt idx="5">
                  <c:v>Finance</c:v>
                </c:pt>
              </c:strCache>
            </c:strRef>
          </c:cat>
          <c:val>
            <c:numRef>
              <c:f>'3. Exploratory Data Analysis'!$P$18:$P$24</c:f>
              <c:numCache>
                <c:formatCode>_-[$$-409]* #,##0.00_ ;_-[$$-409]* \-#,##0.00\ ;_-[$$-409]* "-"??_ ;_-@_ </c:formatCode>
                <c:ptCount val="6"/>
                <c:pt idx="0">
                  <c:v>86896.681028571445</c:v>
                </c:pt>
                <c:pt idx="1">
                  <c:v>86016.023641304389</c:v>
                </c:pt>
                <c:pt idx="2">
                  <c:v>85473.643173652687</c:v>
                </c:pt>
                <c:pt idx="3">
                  <c:v>85191.922795031089</c:v>
                </c:pt>
                <c:pt idx="4">
                  <c:v>84923.036241134803</c:v>
                </c:pt>
                <c:pt idx="5">
                  <c:v>82240.610416666692</c:v>
                </c:pt>
              </c:numCache>
            </c:numRef>
          </c:val>
          <c:smooth val="0"/>
          <c:extLst>
            <c:ext xmlns:c16="http://schemas.microsoft.com/office/drawing/2014/chart" uri="{C3380CC4-5D6E-409C-BE32-E72D297353CC}">
              <c16:uniqueId val="{00000001-2253-40FB-9C8C-115479A6B464}"/>
            </c:ext>
          </c:extLst>
        </c:ser>
        <c:dLbls>
          <c:showLegendKey val="0"/>
          <c:showVal val="0"/>
          <c:showCatName val="0"/>
          <c:showSerName val="0"/>
          <c:showPercent val="0"/>
          <c:showBubbleSize val="0"/>
        </c:dLbls>
        <c:marker val="1"/>
        <c:smooth val="0"/>
        <c:axId val="835176239"/>
        <c:axId val="789368799"/>
      </c:lineChart>
      <c:catAx>
        <c:axId val="79010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07951"/>
        <c:crosses val="autoZero"/>
        <c:auto val="1"/>
        <c:lblAlgn val="ctr"/>
        <c:lblOffset val="100"/>
        <c:noMultiLvlLbl val="0"/>
      </c:catAx>
      <c:valAx>
        <c:axId val="79010795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106031"/>
        <c:crosses val="autoZero"/>
        <c:crossBetween val="between"/>
      </c:valAx>
      <c:valAx>
        <c:axId val="789368799"/>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176239"/>
        <c:crosses val="max"/>
        <c:crossBetween val="between"/>
      </c:valAx>
      <c:catAx>
        <c:axId val="835176239"/>
        <c:scaling>
          <c:orientation val="minMax"/>
        </c:scaling>
        <c:delete val="1"/>
        <c:axPos val="b"/>
        <c:numFmt formatCode="General" sourceLinked="1"/>
        <c:majorTickMark val="out"/>
        <c:minorTickMark val="none"/>
        <c:tickLblPos val="nextTo"/>
        <c:crossAx val="7893687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[Employee_Portofolio.xlsx]3. Exploratory Data Analysis!PivotTable3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'3. Exploratory Data Analysis'!$T$17:$T$18</c:f>
              <c:strCache>
                <c:ptCount val="1"/>
                <c:pt idx="0">
                  <c:v>Excellent</c:v>
                </c:pt>
              </c:strCache>
            </c:strRef>
          </c:tx>
          <c:spPr>
            <a:solidFill>
              <a:schemeClr val="accent1"/>
            </a:solidFill>
            <a:ln>
              <a:noFill/>
            </a:ln>
            <a:effectLst/>
          </c:spPr>
          <c:invertIfNegative val="0"/>
          <c:cat>
            <c:strRef>
              <c:f>'3. Exploratory Data Analysis'!$S$19:$S$21</c:f>
              <c:strCache>
                <c:ptCount val="2"/>
                <c:pt idx="0">
                  <c:v>TRUE</c:v>
                </c:pt>
                <c:pt idx="1">
                  <c:v>FALSE</c:v>
                </c:pt>
              </c:strCache>
            </c:strRef>
          </c:cat>
          <c:val>
            <c:numRef>
              <c:f>'3. Exploratory Data Analysis'!$T$19:$T$21</c:f>
              <c:numCache>
                <c:formatCode>0.00%</c:formatCode>
                <c:ptCount val="2"/>
                <c:pt idx="0">
                  <c:v>0.2553606237816764</c:v>
                </c:pt>
                <c:pt idx="1">
                  <c:v>0.26824457593688361</c:v>
                </c:pt>
              </c:numCache>
            </c:numRef>
          </c:val>
          <c:extLst>
            <c:ext xmlns:c16="http://schemas.microsoft.com/office/drawing/2014/chart" uri="{C3380CC4-5D6E-409C-BE32-E72D297353CC}">
              <c16:uniqueId val="{00000000-D949-4AEF-A9B7-44C4FB2FAE4B}"/>
            </c:ext>
          </c:extLst>
        </c:ser>
        <c:ser>
          <c:idx val="1"/>
          <c:order val="1"/>
          <c:tx>
            <c:strRef>
              <c:f>'3. Exploratory Data Analysis'!$U$17:$U$18</c:f>
              <c:strCache>
                <c:ptCount val="1"/>
                <c:pt idx="0">
                  <c:v>Good</c:v>
                </c:pt>
              </c:strCache>
            </c:strRef>
          </c:tx>
          <c:spPr>
            <a:solidFill>
              <a:schemeClr val="accent2"/>
            </a:solidFill>
            <a:ln>
              <a:noFill/>
            </a:ln>
            <a:effectLst/>
          </c:spPr>
          <c:invertIfNegative val="0"/>
          <c:cat>
            <c:strRef>
              <c:f>'3. Exploratory Data Analysis'!$S$19:$S$21</c:f>
              <c:strCache>
                <c:ptCount val="2"/>
                <c:pt idx="0">
                  <c:v>TRUE</c:v>
                </c:pt>
                <c:pt idx="1">
                  <c:v>FALSE</c:v>
                </c:pt>
              </c:strCache>
            </c:strRef>
          </c:cat>
          <c:val>
            <c:numRef>
              <c:f>'3. Exploratory Data Analysis'!$U$19:$U$21</c:f>
              <c:numCache>
                <c:formatCode>0.00%</c:formatCode>
                <c:ptCount val="2"/>
                <c:pt idx="0">
                  <c:v>0.27875243664717347</c:v>
                </c:pt>
                <c:pt idx="1">
                  <c:v>0.2504930966469428</c:v>
                </c:pt>
              </c:numCache>
            </c:numRef>
          </c:val>
          <c:extLst>
            <c:ext xmlns:c16="http://schemas.microsoft.com/office/drawing/2014/chart" uri="{C3380CC4-5D6E-409C-BE32-E72D297353CC}">
              <c16:uniqueId val="{00000001-D949-4AEF-A9B7-44C4FB2FAE4B}"/>
            </c:ext>
          </c:extLst>
        </c:ser>
        <c:ser>
          <c:idx val="2"/>
          <c:order val="2"/>
          <c:tx>
            <c:strRef>
              <c:f>'3. Exploratory Data Analysis'!$V$17:$V$18</c:f>
              <c:strCache>
                <c:ptCount val="1"/>
                <c:pt idx="0">
                  <c:v>Average</c:v>
                </c:pt>
              </c:strCache>
            </c:strRef>
          </c:tx>
          <c:spPr>
            <a:solidFill>
              <a:schemeClr val="accent3"/>
            </a:solidFill>
            <a:ln>
              <a:noFill/>
            </a:ln>
            <a:effectLst/>
          </c:spPr>
          <c:invertIfNegative val="0"/>
          <c:cat>
            <c:strRef>
              <c:f>'3. Exploratory Data Analysis'!$S$19:$S$21</c:f>
              <c:strCache>
                <c:ptCount val="2"/>
                <c:pt idx="0">
                  <c:v>TRUE</c:v>
                </c:pt>
                <c:pt idx="1">
                  <c:v>FALSE</c:v>
                </c:pt>
              </c:strCache>
            </c:strRef>
          </c:cat>
          <c:val>
            <c:numRef>
              <c:f>'3. Exploratory Data Analysis'!$V$19:$V$21</c:f>
              <c:numCache>
                <c:formatCode>0.00%</c:formatCode>
                <c:ptCount val="2"/>
                <c:pt idx="0">
                  <c:v>0.26705653021442494</c:v>
                </c:pt>
                <c:pt idx="1">
                  <c:v>0.25641025641025639</c:v>
                </c:pt>
              </c:numCache>
            </c:numRef>
          </c:val>
          <c:extLst>
            <c:ext xmlns:c16="http://schemas.microsoft.com/office/drawing/2014/chart" uri="{C3380CC4-5D6E-409C-BE32-E72D297353CC}">
              <c16:uniqueId val="{00000000-919B-426B-8D4F-20E885AA8E26}"/>
            </c:ext>
          </c:extLst>
        </c:ser>
        <c:ser>
          <c:idx val="3"/>
          <c:order val="3"/>
          <c:tx>
            <c:strRef>
              <c:f>'3. Exploratory Data Analysis'!$W$17:$W$18</c:f>
              <c:strCache>
                <c:ptCount val="1"/>
                <c:pt idx="0">
                  <c:v>Poor</c:v>
                </c:pt>
              </c:strCache>
            </c:strRef>
          </c:tx>
          <c:spPr>
            <a:solidFill>
              <a:schemeClr val="accent4"/>
            </a:solidFill>
            <a:ln>
              <a:noFill/>
            </a:ln>
            <a:effectLst/>
          </c:spPr>
          <c:invertIfNegative val="0"/>
          <c:cat>
            <c:strRef>
              <c:f>'3. Exploratory Data Analysis'!$S$19:$S$21</c:f>
              <c:strCache>
                <c:ptCount val="2"/>
                <c:pt idx="0">
                  <c:v>TRUE</c:v>
                </c:pt>
                <c:pt idx="1">
                  <c:v>FALSE</c:v>
                </c:pt>
              </c:strCache>
            </c:strRef>
          </c:cat>
          <c:val>
            <c:numRef>
              <c:f>'3. Exploratory Data Analysis'!$W$19:$W$21</c:f>
              <c:numCache>
                <c:formatCode>0.00%</c:formatCode>
                <c:ptCount val="2"/>
                <c:pt idx="0">
                  <c:v>0.19883040935672514</c:v>
                </c:pt>
                <c:pt idx="1">
                  <c:v>0.22485207100591717</c:v>
                </c:pt>
              </c:numCache>
            </c:numRef>
          </c:val>
          <c:extLst>
            <c:ext xmlns:c16="http://schemas.microsoft.com/office/drawing/2014/chart" uri="{C3380CC4-5D6E-409C-BE32-E72D297353CC}">
              <c16:uniqueId val="{00000001-919B-426B-8D4F-20E885AA8E26}"/>
            </c:ext>
          </c:extLst>
        </c:ser>
        <c:dLbls>
          <c:showLegendKey val="0"/>
          <c:showVal val="0"/>
          <c:showCatName val="0"/>
          <c:showSerName val="0"/>
          <c:showPercent val="0"/>
          <c:showBubbleSize val="0"/>
        </c:dLbls>
        <c:gapWidth val="150"/>
        <c:overlap val="100"/>
        <c:axId val="789579951"/>
        <c:axId val="789573711"/>
      </c:barChart>
      <c:catAx>
        <c:axId val="78957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573711"/>
        <c:crosses val="autoZero"/>
        <c:auto val="1"/>
        <c:lblAlgn val="ctr"/>
        <c:lblOffset val="100"/>
        <c:noMultiLvlLbl val="0"/>
      </c:catAx>
      <c:valAx>
        <c:axId val="789573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57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[Employee_Portofolio.xlsx]3. Exploratory Data Analysis!PivotTable5</c:name>
    <c:fmtId val="11"/>
  </c:pivotSource>
  <c:chart>
    <c:autoTitleDeleted val="0"/>
    <c:pivotFmts>
      <c:pivotFmt>
        <c:idx val="0"/>
        <c:spPr>
          <a:solidFill>
            <a:srgbClr val="3247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57B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99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5BA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Exploratory Data Analysis'!$AB$17:$AB$18</c:f>
              <c:strCache>
                <c:ptCount val="1"/>
                <c:pt idx="0">
                  <c:v>25</c:v>
                </c:pt>
              </c:strCache>
            </c:strRef>
          </c:tx>
          <c:spPr>
            <a:solidFill>
              <a:srgbClr val="32475C"/>
            </a:solidFill>
            <a:ln>
              <a:noFill/>
            </a:ln>
            <a:effectLst/>
          </c:spPr>
          <c:invertIfNegative val="0"/>
          <c:cat>
            <c:strRef>
              <c:f>'3. Exploratory Data Analysis'!$AA$19:$AA$23</c:f>
              <c:strCache>
                <c:ptCount val="4"/>
                <c:pt idx="0">
                  <c:v>Excellent</c:v>
                </c:pt>
                <c:pt idx="1">
                  <c:v>Good</c:v>
                </c:pt>
                <c:pt idx="2">
                  <c:v>Average</c:v>
                </c:pt>
                <c:pt idx="3">
                  <c:v>Poor</c:v>
                </c:pt>
              </c:strCache>
            </c:strRef>
          </c:cat>
          <c:val>
            <c:numRef>
              <c:f>'3. Exploratory Data Analysis'!$AB$19:$AB$23</c:f>
              <c:numCache>
                <c:formatCode>General</c:formatCode>
                <c:ptCount val="4"/>
                <c:pt idx="0">
                  <c:v>55</c:v>
                </c:pt>
                <c:pt idx="1">
                  <c:v>54</c:v>
                </c:pt>
                <c:pt idx="2">
                  <c:v>50</c:v>
                </c:pt>
                <c:pt idx="3">
                  <c:v>47</c:v>
                </c:pt>
              </c:numCache>
            </c:numRef>
          </c:val>
          <c:extLst>
            <c:ext xmlns:c16="http://schemas.microsoft.com/office/drawing/2014/chart" uri="{C3380CC4-5D6E-409C-BE32-E72D297353CC}">
              <c16:uniqueId val="{00000000-8D21-48E9-A887-104B314E35F0}"/>
            </c:ext>
          </c:extLst>
        </c:ser>
        <c:ser>
          <c:idx val="1"/>
          <c:order val="1"/>
          <c:tx>
            <c:strRef>
              <c:f>'3. Exploratory Data Analysis'!$AC$17:$AC$18</c:f>
              <c:strCache>
                <c:ptCount val="1"/>
                <c:pt idx="0">
                  <c:v>30</c:v>
                </c:pt>
              </c:strCache>
            </c:strRef>
          </c:tx>
          <c:spPr>
            <a:solidFill>
              <a:srgbClr val="557BA1"/>
            </a:solidFill>
            <a:ln>
              <a:noFill/>
            </a:ln>
            <a:effectLst/>
          </c:spPr>
          <c:invertIfNegative val="0"/>
          <c:cat>
            <c:strRef>
              <c:f>'3. Exploratory Data Analysis'!$AA$19:$AA$23</c:f>
              <c:strCache>
                <c:ptCount val="4"/>
                <c:pt idx="0">
                  <c:v>Excellent</c:v>
                </c:pt>
                <c:pt idx="1">
                  <c:v>Good</c:v>
                </c:pt>
                <c:pt idx="2">
                  <c:v>Average</c:v>
                </c:pt>
                <c:pt idx="3">
                  <c:v>Poor</c:v>
                </c:pt>
              </c:strCache>
            </c:strRef>
          </c:cat>
          <c:val>
            <c:numRef>
              <c:f>'3. Exploratory Data Analysis'!$AC$19:$AC$23</c:f>
              <c:numCache>
                <c:formatCode>General</c:formatCode>
                <c:ptCount val="4"/>
                <c:pt idx="0">
                  <c:v>120</c:v>
                </c:pt>
                <c:pt idx="1">
                  <c:v>102</c:v>
                </c:pt>
                <c:pt idx="2">
                  <c:v>110</c:v>
                </c:pt>
                <c:pt idx="3">
                  <c:v>84</c:v>
                </c:pt>
              </c:numCache>
            </c:numRef>
          </c:val>
          <c:extLst>
            <c:ext xmlns:c16="http://schemas.microsoft.com/office/drawing/2014/chart" uri="{C3380CC4-5D6E-409C-BE32-E72D297353CC}">
              <c16:uniqueId val="{00000001-8D21-48E9-A887-104B314E35F0}"/>
            </c:ext>
          </c:extLst>
        </c:ser>
        <c:ser>
          <c:idx val="2"/>
          <c:order val="2"/>
          <c:tx>
            <c:strRef>
              <c:f>'3. Exploratory Data Analysis'!$AD$17:$AD$18</c:f>
              <c:strCache>
                <c:ptCount val="1"/>
                <c:pt idx="0">
                  <c:v>35</c:v>
                </c:pt>
              </c:strCache>
            </c:strRef>
          </c:tx>
          <c:spPr>
            <a:solidFill>
              <a:srgbClr val="7A99B8"/>
            </a:solidFill>
            <a:ln>
              <a:noFill/>
            </a:ln>
            <a:effectLst/>
          </c:spPr>
          <c:invertIfNegative val="0"/>
          <c:cat>
            <c:strRef>
              <c:f>'3. Exploratory Data Analysis'!$AA$19:$AA$23</c:f>
              <c:strCache>
                <c:ptCount val="4"/>
                <c:pt idx="0">
                  <c:v>Excellent</c:v>
                </c:pt>
                <c:pt idx="1">
                  <c:v>Good</c:v>
                </c:pt>
                <c:pt idx="2">
                  <c:v>Average</c:v>
                </c:pt>
                <c:pt idx="3">
                  <c:v>Poor</c:v>
                </c:pt>
              </c:strCache>
            </c:strRef>
          </c:cat>
          <c:val>
            <c:numRef>
              <c:f>'3. Exploratory Data Analysis'!$AD$19:$AD$23</c:f>
              <c:numCache>
                <c:formatCode>General</c:formatCode>
                <c:ptCount val="4"/>
                <c:pt idx="0">
                  <c:v>48</c:v>
                </c:pt>
                <c:pt idx="1">
                  <c:v>46</c:v>
                </c:pt>
                <c:pt idx="2">
                  <c:v>52</c:v>
                </c:pt>
                <c:pt idx="3">
                  <c:v>42</c:v>
                </c:pt>
              </c:numCache>
            </c:numRef>
          </c:val>
          <c:extLst>
            <c:ext xmlns:c16="http://schemas.microsoft.com/office/drawing/2014/chart" uri="{C3380CC4-5D6E-409C-BE32-E72D297353CC}">
              <c16:uniqueId val="{00000002-8D21-48E9-A887-104B314E35F0}"/>
            </c:ext>
          </c:extLst>
        </c:ser>
        <c:ser>
          <c:idx val="3"/>
          <c:order val="3"/>
          <c:tx>
            <c:strRef>
              <c:f>'3. Exploratory Data Analysis'!$AE$17:$AE$18</c:f>
              <c:strCache>
                <c:ptCount val="1"/>
                <c:pt idx="0">
                  <c:v>40</c:v>
                </c:pt>
              </c:strCache>
            </c:strRef>
          </c:tx>
          <c:spPr>
            <a:solidFill>
              <a:srgbClr val="A5BACF"/>
            </a:solidFill>
            <a:ln>
              <a:noFill/>
            </a:ln>
            <a:effectLst/>
          </c:spPr>
          <c:invertIfNegative val="0"/>
          <c:cat>
            <c:strRef>
              <c:f>'3. Exploratory Data Analysis'!$AA$19:$AA$23</c:f>
              <c:strCache>
                <c:ptCount val="4"/>
                <c:pt idx="0">
                  <c:v>Excellent</c:v>
                </c:pt>
                <c:pt idx="1">
                  <c:v>Good</c:v>
                </c:pt>
                <c:pt idx="2">
                  <c:v>Average</c:v>
                </c:pt>
                <c:pt idx="3">
                  <c:v>Poor</c:v>
                </c:pt>
              </c:strCache>
            </c:strRef>
          </c:cat>
          <c:val>
            <c:numRef>
              <c:f>'3. Exploratory Data Analysis'!$AE$19:$AE$23</c:f>
              <c:numCache>
                <c:formatCode>General</c:formatCode>
                <c:ptCount val="4"/>
                <c:pt idx="0">
                  <c:v>44</c:v>
                </c:pt>
                <c:pt idx="1">
                  <c:v>68</c:v>
                </c:pt>
                <c:pt idx="2">
                  <c:v>55</c:v>
                </c:pt>
                <c:pt idx="3">
                  <c:v>43</c:v>
                </c:pt>
              </c:numCache>
            </c:numRef>
          </c:val>
          <c:extLst>
            <c:ext xmlns:c16="http://schemas.microsoft.com/office/drawing/2014/chart" uri="{C3380CC4-5D6E-409C-BE32-E72D297353CC}">
              <c16:uniqueId val="{00000001-2561-43E6-9155-86F76E1CBF1C}"/>
            </c:ext>
          </c:extLst>
        </c:ser>
        <c:dLbls>
          <c:showLegendKey val="0"/>
          <c:showVal val="0"/>
          <c:showCatName val="0"/>
          <c:showSerName val="0"/>
          <c:showPercent val="0"/>
          <c:showBubbleSize val="0"/>
        </c:dLbls>
        <c:gapWidth val="219"/>
        <c:overlap val="-27"/>
        <c:axId val="787795375"/>
        <c:axId val="787798255"/>
      </c:barChart>
      <c:catAx>
        <c:axId val="78779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98255"/>
        <c:crosses val="autoZero"/>
        <c:auto val="1"/>
        <c:lblAlgn val="ctr"/>
        <c:lblOffset val="100"/>
        <c:noMultiLvlLbl val="0"/>
      </c:catAx>
      <c:valAx>
        <c:axId val="78779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9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181428</xdr:rowOff>
    </xdr:from>
    <xdr:to>
      <xdr:col>26</xdr:col>
      <xdr:colOff>0</xdr:colOff>
      <xdr:row>8</xdr:row>
      <xdr:rowOff>0</xdr:rowOff>
    </xdr:to>
    <xdr:sp macro="" textlink="">
      <xdr:nvSpPr>
        <xdr:cNvPr id="2" name="Rectangle: Rounded Corners 1">
          <a:extLst>
            <a:ext uri="{FF2B5EF4-FFF2-40B4-BE49-F238E27FC236}">
              <a16:creationId xmlns:a16="http://schemas.microsoft.com/office/drawing/2014/main" id="{5B1D3D8D-D268-46BD-BDC1-48D6BC59D8C7}"/>
            </a:ext>
          </a:extLst>
        </xdr:cNvPr>
        <xdr:cNvSpPr/>
      </xdr:nvSpPr>
      <xdr:spPr>
        <a:xfrm>
          <a:off x="876300" y="378278"/>
          <a:ext cx="15849600" cy="1196522"/>
        </a:xfrm>
        <a:prstGeom prst="roundRect">
          <a:avLst/>
        </a:prstGeom>
        <a:solidFill>
          <a:srgbClr val="51121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181429</xdr:colOff>
      <xdr:row>3</xdr:row>
      <xdr:rowOff>49636</xdr:rowOff>
    </xdr:from>
    <xdr:to>
      <xdr:col>18</xdr:col>
      <xdr:colOff>622041</xdr:colOff>
      <xdr:row>6</xdr:row>
      <xdr:rowOff>49636</xdr:rowOff>
    </xdr:to>
    <xdr:sp macro="" textlink="">
      <xdr:nvSpPr>
        <xdr:cNvPr id="3" name="TextBox 2">
          <a:extLst>
            <a:ext uri="{FF2B5EF4-FFF2-40B4-BE49-F238E27FC236}">
              <a16:creationId xmlns:a16="http://schemas.microsoft.com/office/drawing/2014/main" id="{88E51B1D-2F1B-4504-8EC3-7B527B31BEB8}"/>
            </a:ext>
          </a:extLst>
        </xdr:cNvPr>
        <xdr:cNvSpPr txBox="1"/>
      </xdr:nvSpPr>
      <xdr:spPr>
        <a:xfrm>
          <a:off x="1499354" y="624730"/>
          <a:ext cx="10984008" cy="575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3200">
              <a:solidFill>
                <a:schemeClr val="bg1"/>
              </a:solidFill>
              <a:latin typeface="Kermit Condensed" panose="020F0503040000060003" pitchFamily="34" charset="0"/>
            </a:rPr>
            <a:t>HUMAN RESOURCES PERFORMANCE &amp; SALARY DASHBOARD</a:t>
          </a:r>
        </a:p>
      </xdr:txBody>
    </xdr:sp>
    <xdr:clientData/>
  </xdr:twoCellAnchor>
  <xdr:twoCellAnchor>
    <xdr:from>
      <xdr:col>2</xdr:col>
      <xdr:colOff>0</xdr:colOff>
      <xdr:row>9</xdr:row>
      <xdr:rowOff>14854</xdr:rowOff>
    </xdr:from>
    <xdr:to>
      <xdr:col>6</xdr:col>
      <xdr:colOff>180561</xdr:colOff>
      <xdr:row>13</xdr:row>
      <xdr:rowOff>15116</xdr:rowOff>
    </xdr:to>
    <xdr:sp macro="" textlink="">
      <xdr:nvSpPr>
        <xdr:cNvPr id="4" name="Rectangle 3">
          <a:extLst>
            <a:ext uri="{FF2B5EF4-FFF2-40B4-BE49-F238E27FC236}">
              <a16:creationId xmlns:a16="http://schemas.microsoft.com/office/drawing/2014/main" id="{8FC44CDD-28F8-45AA-9902-683E1885A193}"/>
            </a:ext>
          </a:extLst>
        </xdr:cNvPr>
        <xdr:cNvSpPr/>
      </xdr:nvSpPr>
      <xdr:spPr>
        <a:xfrm>
          <a:off x="876300" y="1786504"/>
          <a:ext cx="2822161" cy="863862"/>
        </a:xfrm>
        <a:prstGeom prst="rect">
          <a:avLst/>
        </a:prstGeom>
        <a:solidFill>
          <a:srgbClr val="7A99B8"/>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321732</xdr:colOff>
      <xdr:row>9</xdr:row>
      <xdr:rowOff>14854</xdr:rowOff>
    </xdr:from>
    <xdr:to>
      <xdr:col>10</xdr:col>
      <xdr:colOff>502294</xdr:colOff>
      <xdr:row>13</xdr:row>
      <xdr:rowOff>6852</xdr:rowOff>
    </xdr:to>
    <xdr:sp macro="" textlink="">
      <xdr:nvSpPr>
        <xdr:cNvPr id="5" name="Rectangle 4">
          <a:extLst>
            <a:ext uri="{FF2B5EF4-FFF2-40B4-BE49-F238E27FC236}">
              <a16:creationId xmlns:a16="http://schemas.microsoft.com/office/drawing/2014/main" id="{DFD40114-9114-459C-A876-5AEA58454B27}"/>
            </a:ext>
          </a:extLst>
        </xdr:cNvPr>
        <xdr:cNvSpPr/>
      </xdr:nvSpPr>
      <xdr:spPr>
        <a:xfrm>
          <a:off x="3839632" y="1786504"/>
          <a:ext cx="2822162" cy="855598"/>
        </a:xfrm>
        <a:prstGeom prst="rect">
          <a:avLst/>
        </a:prstGeom>
        <a:solidFill>
          <a:srgbClr val="7A99B8"/>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643465</xdr:colOff>
      <xdr:row>9</xdr:row>
      <xdr:rowOff>14854</xdr:rowOff>
    </xdr:from>
    <xdr:to>
      <xdr:col>15</xdr:col>
      <xdr:colOff>161418</xdr:colOff>
      <xdr:row>13</xdr:row>
      <xdr:rowOff>6852</xdr:rowOff>
    </xdr:to>
    <xdr:sp macro="" textlink="">
      <xdr:nvSpPr>
        <xdr:cNvPr id="6" name="Rectangle 5">
          <a:extLst>
            <a:ext uri="{FF2B5EF4-FFF2-40B4-BE49-F238E27FC236}">
              <a16:creationId xmlns:a16="http://schemas.microsoft.com/office/drawing/2014/main" id="{9811FD79-7F45-4842-A3C0-B52AD4570916}"/>
            </a:ext>
          </a:extLst>
        </xdr:cNvPr>
        <xdr:cNvSpPr/>
      </xdr:nvSpPr>
      <xdr:spPr>
        <a:xfrm>
          <a:off x="6802965" y="1786504"/>
          <a:ext cx="2819953" cy="855598"/>
        </a:xfrm>
        <a:prstGeom prst="rect">
          <a:avLst/>
        </a:prstGeom>
        <a:solidFill>
          <a:srgbClr val="7A99B8"/>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15</xdr:col>
      <xdr:colOff>302589</xdr:colOff>
      <xdr:row>9</xdr:row>
      <xdr:rowOff>14854</xdr:rowOff>
    </xdr:from>
    <xdr:to>
      <xdr:col>19</xdr:col>
      <xdr:colOff>483151</xdr:colOff>
      <xdr:row>13</xdr:row>
      <xdr:rowOff>6852</xdr:rowOff>
    </xdr:to>
    <xdr:sp macro="" textlink="">
      <xdr:nvSpPr>
        <xdr:cNvPr id="7" name="Rectangle 6">
          <a:extLst>
            <a:ext uri="{FF2B5EF4-FFF2-40B4-BE49-F238E27FC236}">
              <a16:creationId xmlns:a16="http://schemas.microsoft.com/office/drawing/2014/main" id="{3B7DF08E-F9C8-4C7A-A888-68D6AE01337C}"/>
            </a:ext>
          </a:extLst>
        </xdr:cNvPr>
        <xdr:cNvSpPr/>
      </xdr:nvSpPr>
      <xdr:spPr>
        <a:xfrm>
          <a:off x="9764089" y="1786504"/>
          <a:ext cx="2822162" cy="855598"/>
        </a:xfrm>
        <a:prstGeom prst="rect">
          <a:avLst/>
        </a:prstGeom>
        <a:solidFill>
          <a:srgbClr val="7A99B8"/>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10131</xdr:colOff>
      <xdr:row>13</xdr:row>
      <xdr:rowOff>142832</xdr:rowOff>
    </xdr:from>
    <xdr:to>
      <xdr:col>10</xdr:col>
      <xdr:colOff>485947</xdr:colOff>
      <xdr:row>27</xdr:row>
      <xdr:rowOff>117593</xdr:rowOff>
    </xdr:to>
    <xdr:sp macro="" textlink="">
      <xdr:nvSpPr>
        <xdr:cNvPr id="8" name="Rectangle 7">
          <a:extLst>
            <a:ext uri="{FF2B5EF4-FFF2-40B4-BE49-F238E27FC236}">
              <a16:creationId xmlns:a16="http://schemas.microsoft.com/office/drawing/2014/main" id="{C382E191-5186-44EA-9E29-FDC676FC3248}"/>
            </a:ext>
          </a:extLst>
        </xdr:cNvPr>
        <xdr:cNvSpPr/>
      </xdr:nvSpPr>
      <xdr:spPr>
        <a:xfrm>
          <a:off x="886431" y="2778082"/>
          <a:ext cx="5759016" cy="2825911"/>
        </a:xfrm>
        <a:prstGeom prst="rect">
          <a:avLst/>
        </a:prstGeom>
        <a:solidFill>
          <a:sysClr val="window" lastClr="FFFFFF"/>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13590</xdr:colOff>
      <xdr:row>13</xdr:row>
      <xdr:rowOff>142832</xdr:rowOff>
    </xdr:from>
    <xdr:to>
      <xdr:col>19</xdr:col>
      <xdr:colOff>489406</xdr:colOff>
      <xdr:row>27</xdr:row>
      <xdr:rowOff>117593</xdr:rowOff>
    </xdr:to>
    <xdr:sp macro="" textlink="">
      <xdr:nvSpPr>
        <xdr:cNvPr id="9" name="Rectangle 8">
          <a:extLst>
            <a:ext uri="{FF2B5EF4-FFF2-40B4-BE49-F238E27FC236}">
              <a16:creationId xmlns:a16="http://schemas.microsoft.com/office/drawing/2014/main" id="{D4D310B3-5A61-4B25-A9CB-3FAEB9DD1F13}"/>
            </a:ext>
          </a:extLst>
        </xdr:cNvPr>
        <xdr:cNvSpPr/>
      </xdr:nvSpPr>
      <xdr:spPr>
        <a:xfrm>
          <a:off x="6833490" y="2778082"/>
          <a:ext cx="5759016" cy="2825911"/>
        </a:xfrm>
        <a:prstGeom prst="rect">
          <a:avLst/>
        </a:prstGeom>
        <a:solidFill>
          <a:sysClr val="window" lastClr="FFFFFF"/>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10132</xdr:colOff>
      <xdr:row>28</xdr:row>
      <xdr:rowOff>70658</xdr:rowOff>
    </xdr:from>
    <xdr:to>
      <xdr:col>7</xdr:col>
      <xdr:colOff>530208</xdr:colOff>
      <xdr:row>48</xdr:row>
      <xdr:rowOff>185911</xdr:rowOff>
    </xdr:to>
    <xdr:sp macro="" textlink="">
      <xdr:nvSpPr>
        <xdr:cNvPr id="10" name="Rectangle 9">
          <a:extLst>
            <a:ext uri="{FF2B5EF4-FFF2-40B4-BE49-F238E27FC236}">
              <a16:creationId xmlns:a16="http://schemas.microsoft.com/office/drawing/2014/main" id="{684FBCD2-88BA-4260-A827-CFC501365F24}"/>
            </a:ext>
          </a:extLst>
        </xdr:cNvPr>
        <xdr:cNvSpPr/>
      </xdr:nvSpPr>
      <xdr:spPr>
        <a:xfrm>
          <a:off x="886432" y="5753908"/>
          <a:ext cx="3822076" cy="4052253"/>
        </a:xfrm>
        <a:prstGeom prst="rect">
          <a:avLst/>
        </a:prstGeom>
        <a:solidFill>
          <a:sysClr val="window" lastClr="FFFFFF"/>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654171</xdr:colOff>
      <xdr:row>28</xdr:row>
      <xdr:rowOff>70659</xdr:rowOff>
    </xdr:from>
    <xdr:to>
      <xdr:col>13</xdr:col>
      <xdr:colOff>511106</xdr:colOff>
      <xdr:row>48</xdr:row>
      <xdr:rowOff>179638</xdr:rowOff>
    </xdr:to>
    <xdr:sp macro="" textlink="">
      <xdr:nvSpPr>
        <xdr:cNvPr id="11" name="Rectangle 10">
          <a:extLst>
            <a:ext uri="{FF2B5EF4-FFF2-40B4-BE49-F238E27FC236}">
              <a16:creationId xmlns:a16="http://schemas.microsoft.com/office/drawing/2014/main" id="{035138E2-DFB2-4DD0-8646-641263B4E6CB}"/>
            </a:ext>
          </a:extLst>
        </xdr:cNvPr>
        <xdr:cNvSpPr/>
      </xdr:nvSpPr>
      <xdr:spPr>
        <a:xfrm>
          <a:off x="4832471" y="5753909"/>
          <a:ext cx="3819335" cy="4045979"/>
        </a:xfrm>
        <a:prstGeom prst="rect">
          <a:avLst/>
        </a:prstGeom>
        <a:solidFill>
          <a:sysClr val="window" lastClr="FFFFFF"/>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635070</xdr:colOff>
      <xdr:row>28</xdr:row>
      <xdr:rowOff>70659</xdr:rowOff>
    </xdr:from>
    <xdr:to>
      <xdr:col>19</xdr:col>
      <xdr:colOff>489406</xdr:colOff>
      <xdr:row>48</xdr:row>
      <xdr:rowOff>177485</xdr:rowOff>
    </xdr:to>
    <xdr:sp macro="" textlink="">
      <xdr:nvSpPr>
        <xdr:cNvPr id="12" name="Rectangle 11">
          <a:extLst>
            <a:ext uri="{FF2B5EF4-FFF2-40B4-BE49-F238E27FC236}">
              <a16:creationId xmlns:a16="http://schemas.microsoft.com/office/drawing/2014/main" id="{7A09816F-0FDC-456C-A353-44048DAB7B55}"/>
            </a:ext>
          </a:extLst>
        </xdr:cNvPr>
        <xdr:cNvSpPr/>
      </xdr:nvSpPr>
      <xdr:spPr>
        <a:xfrm>
          <a:off x="8775770" y="5753909"/>
          <a:ext cx="3816736" cy="4043826"/>
        </a:xfrm>
        <a:prstGeom prst="rect">
          <a:avLst/>
        </a:prstGeom>
        <a:solidFill>
          <a:sysClr val="window" lastClr="FFFFFF"/>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21487</xdr:colOff>
      <xdr:row>23</xdr:row>
      <xdr:rowOff>176865</xdr:rowOff>
    </xdr:from>
    <xdr:to>
      <xdr:col>25</xdr:col>
      <xdr:colOff>647574</xdr:colOff>
      <xdr:row>49</xdr:row>
      <xdr:rowOff>147134</xdr:rowOff>
    </xdr:to>
    <xdr:grpSp>
      <xdr:nvGrpSpPr>
        <xdr:cNvPr id="18" name="Group 17">
          <a:extLst>
            <a:ext uri="{FF2B5EF4-FFF2-40B4-BE49-F238E27FC236}">
              <a16:creationId xmlns:a16="http://schemas.microsoft.com/office/drawing/2014/main" id="{BC90581C-DA81-4E1D-B0C5-F0C0774E25E7}"/>
            </a:ext>
          </a:extLst>
        </xdr:cNvPr>
        <xdr:cNvGrpSpPr/>
      </xdr:nvGrpSpPr>
      <xdr:grpSpPr>
        <a:xfrm>
          <a:off x="12810387" y="4799665"/>
          <a:ext cx="3928087" cy="5088369"/>
          <a:chOff x="27003417" y="5028244"/>
          <a:chExt cx="3940341" cy="4737380"/>
        </a:xfrm>
      </xdr:grpSpPr>
      <xdr:sp macro="" textlink="">
        <xdr:nvSpPr>
          <xdr:cNvPr id="19" name="Rectangle 18">
            <a:extLst>
              <a:ext uri="{FF2B5EF4-FFF2-40B4-BE49-F238E27FC236}">
                <a16:creationId xmlns:a16="http://schemas.microsoft.com/office/drawing/2014/main" id="{DEF2A75B-5C9C-297E-8883-99170C57E483}"/>
              </a:ext>
            </a:extLst>
          </xdr:cNvPr>
          <xdr:cNvSpPr/>
        </xdr:nvSpPr>
        <xdr:spPr>
          <a:xfrm>
            <a:off x="27003417" y="5038897"/>
            <a:ext cx="3940341" cy="4580535"/>
          </a:xfrm>
          <a:prstGeom prst="rect">
            <a:avLst/>
          </a:prstGeom>
          <a:solidFill>
            <a:srgbClr val="F8E0E3"/>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0" name="TextBox 19">
            <a:extLst>
              <a:ext uri="{FF2B5EF4-FFF2-40B4-BE49-F238E27FC236}">
                <a16:creationId xmlns:a16="http://schemas.microsoft.com/office/drawing/2014/main" id="{91093472-B790-8A77-8D90-1647C76470A7}"/>
              </a:ext>
            </a:extLst>
          </xdr:cNvPr>
          <xdr:cNvSpPr txBox="1"/>
        </xdr:nvSpPr>
        <xdr:spPr>
          <a:xfrm>
            <a:off x="27032248" y="5028244"/>
            <a:ext cx="3898936" cy="4737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b="1">
                <a:solidFill>
                  <a:sysClr val="windowText" lastClr="000000"/>
                </a:solidFill>
                <a:latin typeface="Kermit Condensed" panose="020F0503040000060003" pitchFamily="34" charset="0"/>
                <a:cs typeface="Times New Roman" panose="02020603050405020304" pitchFamily="18" charset="0"/>
              </a:rPr>
              <a:t>INSIGHTS</a:t>
            </a:r>
            <a:endParaRPr lang="id-ID" sz="1200" b="1">
              <a:solidFill>
                <a:sysClr val="windowText" lastClr="000000"/>
              </a:solidFill>
              <a:latin typeface="Kermit Condensed" panose="020F0503040000060003" pitchFamily="34" charset="0"/>
              <a:cs typeface="Times New Roman" panose="02020603050405020304" pitchFamily="18" charset="0"/>
            </a:endParaRPr>
          </a:p>
          <a:p>
            <a:pPr algn="l"/>
            <a:r>
              <a:rPr lang="id-ID" sz="1050" b="1">
                <a:solidFill>
                  <a:sysClr val="windowText" lastClr="000000"/>
                </a:solidFill>
                <a:latin typeface="Kermit Condensed" panose="020F0503040000060003" pitchFamily="34" charset="0"/>
                <a:cs typeface="Times New Roman" panose="02020603050405020304" pitchFamily="18" charset="0"/>
              </a:rPr>
              <a:t>Insight 1: Analisis Jumlah Karyawan &amp; Tren Rekrutmen</a:t>
            </a:r>
            <a:br>
              <a:rPr lang="id-ID" sz="1050" b="1">
                <a:solidFill>
                  <a:sysClr val="windowText" lastClr="000000"/>
                </a:solidFill>
                <a:latin typeface="Kermit Condensed" panose="020F0503040000060003" pitchFamily="34" charset="0"/>
                <a:cs typeface="Times New Roman" panose="02020603050405020304" pitchFamily="18" charset="0"/>
              </a:rPr>
            </a:br>
            <a:r>
              <a:rPr lang="id-ID" sz="1050" b="0">
                <a:solidFill>
                  <a:sysClr val="windowText" lastClr="000000"/>
                </a:solidFill>
                <a:latin typeface="Kermit Condensed" panose="020F0503040000060003" pitchFamily="34" charset="0"/>
                <a:cs typeface="Times New Roman" panose="02020603050405020304" pitchFamily="18" charset="0"/>
              </a:rPr>
              <a:t>Perusahaan memiliki total 1.020 karyawan di mana departemen DevOps menjadi bagian dengan staf terbanyak yaitu 189 orang. Tren rekrutmen tahunan mencetak angka tertinggi pada tahun 2023 dengan penambahan 228 karyawan baru sebelum sedikit menurun di tahun berikutnya.</a:t>
            </a:r>
          </a:p>
          <a:p>
            <a:pPr algn="l"/>
            <a:r>
              <a:rPr lang="id-ID" sz="1050" b="1">
                <a:solidFill>
                  <a:sysClr val="windowText" lastClr="000000"/>
                </a:solidFill>
                <a:latin typeface="Kermit Condensed" panose="020F0503040000060003" pitchFamily="34" charset="0"/>
                <a:cs typeface="Times New Roman" panose="02020603050405020304" pitchFamily="18" charset="0"/>
              </a:rPr>
              <a:t>Insight 2: Analisis Anggaran Gaji &amp; Alokasi Departemen</a:t>
            </a:r>
            <a:br>
              <a:rPr lang="id-ID" sz="1050" b="1">
                <a:solidFill>
                  <a:sysClr val="windowText" lastClr="000000"/>
                </a:solidFill>
                <a:latin typeface="Kermit Condensed" panose="020F0503040000060003" pitchFamily="34" charset="0"/>
                <a:cs typeface="Times New Roman" panose="02020603050405020304" pitchFamily="18" charset="0"/>
              </a:rPr>
            </a:br>
            <a:r>
              <a:rPr lang="id-ID" sz="1050" b="0">
                <a:solidFill>
                  <a:sysClr val="windowText" lastClr="000000"/>
                </a:solidFill>
                <a:latin typeface="Kermit Condensed" panose="020F0503040000060003" pitchFamily="34" charset="0"/>
                <a:cs typeface="Times New Roman" panose="02020603050405020304" pitchFamily="18" charset="0"/>
              </a:rPr>
              <a:t>Total anggaran pengeluaran gaji perusahaan mencapai $84,8 Juta dengan alokasi terbesar berada di departemen Sales karena memiliki rata-rata gaji tertinggi ($86,8 Ribu/tahun). Tingginya anggaran Sales ini sebanding dengan performa, karena departemen tersebut mendominasi kontribusi nilai kerja terbaik di perusahaan.</a:t>
            </a:r>
          </a:p>
          <a:p>
            <a:pPr algn="l"/>
            <a:r>
              <a:rPr lang="id-ID" sz="1050" b="1">
                <a:solidFill>
                  <a:sysClr val="windowText" lastClr="000000"/>
                </a:solidFill>
                <a:latin typeface="Kermit Condensed" panose="020F0503040000060003" pitchFamily="34" charset="0"/>
                <a:cs typeface="Times New Roman" panose="02020603050405020304" pitchFamily="18" charset="0"/>
              </a:rPr>
              <a:t>Insight 3: Pengaruh Kerja Jarak Jauh (Remote Work) terhadap Nilai Kerja</a:t>
            </a:r>
            <a:br>
              <a:rPr lang="id-ID" sz="1050" b="1">
                <a:solidFill>
                  <a:sysClr val="windowText" lastClr="000000"/>
                </a:solidFill>
                <a:latin typeface="Kermit Condensed" panose="020F0503040000060003" pitchFamily="34" charset="0"/>
                <a:cs typeface="Times New Roman" panose="02020603050405020304" pitchFamily="18" charset="0"/>
              </a:rPr>
            </a:br>
            <a:r>
              <a:rPr lang="id-ID" sz="1050" b="0">
                <a:solidFill>
                  <a:sysClr val="windowText" lastClr="000000"/>
                </a:solidFill>
                <a:latin typeface="Kermit Condensed" panose="020F0503040000060003" pitchFamily="34" charset="0"/>
                <a:cs typeface="Times New Roman" panose="02020603050405020304" pitchFamily="18" charset="0"/>
              </a:rPr>
              <a:t>Kebijakan kerja dari rumah terbukti tidak menurunkan produktivitas talenta di perusahaan. Karyawan yang bekerja jarak jauh (TRUE) justru mencetak persentase nilai kerja Excellent tertinggi sebesar 25,54% dibandingkan karyawan kantoran biasa.</a:t>
            </a:r>
          </a:p>
          <a:p>
            <a:pPr algn="l"/>
            <a:r>
              <a:rPr lang="id-ID" sz="1050" b="1">
                <a:solidFill>
                  <a:sysClr val="windowText" lastClr="000000"/>
                </a:solidFill>
                <a:latin typeface="Kermit Condensed" panose="020F0503040000060003" pitchFamily="34" charset="0"/>
                <a:cs typeface="Times New Roman" panose="02020603050405020304" pitchFamily="18" charset="0"/>
              </a:rPr>
              <a:t>Insight 4: Pola Demografi Usia terhadap Tingkat Produktivitas</a:t>
            </a:r>
            <a:br>
              <a:rPr lang="id-ID" sz="1050" b="1">
                <a:solidFill>
                  <a:sysClr val="windowText" lastClr="000000"/>
                </a:solidFill>
                <a:latin typeface="Kermit Condensed" panose="020F0503040000060003" pitchFamily="34" charset="0"/>
                <a:cs typeface="Times New Roman" panose="02020603050405020304" pitchFamily="18" charset="0"/>
              </a:rPr>
            </a:br>
            <a:r>
              <a:rPr lang="id-ID" sz="1050" b="0">
                <a:solidFill>
                  <a:sysClr val="windowText" lastClr="000000"/>
                </a:solidFill>
                <a:latin typeface="Kermit Condensed" panose="020F0503040000060003" pitchFamily="34" charset="0"/>
                <a:cs typeface="Times New Roman" panose="02020603050405020304" pitchFamily="18" charset="0"/>
              </a:rPr>
              <a:t>Tingkat performa kerja terbaik di perusahaan sangat didominasi oleh kelompok karyawan muda. Karyawan di usia 30 tahun menjadi penyumbang nilai kerja tertinggi dengan total 120 orang meraih nilai Good dan 120 orang meraih nilai Excellent.</a:t>
            </a:r>
          </a:p>
        </xdr:txBody>
      </xdr:sp>
    </xdr:grpSp>
    <xdr:clientData/>
  </xdr:twoCellAnchor>
  <xdr:twoCellAnchor>
    <xdr:from>
      <xdr:col>20</xdr:col>
      <xdr:colOff>20650</xdr:colOff>
      <xdr:row>9</xdr:row>
      <xdr:rowOff>14759</xdr:rowOff>
    </xdr:from>
    <xdr:to>
      <xdr:col>25</xdr:col>
      <xdr:colOff>650536</xdr:colOff>
      <xdr:row>12</xdr:row>
      <xdr:rowOff>64304</xdr:rowOff>
    </xdr:to>
    <xdr:grpSp>
      <xdr:nvGrpSpPr>
        <xdr:cNvPr id="21" name="Group 20">
          <a:extLst>
            <a:ext uri="{FF2B5EF4-FFF2-40B4-BE49-F238E27FC236}">
              <a16:creationId xmlns:a16="http://schemas.microsoft.com/office/drawing/2014/main" id="{6C90238C-F684-40ED-AA8D-AA375DC7F97B}"/>
            </a:ext>
          </a:extLst>
        </xdr:cNvPr>
        <xdr:cNvGrpSpPr/>
      </xdr:nvGrpSpPr>
      <xdr:grpSpPr>
        <a:xfrm>
          <a:off x="12809550" y="1786409"/>
          <a:ext cx="3931886" cy="640095"/>
          <a:chOff x="27002580" y="1769364"/>
          <a:chExt cx="3944140" cy="712396"/>
        </a:xfrm>
      </xdr:grpSpPr>
      <xdr:sp macro="" textlink="">
        <xdr:nvSpPr>
          <xdr:cNvPr id="22" name="Rectangle 21">
            <a:extLst>
              <a:ext uri="{FF2B5EF4-FFF2-40B4-BE49-F238E27FC236}">
                <a16:creationId xmlns:a16="http://schemas.microsoft.com/office/drawing/2014/main" id="{D8440BE7-86F8-BB57-705C-BF5731E867D4}"/>
              </a:ext>
            </a:extLst>
          </xdr:cNvPr>
          <xdr:cNvSpPr/>
        </xdr:nvSpPr>
        <xdr:spPr>
          <a:xfrm>
            <a:off x="27002580" y="1769364"/>
            <a:ext cx="3944140" cy="712396"/>
          </a:xfrm>
          <a:prstGeom prst="rect">
            <a:avLst/>
          </a:prstGeom>
          <a:solidFill>
            <a:srgbClr val="7A99B8"/>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mc:AlternateContent xmlns:mc="http://schemas.openxmlformats.org/markup-compatibility/2006" xmlns:a14="http://schemas.microsoft.com/office/drawing/2010/main">
        <mc:Choice Requires="a14">
          <xdr:graphicFrame macro="">
            <xdr:nvGraphicFramePr>
              <xdr:cNvPr id="23" name="Status 4">
                <a:extLst>
                  <a:ext uri="{FF2B5EF4-FFF2-40B4-BE49-F238E27FC236}">
                    <a16:creationId xmlns:a16="http://schemas.microsoft.com/office/drawing/2014/main" id="{C8C59A4F-512C-7D57-F334-50BB9EFC0FDF}"/>
                  </a:ext>
                </a:extLst>
              </xdr:cNvPr>
              <xdr:cNvGraphicFramePr/>
            </xdr:nvGraphicFramePr>
            <xdr:xfrm>
              <a:off x="27020545" y="1782492"/>
              <a:ext cx="3910639" cy="688551"/>
            </xdr:xfrm>
            <a:graphic>
              <a:graphicData uri="http://schemas.microsoft.com/office/drawing/2010/slicer">
                <sle:slicer xmlns:sle="http://schemas.microsoft.com/office/drawing/2010/slicer" name="Status 4"/>
              </a:graphicData>
            </a:graphic>
          </xdr:graphicFrame>
        </mc:Choice>
        <mc:Fallback xmlns="">
          <xdr:sp macro="" textlink="">
            <xdr:nvSpPr>
              <xdr:cNvPr id="0" name=""/>
              <xdr:cNvSpPr>
                <a:spLocks noTextEdit="1"/>
              </xdr:cNvSpPr>
            </xdr:nvSpPr>
            <xdr:spPr>
              <a:xfrm>
                <a:off x="13217771" y="1751553"/>
                <a:ext cx="3891362" cy="6037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20650</xdr:colOff>
      <xdr:row>12</xdr:row>
      <xdr:rowOff>149903</xdr:rowOff>
    </xdr:from>
    <xdr:to>
      <xdr:col>25</xdr:col>
      <xdr:colOff>650536</xdr:colOff>
      <xdr:row>17</xdr:row>
      <xdr:rowOff>166477</xdr:rowOff>
    </xdr:to>
    <xdr:grpSp>
      <xdr:nvGrpSpPr>
        <xdr:cNvPr id="24" name="Group 23">
          <a:extLst>
            <a:ext uri="{FF2B5EF4-FFF2-40B4-BE49-F238E27FC236}">
              <a16:creationId xmlns:a16="http://schemas.microsoft.com/office/drawing/2014/main" id="{1E861524-BC80-4CAA-A84C-F06F3576C64A}"/>
            </a:ext>
          </a:extLst>
        </xdr:cNvPr>
        <xdr:cNvGrpSpPr/>
      </xdr:nvGrpSpPr>
      <xdr:grpSpPr>
        <a:xfrm>
          <a:off x="12809550" y="2512103"/>
          <a:ext cx="3931886" cy="1096074"/>
          <a:chOff x="27002580" y="2840299"/>
          <a:chExt cx="3944140" cy="991355"/>
        </a:xfrm>
      </xdr:grpSpPr>
      <xdr:sp macro="" textlink="">
        <xdr:nvSpPr>
          <xdr:cNvPr id="25" name="Rectangle 24">
            <a:extLst>
              <a:ext uri="{FF2B5EF4-FFF2-40B4-BE49-F238E27FC236}">
                <a16:creationId xmlns:a16="http://schemas.microsoft.com/office/drawing/2014/main" id="{6511AAD7-96AB-9157-1BE8-8E279782B002}"/>
              </a:ext>
            </a:extLst>
          </xdr:cNvPr>
          <xdr:cNvSpPr/>
        </xdr:nvSpPr>
        <xdr:spPr>
          <a:xfrm>
            <a:off x="27002580" y="2840299"/>
            <a:ext cx="3944140" cy="991355"/>
          </a:xfrm>
          <a:prstGeom prst="rect">
            <a:avLst/>
          </a:prstGeom>
          <a:solidFill>
            <a:srgbClr val="7A99B8"/>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mc:AlternateContent xmlns:mc="http://schemas.openxmlformats.org/markup-compatibility/2006" xmlns:a14="http://schemas.microsoft.com/office/drawing/2010/main">
        <mc:Choice Requires="a14">
          <xdr:graphicFrame macro="">
            <xdr:nvGraphicFramePr>
              <xdr:cNvPr id="26" name="Department 4">
                <a:extLst>
                  <a:ext uri="{FF2B5EF4-FFF2-40B4-BE49-F238E27FC236}">
                    <a16:creationId xmlns:a16="http://schemas.microsoft.com/office/drawing/2014/main" id="{0082F342-658E-B2A3-7879-9F4B6FD73216}"/>
                  </a:ext>
                </a:extLst>
              </xdr:cNvPr>
              <xdr:cNvGraphicFramePr/>
            </xdr:nvGraphicFramePr>
            <xdr:xfrm>
              <a:off x="27011293" y="2853367"/>
              <a:ext cx="3915130" cy="960888"/>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3208565" y="2464397"/>
                <a:ext cx="3895831" cy="103800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20650</xdr:colOff>
      <xdr:row>18</xdr:row>
      <xdr:rowOff>61698</xdr:rowOff>
    </xdr:from>
    <xdr:to>
      <xdr:col>25</xdr:col>
      <xdr:colOff>650536</xdr:colOff>
      <xdr:row>23</xdr:row>
      <xdr:rowOff>78271</xdr:rowOff>
    </xdr:to>
    <xdr:grpSp>
      <xdr:nvGrpSpPr>
        <xdr:cNvPr id="27" name="Group 26">
          <a:extLst>
            <a:ext uri="{FF2B5EF4-FFF2-40B4-BE49-F238E27FC236}">
              <a16:creationId xmlns:a16="http://schemas.microsoft.com/office/drawing/2014/main" id="{BAAD73E0-C601-482F-9034-5D324A630503}"/>
            </a:ext>
          </a:extLst>
        </xdr:cNvPr>
        <xdr:cNvGrpSpPr/>
      </xdr:nvGrpSpPr>
      <xdr:grpSpPr>
        <a:xfrm>
          <a:off x="12809550" y="3700248"/>
          <a:ext cx="3931886" cy="1000823"/>
          <a:chOff x="27002580" y="3910691"/>
          <a:chExt cx="3944140" cy="991354"/>
        </a:xfrm>
      </xdr:grpSpPr>
      <xdr:sp macro="" textlink="">
        <xdr:nvSpPr>
          <xdr:cNvPr id="28" name="Rectangle 27">
            <a:extLst>
              <a:ext uri="{FF2B5EF4-FFF2-40B4-BE49-F238E27FC236}">
                <a16:creationId xmlns:a16="http://schemas.microsoft.com/office/drawing/2014/main" id="{9DEB4779-B3AE-A6CD-7B57-018845241F83}"/>
              </a:ext>
            </a:extLst>
          </xdr:cNvPr>
          <xdr:cNvSpPr/>
        </xdr:nvSpPr>
        <xdr:spPr>
          <a:xfrm>
            <a:off x="27002580" y="3910691"/>
            <a:ext cx="3944140" cy="991354"/>
          </a:xfrm>
          <a:prstGeom prst="rect">
            <a:avLst/>
          </a:prstGeom>
          <a:solidFill>
            <a:srgbClr val="7A99B8"/>
          </a:solidFill>
          <a:ln>
            <a:solidFill>
              <a:srgbClr val="51121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mc:AlternateContent xmlns:mc="http://schemas.openxmlformats.org/markup-compatibility/2006" xmlns:a14="http://schemas.microsoft.com/office/drawing/2010/main">
        <mc:Choice Requires="a14">
          <xdr:graphicFrame macro="">
            <xdr:nvGraphicFramePr>
              <xdr:cNvPr id="29" name="Region 4">
                <a:extLst>
                  <a:ext uri="{FF2B5EF4-FFF2-40B4-BE49-F238E27FC236}">
                    <a16:creationId xmlns:a16="http://schemas.microsoft.com/office/drawing/2014/main" id="{105897EF-0BE1-AD67-BD75-735874178AE3}"/>
                  </a:ext>
                </a:extLst>
              </xdr:cNvPr>
              <xdr:cNvGraphicFramePr/>
            </xdr:nvGraphicFramePr>
            <xdr:xfrm>
              <a:off x="27018245" y="3924226"/>
              <a:ext cx="3915977" cy="960312"/>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3215483" y="3621426"/>
                <a:ext cx="3896674" cy="94453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40268</xdr:colOff>
      <xdr:row>9</xdr:row>
      <xdr:rowOff>75086</xdr:rowOff>
    </xdr:from>
    <xdr:to>
      <xdr:col>6</xdr:col>
      <xdr:colOff>142488</xdr:colOff>
      <xdr:row>10</xdr:row>
      <xdr:rowOff>204727</xdr:rowOff>
    </xdr:to>
    <xdr:sp macro="" textlink="">
      <xdr:nvSpPr>
        <xdr:cNvPr id="30" name="TextBox 29">
          <a:extLst>
            <a:ext uri="{FF2B5EF4-FFF2-40B4-BE49-F238E27FC236}">
              <a16:creationId xmlns:a16="http://schemas.microsoft.com/office/drawing/2014/main" id="{50461503-CB4C-45B1-90DF-F1BFBD8E5606}"/>
            </a:ext>
          </a:extLst>
        </xdr:cNvPr>
        <xdr:cNvSpPr txBox="1"/>
      </xdr:nvSpPr>
      <xdr:spPr>
        <a:xfrm>
          <a:off x="916568" y="1846736"/>
          <a:ext cx="2743820" cy="326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1600">
              <a:solidFill>
                <a:schemeClr val="bg1"/>
              </a:solidFill>
              <a:latin typeface="Kermit Condensed" panose="020F0503040000060003" pitchFamily="34" charset="0"/>
            </a:rPr>
            <a:t>Total Karyawan</a:t>
          </a:r>
          <a:endParaRPr lang="en-ID" sz="1600">
            <a:solidFill>
              <a:schemeClr val="bg1"/>
            </a:solidFill>
            <a:latin typeface="Kermit Condensed" panose="020F0503040000060003" pitchFamily="34" charset="0"/>
          </a:endParaRPr>
        </a:p>
      </xdr:txBody>
    </xdr:sp>
    <xdr:clientData/>
  </xdr:twoCellAnchor>
  <xdr:twoCellAnchor>
    <xdr:from>
      <xdr:col>2</xdr:col>
      <xdr:colOff>40268</xdr:colOff>
      <xdr:row>10</xdr:row>
      <xdr:rowOff>220435</xdr:rowOff>
    </xdr:from>
    <xdr:to>
      <xdr:col>6</xdr:col>
      <xdr:colOff>142488</xdr:colOff>
      <xdr:row>12</xdr:row>
      <xdr:rowOff>155387</xdr:rowOff>
    </xdr:to>
    <xdr:sp macro="" textlink="'3. Exploratory Data Analysis'!C3">
      <xdr:nvSpPr>
        <xdr:cNvPr id="31" name="TextBox 30">
          <a:extLst>
            <a:ext uri="{FF2B5EF4-FFF2-40B4-BE49-F238E27FC236}">
              <a16:creationId xmlns:a16="http://schemas.microsoft.com/office/drawing/2014/main" id="{6330B678-329C-4AE9-8617-52C02D77783E}"/>
            </a:ext>
          </a:extLst>
        </xdr:cNvPr>
        <xdr:cNvSpPr txBox="1"/>
      </xdr:nvSpPr>
      <xdr:spPr>
        <a:xfrm>
          <a:off x="916568" y="2188935"/>
          <a:ext cx="2743820" cy="404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6DB374-2C49-449E-8EA8-1836B5D190AC}" type="TxLink">
            <a:rPr lang="en-US" sz="2400" b="1" i="0" u="none" strike="noStrike">
              <a:solidFill>
                <a:srgbClr val="51121A"/>
              </a:solidFill>
              <a:latin typeface="Times New Roman"/>
              <a:cs typeface="Times New Roman"/>
            </a:rPr>
            <a:pPr algn="ctr"/>
            <a:t>1020</a:t>
          </a:fld>
          <a:endParaRPr lang="en-ID" sz="2400"/>
        </a:p>
      </xdr:txBody>
    </xdr:sp>
    <xdr:clientData/>
  </xdr:twoCellAnchor>
  <xdr:twoCellAnchor>
    <xdr:from>
      <xdr:col>6</xdr:col>
      <xdr:colOff>362695</xdr:colOff>
      <xdr:row>9</xdr:row>
      <xdr:rowOff>67868</xdr:rowOff>
    </xdr:from>
    <xdr:to>
      <xdr:col>10</xdr:col>
      <xdr:colOff>464916</xdr:colOff>
      <xdr:row>10</xdr:row>
      <xdr:rowOff>197509</xdr:rowOff>
    </xdr:to>
    <xdr:sp macro="" textlink="">
      <xdr:nvSpPr>
        <xdr:cNvPr id="32" name="TextBox 31">
          <a:extLst>
            <a:ext uri="{FF2B5EF4-FFF2-40B4-BE49-F238E27FC236}">
              <a16:creationId xmlns:a16="http://schemas.microsoft.com/office/drawing/2014/main" id="{B2CEE68A-046C-40A5-B7BC-D088399446C0}"/>
            </a:ext>
          </a:extLst>
        </xdr:cNvPr>
        <xdr:cNvSpPr txBox="1"/>
      </xdr:nvSpPr>
      <xdr:spPr>
        <a:xfrm>
          <a:off x="3880595" y="1839518"/>
          <a:ext cx="2743821" cy="326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1600">
              <a:solidFill>
                <a:schemeClr val="bg1"/>
              </a:solidFill>
              <a:latin typeface="Kermit Condensed" panose="020F0503040000060003" pitchFamily="34" charset="0"/>
            </a:rPr>
            <a:t>Total Pengeluaran Gaji</a:t>
          </a:r>
        </a:p>
      </xdr:txBody>
    </xdr:sp>
    <xdr:clientData/>
  </xdr:twoCellAnchor>
  <xdr:twoCellAnchor>
    <xdr:from>
      <xdr:col>6</xdr:col>
      <xdr:colOff>362695</xdr:colOff>
      <xdr:row>10</xdr:row>
      <xdr:rowOff>213217</xdr:rowOff>
    </xdr:from>
    <xdr:to>
      <xdr:col>10</xdr:col>
      <xdr:colOff>464916</xdr:colOff>
      <xdr:row>12</xdr:row>
      <xdr:rowOff>148169</xdr:rowOff>
    </xdr:to>
    <xdr:sp macro="" textlink="'3. Exploratory Data Analysis'!C7">
      <xdr:nvSpPr>
        <xdr:cNvPr id="33" name="TextBox 32">
          <a:extLst>
            <a:ext uri="{FF2B5EF4-FFF2-40B4-BE49-F238E27FC236}">
              <a16:creationId xmlns:a16="http://schemas.microsoft.com/office/drawing/2014/main" id="{712C1689-E78D-415B-87E9-0B7DB8FA5D3D}"/>
            </a:ext>
          </a:extLst>
        </xdr:cNvPr>
        <xdr:cNvSpPr txBox="1"/>
      </xdr:nvSpPr>
      <xdr:spPr>
        <a:xfrm>
          <a:off x="3880595" y="2181717"/>
          <a:ext cx="2743821" cy="404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4D2807-06EE-44A9-9053-AF1EFA8B1C3B}" type="TxLink">
            <a:rPr lang="en-US" sz="2400" b="1" i="0" u="none" strike="noStrike">
              <a:solidFill>
                <a:srgbClr val="51121A"/>
              </a:solidFill>
              <a:latin typeface="Times New Roman"/>
              <a:cs typeface="Times New Roman"/>
            </a:rPr>
            <a:pPr algn="ctr"/>
            <a:t> $84,814,436.17 </a:t>
          </a:fld>
          <a:endParaRPr lang="en-ID" sz="2400"/>
        </a:p>
      </xdr:txBody>
    </xdr:sp>
    <xdr:clientData/>
  </xdr:twoCellAnchor>
  <xdr:twoCellAnchor>
    <xdr:from>
      <xdr:col>11</xdr:col>
      <xdr:colOff>15423</xdr:colOff>
      <xdr:row>9</xdr:row>
      <xdr:rowOff>71060</xdr:rowOff>
    </xdr:from>
    <xdr:to>
      <xdr:col>15</xdr:col>
      <xdr:colOff>117644</xdr:colOff>
      <xdr:row>10</xdr:row>
      <xdr:rowOff>200701</xdr:rowOff>
    </xdr:to>
    <xdr:sp macro="" textlink="">
      <xdr:nvSpPr>
        <xdr:cNvPr id="34" name="TextBox 33">
          <a:extLst>
            <a:ext uri="{FF2B5EF4-FFF2-40B4-BE49-F238E27FC236}">
              <a16:creationId xmlns:a16="http://schemas.microsoft.com/office/drawing/2014/main" id="{E90E9AD8-AB08-44E7-85DE-D0688C48ED6E}"/>
            </a:ext>
          </a:extLst>
        </xdr:cNvPr>
        <xdr:cNvSpPr txBox="1"/>
      </xdr:nvSpPr>
      <xdr:spPr>
        <a:xfrm>
          <a:off x="6835323" y="1842710"/>
          <a:ext cx="2743821" cy="326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1600">
              <a:solidFill>
                <a:schemeClr val="bg1"/>
              </a:solidFill>
              <a:latin typeface="Kermit Condensed" panose="020F0503040000060003" pitchFamily="34" charset="0"/>
            </a:rPr>
            <a:t>Rata-Rata Gaji Global</a:t>
          </a:r>
          <a:endParaRPr lang="en-ID" sz="1600">
            <a:solidFill>
              <a:schemeClr val="bg1"/>
            </a:solidFill>
            <a:latin typeface="Kermit Condensed" panose="020F0503040000060003" pitchFamily="34" charset="0"/>
          </a:endParaRPr>
        </a:p>
      </xdr:txBody>
    </xdr:sp>
    <xdr:clientData/>
  </xdr:twoCellAnchor>
  <xdr:twoCellAnchor>
    <xdr:from>
      <xdr:col>11</xdr:col>
      <xdr:colOff>15423</xdr:colOff>
      <xdr:row>10</xdr:row>
      <xdr:rowOff>216409</xdr:rowOff>
    </xdr:from>
    <xdr:to>
      <xdr:col>15</xdr:col>
      <xdr:colOff>117644</xdr:colOff>
      <xdr:row>12</xdr:row>
      <xdr:rowOff>151361</xdr:rowOff>
    </xdr:to>
    <xdr:sp macro="" textlink="'3. Exploratory Data Analysis'!C11">
      <xdr:nvSpPr>
        <xdr:cNvPr id="35" name="TextBox 34">
          <a:extLst>
            <a:ext uri="{FF2B5EF4-FFF2-40B4-BE49-F238E27FC236}">
              <a16:creationId xmlns:a16="http://schemas.microsoft.com/office/drawing/2014/main" id="{8DC46678-022C-4575-996A-FF854526A075}"/>
            </a:ext>
          </a:extLst>
        </xdr:cNvPr>
        <xdr:cNvSpPr txBox="1"/>
      </xdr:nvSpPr>
      <xdr:spPr>
        <a:xfrm>
          <a:off x="6835323" y="2184909"/>
          <a:ext cx="2743821" cy="404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F4264B-7B51-4EE6-9AFD-7D2D99BE94AB}" type="TxLink">
            <a:rPr lang="en-US" sz="2400" b="1" i="0" u="none" strike="noStrike">
              <a:solidFill>
                <a:srgbClr val="51121A"/>
              </a:solidFill>
              <a:latin typeface="Times New Roman"/>
              <a:cs typeface="Times New Roman"/>
            </a:rPr>
            <a:pPr algn="ctr"/>
            <a:t> $85,155.06 </a:t>
          </a:fld>
          <a:endParaRPr lang="en-ID" sz="2400"/>
        </a:p>
      </xdr:txBody>
    </xdr:sp>
    <xdr:clientData/>
  </xdr:twoCellAnchor>
  <xdr:twoCellAnchor>
    <xdr:from>
      <xdr:col>15</xdr:col>
      <xdr:colOff>344791</xdr:colOff>
      <xdr:row>9</xdr:row>
      <xdr:rowOff>74252</xdr:rowOff>
    </xdr:from>
    <xdr:to>
      <xdr:col>19</xdr:col>
      <xdr:colOff>447011</xdr:colOff>
      <xdr:row>10</xdr:row>
      <xdr:rowOff>203893</xdr:rowOff>
    </xdr:to>
    <xdr:sp macro="" textlink="">
      <xdr:nvSpPr>
        <xdr:cNvPr id="36" name="TextBox 35">
          <a:extLst>
            <a:ext uri="{FF2B5EF4-FFF2-40B4-BE49-F238E27FC236}">
              <a16:creationId xmlns:a16="http://schemas.microsoft.com/office/drawing/2014/main" id="{90CB7BA2-017C-4649-8D72-F040E498203C}"/>
            </a:ext>
          </a:extLst>
        </xdr:cNvPr>
        <xdr:cNvSpPr txBox="1"/>
      </xdr:nvSpPr>
      <xdr:spPr>
        <a:xfrm>
          <a:off x="9806291" y="1845902"/>
          <a:ext cx="2743820" cy="326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1600">
              <a:solidFill>
                <a:schemeClr val="bg1"/>
              </a:solidFill>
              <a:latin typeface="Kermit Condensed" panose="020F0503040000060003" pitchFamily="34" charset="0"/>
            </a:rPr>
            <a:t>Rata-Rata Usia</a:t>
          </a:r>
          <a:r>
            <a:rPr lang="id-ID" sz="1600" baseline="0">
              <a:solidFill>
                <a:schemeClr val="bg1"/>
              </a:solidFill>
              <a:latin typeface="Kermit Condensed" panose="020F0503040000060003" pitchFamily="34" charset="0"/>
            </a:rPr>
            <a:t> Karyawan</a:t>
          </a:r>
          <a:endParaRPr lang="en-ID" sz="1600">
            <a:solidFill>
              <a:schemeClr val="bg1"/>
            </a:solidFill>
            <a:latin typeface="Kermit Condensed" panose="020F0503040000060003" pitchFamily="34" charset="0"/>
          </a:endParaRPr>
        </a:p>
      </xdr:txBody>
    </xdr:sp>
    <xdr:clientData/>
  </xdr:twoCellAnchor>
  <xdr:twoCellAnchor>
    <xdr:from>
      <xdr:col>15</xdr:col>
      <xdr:colOff>344791</xdr:colOff>
      <xdr:row>10</xdr:row>
      <xdr:rowOff>219601</xdr:rowOff>
    </xdr:from>
    <xdr:to>
      <xdr:col>19</xdr:col>
      <xdr:colOff>447011</xdr:colOff>
      <xdr:row>12</xdr:row>
      <xdr:rowOff>154553</xdr:rowOff>
    </xdr:to>
    <xdr:sp macro="" textlink="'3. Exploratory Data Analysis'!C15">
      <xdr:nvSpPr>
        <xdr:cNvPr id="37" name="TextBox 36">
          <a:extLst>
            <a:ext uri="{FF2B5EF4-FFF2-40B4-BE49-F238E27FC236}">
              <a16:creationId xmlns:a16="http://schemas.microsoft.com/office/drawing/2014/main" id="{79A997DC-499F-4C4D-BD9E-7649E08A0F59}"/>
            </a:ext>
          </a:extLst>
        </xdr:cNvPr>
        <xdr:cNvSpPr txBox="1"/>
      </xdr:nvSpPr>
      <xdr:spPr>
        <a:xfrm>
          <a:off x="9806291" y="2188101"/>
          <a:ext cx="2743820" cy="404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D59584-A22D-4E5B-B621-C76A49AF9B72}" type="TxLink">
            <a:rPr lang="en-US" sz="2400" b="1" i="0" u="none" strike="noStrike">
              <a:solidFill>
                <a:srgbClr val="51121A"/>
              </a:solidFill>
              <a:latin typeface="Times New Roman"/>
              <a:cs typeface="Times New Roman"/>
            </a:rPr>
            <a:pPr algn="ctr"/>
            <a:t>32</a:t>
          </a:fld>
          <a:endParaRPr lang="en-ID" sz="2400"/>
        </a:p>
      </xdr:txBody>
    </xdr:sp>
    <xdr:clientData/>
  </xdr:twoCellAnchor>
  <xdr:twoCellAnchor>
    <xdr:from>
      <xdr:col>2</xdr:col>
      <xdr:colOff>16887</xdr:colOff>
      <xdr:row>14</xdr:row>
      <xdr:rowOff>118218</xdr:rowOff>
    </xdr:from>
    <xdr:to>
      <xdr:col>10</xdr:col>
      <xdr:colOff>454924</xdr:colOff>
      <xdr:row>27</xdr:row>
      <xdr:rowOff>101330</xdr:rowOff>
    </xdr:to>
    <xdr:graphicFrame macro="">
      <xdr:nvGraphicFramePr>
        <xdr:cNvPr id="38" name="Chart 37">
          <a:extLst>
            <a:ext uri="{FF2B5EF4-FFF2-40B4-BE49-F238E27FC236}">
              <a16:creationId xmlns:a16="http://schemas.microsoft.com/office/drawing/2014/main" id="{B045109E-ABFC-4709-BCFD-60E8C0A5B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31229</xdr:colOff>
      <xdr:row>15</xdr:row>
      <xdr:rowOff>6226</xdr:rowOff>
    </xdr:from>
    <xdr:to>
      <xdr:col>19</xdr:col>
      <xdr:colOff>426804</xdr:colOff>
      <xdr:row>27</xdr:row>
      <xdr:rowOff>104099</xdr:rowOff>
    </xdr:to>
    <xdr:graphicFrame macro="">
      <xdr:nvGraphicFramePr>
        <xdr:cNvPr id="39" name="Chart 38">
          <a:extLst>
            <a:ext uri="{FF2B5EF4-FFF2-40B4-BE49-F238E27FC236}">
              <a16:creationId xmlns:a16="http://schemas.microsoft.com/office/drawing/2014/main" id="{3614D081-AC5C-4884-9E1B-3A776A6FE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29</xdr:row>
      <xdr:rowOff>183815</xdr:rowOff>
    </xdr:from>
    <xdr:to>
      <xdr:col>7</xdr:col>
      <xdr:colOff>548766</xdr:colOff>
      <xdr:row>49</xdr:row>
      <xdr:rowOff>0</xdr:rowOff>
    </xdr:to>
    <xdr:graphicFrame macro="">
      <xdr:nvGraphicFramePr>
        <xdr:cNvPr id="40" name="Chart 39">
          <a:extLst>
            <a:ext uri="{FF2B5EF4-FFF2-40B4-BE49-F238E27FC236}">
              <a16:creationId xmlns:a16="http://schemas.microsoft.com/office/drawing/2014/main" id="{79B2625F-42AE-45B4-96C6-89CF5A206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8406</xdr:colOff>
      <xdr:row>29</xdr:row>
      <xdr:rowOff>172179</xdr:rowOff>
    </xdr:from>
    <xdr:to>
      <xdr:col>13</xdr:col>
      <xdr:colOff>486048</xdr:colOff>
      <xdr:row>48</xdr:row>
      <xdr:rowOff>164630</xdr:rowOff>
    </xdr:to>
    <xdr:graphicFrame macro="">
      <xdr:nvGraphicFramePr>
        <xdr:cNvPr id="41" name="Chart 40">
          <a:extLst>
            <a:ext uri="{FF2B5EF4-FFF2-40B4-BE49-F238E27FC236}">
              <a16:creationId xmlns:a16="http://schemas.microsoft.com/office/drawing/2014/main" id="{2B8BD98D-6D01-4D4E-A9A4-0C66F6C09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627162</xdr:colOff>
      <xdr:row>29</xdr:row>
      <xdr:rowOff>180309</xdr:rowOff>
    </xdr:from>
    <xdr:to>
      <xdr:col>19</xdr:col>
      <xdr:colOff>501729</xdr:colOff>
      <xdr:row>48</xdr:row>
      <xdr:rowOff>172470</xdr:rowOff>
    </xdr:to>
    <xdr:graphicFrame macro="">
      <xdr:nvGraphicFramePr>
        <xdr:cNvPr id="42" name="Chart 41">
          <a:extLst>
            <a:ext uri="{FF2B5EF4-FFF2-40B4-BE49-F238E27FC236}">
              <a16:creationId xmlns:a16="http://schemas.microsoft.com/office/drawing/2014/main" id="{2FFF44E5-1486-4D8C-9C16-30FD85A98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122767</xdr:colOff>
      <xdr:row>1</xdr:row>
      <xdr:rowOff>2418</xdr:rowOff>
    </xdr:from>
    <xdr:to>
      <xdr:col>9</xdr:col>
      <xdr:colOff>640805</xdr:colOff>
      <xdr:row>10</xdr:row>
      <xdr:rowOff>120953</xdr:rowOff>
    </xdr:to>
    <mc:AlternateContent xmlns:mc="http://schemas.openxmlformats.org/markup-compatibility/2006" xmlns:a14="http://schemas.microsoft.com/office/drawing/2010/main">
      <mc:Choice Requires="a14">
        <xdr:graphicFrame macro="">
          <xdr:nvGraphicFramePr>
            <xdr:cNvPr id="7" name="Department 5">
              <a:extLst>
                <a:ext uri="{FF2B5EF4-FFF2-40B4-BE49-F238E27FC236}">
                  <a16:creationId xmlns:a16="http://schemas.microsoft.com/office/drawing/2014/main" id="{DF3DEAA1-4086-4FE5-885F-9B6FB8A54179}"/>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9466338" y="198966"/>
              <a:ext cx="1848513" cy="22503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553660</xdr:colOff>
      <xdr:row>1</xdr:row>
      <xdr:rowOff>29936</xdr:rowOff>
    </xdr:from>
    <xdr:to>
      <xdr:col>12</xdr:col>
      <xdr:colOff>214440</xdr:colOff>
      <xdr:row>10</xdr:row>
      <xdr:rowOff>145549</xdr:rowOff>
    </xdr:to>
    <mc:AlternateContent xmlns:mc="http://schemas.openxmlformats.org/markup-compatibility/2006" xmlns:a14="http://schemas.microsoft.com/office/drawing/2010/main">
      <mc:Choice Requires="a14">
        <xdr:graphicFrame macro="">
          <xdr:nvGraphicFramePr>
            <xdr:cNvPr id="8" name="Region 5">
              <a:extLst>
                <a:ext uri="{FF2B5EF4-FFF2-40B4-BE49-F238E27FC236}">
                  <a16:creationId xmlns:a16="http://schemas.microsoft.com/office/drawing/2014/main" id="{33DE759D-1F1C-415E-BD1D-CAE9394C6FD9}"/>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2346517" y="226484"/>
              <a:ext cx="1855266" cy="224739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50498</xdr:colOff>
      <xdr:row>1</xdr:row>
      <xdr:rowOff>15421</xdr:rowOff>
    </xdr:from>
    <xdr:to>
      <xdr:col>6</xdr:col>
      <xdr:colOff>899878</xdr:colOff>
      <xdr:row>10</xdr:row>
      <xdr:rowOff>133956</xdr:rowOff>
    </xdr:to>
    <mc:AlternateContent xmlns:mc="http://schemas.openxmlformats.org/markup-compatibility/2006" xmlns:a14="http://schemas.microsoft.com/office/drawing/2010/main">
      <mc:Choice Requires="a14">
        <xdr:graphicFrame macro="">
          <xdr:nvGraphicFramePr>
            <xdr:cNvPr id="9" name="Status 5">
              <a:extLst>
                <a:ext uri="{FF2B5EF4-FFF2-40B4-BE49-F238E27FC236}">
                  <a16:creationId xmlns:a16="http://schemas.microsoft.com/office/drawing/2014/main" id="{EBAB014C-BB75-446F-A805-9DCDDAC92F84}"/>
                </a:ext>
              </a:extLst>
            </xdr:cNvPr>
            <xdr:cNvGraphicFramePr/>
          </xdr:nvGraphicFramePr>
          <xdr:xfrm>
            <a:off x="0" y="0"/>
            <a:ext cx="0" cy="0"/>
          </xdr:xfrm>
          <a:graphic>
            <a:graphicData uri="http://schemas.microsoft.com/office/drawing/2010/slicer">
              <sle:slicer xmlns:sle="http://schemas.microsoft.com/office/drawing/2010/slicer" name="Status 5"/>
            </a:graphicData>
          </a:graphic>
        </xdr:graphicFrame>
      </mc:Choice>
      <mc:Fallback xmlns="">
        <xdr:sp macro="" textlink="">
          <xdr:nvSpPr>
            <xdr:cNvPr id="0" name=""/>
            <xdr:cNvSpPr>
              <a:spLocks noTextEdit="1"/>
            </xdr:cNvSpPr>
          </xdr:nvSpPr>
          <xdr:spPr>
            <a:xfrm>
              <a:off x="6279546" y="211969"/>
              <a:ext cx="1836057" cy="22503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642776</xdr:colOff>
      <xdr:row>25</xdr:row>
      <xdr:rowOff>33048</xdr:rowOff>
    </xdr:from>
    <xdr:to>
      <xdr:col>8</xdr:col>
      <xdr:colOff>0</xdr:colOff>
      <xdr:row>39</xdr:row>
      <xdr:rowOff>54818</xdr:rowOff>
    </xdr:to>
    <xdr:graphicFrame macro="">
      <xdr:nvGraphicFramePr>
        <xdr:cNvPr id="10" name="Chart 9">
          <a:extLst>
            <a:ext uri="{FF2B5EF4-FFF2-40B4-BE49-F238E27FC236}">
              <a16:creationId xmlns:a16="http://schemas.microsoft.com/office/drawing/2014/main" id="{DB15A8ED-0914-AD07-B9C3-791F5723E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656545</xdr:colOff>
      <xdr:row>25</xdr:row>
      <xdr:rowOff>37098</xdr:rowOff>
    </xdr:from>
    <xdr:to>
      <xdr:col>12</xdr:col>
      <xdr:colOff>11339</xdr:colOff>
      <xdr:row>39</xdr:row>
      <xdr:rowOff>81547</xdr:rowOff>
    </xdr:to>
    <xdr:graphicFrame macro="">
      <xdr:nvGraphicFramePr>
        <xdr:cNvPr id="11" name="Chart 10">
          <a:extLst>
            <a:ext uri="{FF2B5EF4-FFF2-40B4-BE49-F238E27FC236}">
              <a16:creationId xmlns:a16="http://schemas.microsoft.com/office/drawing/2014/main" id="{A5155003-F94B-E5EB-F2E4-B17BA3531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10205</xdr:colOff>
      <xdr:row>25</xdr:row>
      <xdr:rowOff>17185</xdr:rowOff>
    </xdr:from>
    <xdr:to>
      <xdr:col>17</xdr:col>
      <xdr:colOff>488722</xdr:colOff>
      <xdr:row>39</xdr:row>
      <xdr:rowOff>70208</xdr:rowOff>
    </xdr:to>
    <xdr:graphicFrame macro="">
      <xdr:nvGraphicFramePr>
        <xdr:cNvPr id="12" name="Chart 11">
          <a:extLst>
            <a:ext uri="{FF2B5EF4-FFF2-40B4-BE49-F238E27FC236}">
              <a16:creationId xmlns:a16="http://schemas.microsoft.com/office/drawing/2014/main" id="{F6EA8649-D4EA-2F36-1D2F-965B9466D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645205</xdr:colOff>
      <xdr:row>25</xdr:row>
      <xdr:rowOff>17186</xdr:rowOff>
    </xdr:from>
    <xdr:to>
      <xdr:col>23</xdr:col>
      <xdr:colOff>534080</xdr:colOff>
      <xdr:row>39</xdr:row>
      <xdr:rowOff>70209</xdr:rowOff>
    </xdr:to>
    <xdr:graphicFrame macro="">
      <xdr:nvGraphicFramePr>
        <xdr:cNvPr id="13" name="Chart 12">
          <a:extLst>
            <a:ext uri="{FF2B5EF4-FFF2-40B4-BE49-F238E27FC236}">
              <a16:creationId xmlns:a16="http://schemas.microsoft.com/office/drawing/2014/main" id="{4CC50868-8EF8-C75B-184D-F324AFBC4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21546</xdr:colOff>
      <xdr:row>25</xdr:row>
      <xdr:rowOff>40141</xdr:rowOff>
    </xdr:from>
    <xdr:to>
      <xdr:col>33</xdr:col>
      <xdr:colOff>295956</xdr:colOff>
      <xdr:row>39</xdr:row>
      <xdr:rowOff>84590</xdr:rowOff>
    </xdr:to>
    <xdr:graphicFrame macro="">
      <xdr:nvGraphicFramePr>
        <xdr:cNvPr id="14" name="Chart 13">
          <a:extLst>
            <a:ext uri="{FF2B5EF4-FFF2-40B4-BE49-F238E27FC236}">
              <a16:creationId xmlns:a16="http://schemas.microsoft.com/office/drawing/2014/main" id="{6BFC469A-819F-1584-F402-6A6519F32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VAN" refreshedDate="46314.486781018517" createdVersion="8" refreshedVersion="8" minRefreshableVersion="3" recordCount="1020" xr:uid="{81DDC499-09B0-414C-9834-9F5C3EBAF8E9}">
  <cacheSource type="worksheet">
    <worksheetSource name="Table14"/>
  </cacheSource>
  <cacheFields count="16">
    <cacheField name="Employee_ID" numFmtId="0">
      <sharedItems/>
    </cacheField>
    <cacheField name="First_Name" numFmtId="0">
      <sharedItems/>
    </cacheField>
    <cacheField name="Last_Name" numFmtId="0">
      <sharedItems/>
    </cacheField>
    <cacheField name="Age" numFmtId="0">
      <sharedItems containsSemiMixedTypes="0" containsString="0" containsNumber="1" containsInteger="1" minValue="25" maxValue="40" count="4">
        <n v="25"/>
        <n v="30"/>
        <n v="40"/>
        <n v="35"/>
      </sharedItems>
    </cacheField>
    <cacheField name="Department" numFmtId="0">
      <sharedItems count="6">
        <s v="DevOps"/>
        <s v="Finance"/>
        <s v="Admin"/>
        <s v="Cloud Tech"/>
        <s v="Sales"/>
        <s v="HR"/>
      </sharedItems>
    </cacheField>
    <cacheField name="Region" numFmtId="0">
      <sharedItems count="6">
        <s v="California"/>
        <s v="Texas"/>
        <s v="Nevada"/>
        <s v="Florida"/>
        <s v="New York"/>
        <s v="Illinois"/>
      </sharedItems>
    </cacheField>
    <cacheField name="Status" numFmtId="0">
      <sharedItems count="3">
        <s v="Active"/>
        <s v="Pending"/>
        <s v="Inactive"/>
      </sharedItems>
    </cacheField>
    <cacheField name="Join_Date" numFmtId="164">
      <sharedItems containsSemiMixedTypes="0" containsNonDate="0" containsDate="1" containsString="0" minDate="2020-01-01T00:00:00" maxDate="2024-12-30T00:00:00" count="760">
        <d v="2021-02-04T00:00:00"/>
        <d v="2020-10-07T00:00:00"/>
        <d v="2023-07-12T00:00:00"/>
        <d v="2021-11-27T00:00:00"/>
        <d v="2022-05-01T00:00:00"/>
        <d v="2020-10-06T00:00:00"/>
        <d v="2020-03-04T00:00:00"/>
        <d v="2022-07-17T00:00:00"/>
        <d v="2023-08-12T00:00:00"/>
        <d v="2022-04-08T00:00:00"/>
        <d v="2024-06-07T00:00:00"/>
        <d v="2023-04-09T00:00:00"/>
        <d v="2024-05-03T00:00:00"/>
        <d v="2020-10-10T00:00:00"/>
        <d v="2024-10-06T00:00:00"/>
        <d v="2021-05-29T00:00:00"/>
        <d v="2024-04-23T00:00:00"/>
        <d v="2024-11-28T00:00:00"/>
        <d v="2024-09-19T00:00:00"/>
        <d v="2020-02-01T00:00:00"/>
        <d v="2021-08-05T00:00:00"/>
        <d v="2020-09-19T00:00:00"/>
        <d v="2021-09-03T00:00:00"/>
        <d v="2022-03-02T00:00:00"/>
        <d v="2020-02-13T00:00:00"/>
        <d v="2020-04-30T00:00:00"/>
        <d v="2023-02-10T00:00:00"/>
        <d v="2020-12-07T00:00:00"/>
        <d v="2023-11-10T00:00:00"/>
        <d v="2021-05-24T00:00:00"/>
        <d v="2021-05-26T00:00:00"/>
        <d v="2024-05-11T00:00:00"/>
        <d v="2021-07-08T00:00:00"/>
        <d v="2020-04-29T00:00:00"/>
        <d v="2022-10-26T00:00:00"/>
        <d v="2023-03-05T00:00:00"/>
        <d v="2023-02-05T00:00:00"/>
        <d v="2021-05-10T00:00:00"/>
        <d v="2022-07-27T00:00:00"/>
        <d v="2021-06-27T00:00:00"/>
        <d v="2022-06-16T00:00:00"/>
        <d v="2024-03-12T00:00:00"/>
        <d v="2023-05-23T00:00:00"/>
        <d v="2020-08-07T00:00:00"/>
        <d v="2021-06-20T00:00:00"/>
        <d v="2024-12-13T00:00:00"/>
        <d v="2022-05-30T00:00:00"/>
        <d v="2023-09-27T00:00:00"/>
        <d v="2021-11-11T00:00:00"/>
        <d v="2022-02-22T00:00:00"/>
        <d v="2024-07-08T00:00:00"/>
        <d v="2021-09-11T00:00:00"/>
        <d v="2020-10-08T00:00:00"/>
        <d v="2022-02-27T00:00:00"/>
        <d v="2023-07-11T00:00:00"/>
        <d v="2021-07-11T00:00:00"/>
        <d v="2022-04-16T00:00:00"/>
        <d v="2023-10-19T00:00:00"/>
        <d v="2021-10-08T00:00:00"/>
        <d v="2021-03-13T00:00:00"/>
        <d v="2023-07-20T00:00:00"/>
        <d v="2020-02-20T00:00:00"/>
        <d v="2021-02-02T00:00:00"/>
        <d v="2020-12-01T00:00:00"/>
        <d v="2022-11-26T00:00:00"/>
        <d v="2022-12-23T00:00:00"/>
        <d v="2024-08-28T00:00:00"/>
        <d v="2024-09-16T00:00:00"/>
        <d v="2024-01-01T00:00:00"/>
        <d v="2021-04-18T00:00:00"/>
        <d v="2023-01-16T00:00:00"/>
        <d v="2024-10-20T00:00:00"/>
        <d v="2024-10-13T00:00:00"/>
        <d v="2022-09-21T00:00:00"/>
        <d v="2022-12-29T00:00:00"/>
        <d v="2024-10-11T00:00:00"/>
        <d v="2021-11-22T00:00:00"/>
        <d v="2024-03-14T00:00:00"/>
        <d v="2020-03-23T00:00:00"/>
        <d v="2020-09-15T00:00:00"/>
        <d v="2020-09-12T00:00:00"/>
        <d v="2020-02-22T00:00:00"/>
        <d v="2023-04-27T00:00:00"/>
        <d v="2024-06-18T00:00:00"/>
        <d v="2020-05-21T00:00:00"/>
        <d v="2023-07-25T00:00:00"/>
        <d v="2023-08-25T00:00:00"/>
        <d v="2021-03-07T00:00:00"/>
        <d v="2023-03-13T00:00:00"/>
        <d v="2021-10-03T00:00:00"/>
        <d v="2020-01-21T00:00:00"/>
        <d v="2023-11-15T00:00:00"/>
        <d v="2022-08-04T00:00:00"/>
        <d v="2022-05-21T00:00:00"/>
        <d v="2021-04-17T00:00:00"/>
        <d v="2021-03-19T00:00:00"/>
        <d v="2022-09-01T00:00:00"/>
        <d v="2021-08-21T00:00:00"/>
        <d v="2022-08-19T00:00:00"/>
        <d v="2022-03-31T00:00:00"/>
        <d v="2020-06-23T00:00:00"/>
        <d v="2024-07-05T00:00:00"/>
        <d v="2023-10-03T00:00:00"/>
        <d v="2023-09-14T00:00:00"/>
        <d v="2023-12-11T00:00:00"/>
        <d v="2024-10-26T00:00:00"/>
        <d v="2020-08-23T00:00:00"/>
        <d v="2024-11-06T00:00:00"/>
        <d v="2021-09-14T00:00:00"/>
        <d v="2024-12-26T00:00:00"/>
        <d v="2024-08-09T00:00:00"/>
        <d v="2022-08-21T00:00:00"/>
        <d v="2024-07-25T00:00:00"/>
        <d v="2020-02-08T00:00:00"/>
        <d v="2020-03-16T00:00:00"/>
        <d v="2023-08-09T00:00:00"/>
        <d v="2024-03-29T00:00:00"/>
        <d v="2021-12-08T00:00:00"/>
        <d v="2023-12-24T00:00:00"/>
        <d v="2020-08-28T00:00:00"/>
        <d v="2024-05-09T00:00:00"/>
        <d v="2023-12-05T00:00:00"/>
        <d v="2021-01-07T00:00:00"/>
        <d v="2024-07-11T00:00:00"/>
        <d v="2022-07-21T00:00:00"/>
        <d v="2020-03-30T00:00:00"/>
        <d v="2022-11-10T00:00:00"/>
        <d v="2022-07-24T00:00:00"/>
        <d v="2023-06-30T00:00:00"/>
        <d v="2024-11-01T00:00:00"/>
        <d v="2023-02-11T00:00:00"/>
        <d v="2024-11-22T00:00:00"/>
        <d v="2021-08-23T00:00:00"/>
        <d v="2023-09-04T00:00:00"/>
        <d v="2024-05-07T00:00:00"/>
        <d v="2021-04-09T00:00:00"/>
        <d v="2020-02-14T00:00:00"/>
        <d v="2020-10-04T00:00:00"/>
        <d v="2023-07-27T00:00:00"/>
        <d v="2021-09-24T00:00:00"/>
        <d v="2024-10-03T00:00:00"/>
        <d v="2021-10-06T00:00:00"/>
        <d v="2020-10-15T00:00:00"/>
        <d v="2020-01-29T00:00:00"/>
        <d v="2022-01-30T00:00:00"/>
        <d v="2021-03-29T00:00:00"/>
        <d v="2020-10-13T00:00:00"/>
        <d v="2020-04-10T00:00:00"/>
        <d v="2024-12-18T00:00:00"/>
        <d v="2023-11-14T00:00:00"/>
        <d v="2023-01-20T00:00:00"/>
        <d v="2024-02-10T00:00:00"/>
        <d v="2021-05-13T00:00:00"/>
        <d v="2021-03-18T00:00:00"/>
        <d v="2020-09-23T00:00:00"/>
        <d v="2024-05-06T00:00:00"/>
        <d v="2024-02-28T00:00:00"/>
        <d v="2023-04-30T00:00:00"/>
        <d v="2020-04-03T00:00:00"/>
        <d v="2023-12-29T00:00:00"/>
        <d v="2022-07-18T00:00:00"/>
        <d v="2022-07-13T00:00:00"/>
        <d v="2021-02-10T00:00:00"/>
        <d v="2020-05-07T00:00:00"/>
        <d v="2023-04-16T00:00:00"/>
        <d v="2024-12-11T00:00:00"/>
        <d v="2023-03-29T00:00:00"/>
        <d v="2022-01-22T00:00:00"/>
        <d v="2023-10-14T00:00:00"/>
        <d v="2024-10-04T00:00:00"/>
        <d v="2022-09-02T00:00:00"/>
        <d v="2023-06-05T00:00:00"/>
        <d v="2021-11-07T00:00:00"/>
        <d v="2020-08-21T00:00:00"/>
        <d v="2021-03-27T00:00:00"/>
        <d v="2024-04-14T00:00:00"/>
        <d v="2020-09-21T00:00:00"/>
        <d v="2022-12-06T00:00:00"/>
        <d v="2022-07-31T00:00:00"/>
        <d v="2023-04-21T00:00:00"/>
        <d v="2020-05-06T00:00:00"/>
        <d v="2024-07-27T00:00:00"/>
        <d v="2024-05-04T00:00:00"/>
        <d v="2023-10-26T00:00:00"/>
        <d v="2022-08-18T00:00:00"/>
        <d v="2020-05-31T00:00:00"/>
        <d v="2024-04-11T00:00:00"/>
        <d v="2020-03-25T00:00:00"/>
        <d v="2020-04-11T00:00:00"/>
        <d v="2020-03-21T00:00:00"/>
        <d v="2022-01-15T00:00:00"/>
        <d v="2024-04-06T00:00:00"/>
        <d v="2021-04-08T00:00:00"/>
        <d v="2020-10-16T00:00:00"/>
        <d v="2021-09-26T00:00:00"/>
        <d v="2023-04-11T00:00:00"/>
        <d v="2020-07-06T00:00:00"/>
        <d v="2022-10-02T00:00:00"/>
        <d v="2023-10-17T00:00:00"/>
        <d v="2021-09-25T00:00:00"/>
        <d v="2022-03-08T00:00:00"/>
        <d v="2024-09-10T00:00:00"/>
        <d v="2020-04-19T00:00:00"/>
        <d v="2021-10-14T00:00:00"/>
        <d v="2024-08-26T00:00:00"/>
        <d v="2020-08-02T00:00:00"/>
        <d v="2020-06-09T00:00:00"/>
        <d v="2023-02-01T00:00:00"/>
        <d v="2023-06-13T00:00:00"/>
        <d v="2022-12-13T00:00:00"/>
        <d v="2022-03-03T00:00:00"/>
        <d v="2024-10-02T00:00:00"/>
        <d v="2021-11-24T00:00:00"/>
        <d v="2020-09-05T00:00:00"/>
        <d v="2024-12-19T00:00:00"/>
        <d v="2024-03-22T00:00:00"/>
        <d v="2022-06-13T00:00:00"/>
        <d v="2022-10-15T00:00:00"/>
        <d v="2022-05-31T00:00:00"/>
        <d v="2023-09-15T00:00:00"/>
        <d v="2022-04-07T00:00:00"/>
        <d v="2024-08-06T00:00:00"/>
        <d v="2020-11-23T00:00:00"/>
        <d v="2024-05-13T00:00:00"/>
        <d v="2022-01-29T00:00:00"/>
        <d v="2023-08-23T00:00:00"/>
        <d v="2023-02-24T00:00:00"/>
        <d v="2022-02-10T00:00:00"/>
        <d v="2020-06-28T00:00:00"/>
        <d v="2023-01-15T00:00:00"/>
        <d v="2020-05-09T00:00:00"/>
        <d v="2023-03-18T00:00:00"/>
        <d v="2022-03-26T00:00:00"/>
        <d v="2021-11-10T00:00:00"/>
        <d v="2021-07-01T00:00:00"/>
        <d v="2020-03-12T00:00:00"/>
        <d v="2021-05-28T00:00:00"/>
        <d v="2022-12-28T00:00:00"/>
        <d v="2023-05-24T00:00:00"/>
        <d v="2024-04-28T00:00:00"/>
        <d v="2024-12-25T00:00:00"/>
        <d v="2021-01-09T00:00:00"/>
        <d v="2021-02-21T00:00:00"/>
        <d v="2022-11-20T00:00:00"/>
        <d v="2024-07-24T00:00:00"/>
        <d v="2022-08-14T00:00:00"/>
        <d v="2023-09-10T00:00:00"/>
        <d v="2022-01-19T00:00:00"/>
        <d v="2022-12-01T00:00:00"/>
        <d v="2023-05-06T00:00:00"/>
        <d v="2024-03-26T00:00:00"/>
        <d v="2020-07-10T00:00:00"/>
        <d v="2021-02-11T00:00:00"/>
        <d v="2021-11-19T00:00:00"/>
        <d v="2022-01-24T00:00:00"/>
        <d v="2023-12-07T00:00:00"/>
        <d v="2022-09-12T00:00:00"/>
        <d v="2022-04-25T00:00:00"/>
        <d v="2021-02-28T00:00:00"/>
        <d v="2022-07-30T00:00:00"/>
        <d v="2021-05-19T00:00:00"/>
        <d v="2023-12-14T00:00:00"/>
        <d v="2023-01-17T00:00:00"/>
        <d v="2024-02-01T00:00:00"/>
        <d v="2021-09-07T00:00:00"/>
        <d v="2021-05-05T00:00:00"/>
        <d v="2023-08-30T00:00:00"/>
        <d v="2023-08-15T00:00:00"/>
        <d v="2020-12-24T00:00:00"/>
        <d v="2024-11-21T00:00:00"/>
        <d v="2021-11-17T00:00:00"/>
        <d v="2021-01-29T00:00:00"/>
        <d v="2024-02-17T00:00:00"/>
        <d v="2024-08-20T00:00:00"/>
        <d v="2021-10-24T00:00:00"/>
        <d v="2021-10-09T00:00:00"/>
        <d v="2023-09-29T00:00:00"/>
        <d v="2022-06-09T00:00:00"/>
        <d v="2024-03-31T00:00:00"/>
        <d v="2022-12-12T00:00:00"/>
        <d v="2022-01-11T00:00:00"/>
        <d v="2023-10-25T00:00:00"/>
        <d v="2020-09-27T00:00:00"/>
        <d v="2024-01-21T00:00:00"/>
        <d v="2022-05-17T00:00:00"/>
        <d v="2022-04-17T00:00:00"/>
        <d v="2022-08-02T00:00:00"/>
        <d v="2022-03-15T00:00:00"/>
        <d v="2020-11-13T00:00:00"/>
        <d v="2024-04-17T00:00:00"/>
        <d v="2020-09-03T00:00:00"/>
        <d v="2022-06-17T00:00:00"/>
        <d v="2024-07-28T00:00:00"/>
        <d v="2022-03-12T00:00:00"/>
        <d v="2023-06-07T00:00:00"/>
        <d v="2024-05-28T00:00:00"/>
        <d v="2024-03-25T00:00:00"/>
        <d v="2020-04-28T00:00:00"/>
        <d v="2020-04-15T00:00:00"/>
        <d v="2023-07-10T00:00:00"/>
        <d v="2024-02-27T00:00:00"/>
        <d v="2021-02-22T00:00:00"/>
        <d v="2023-08-21T00:00:00"/>
        <d v="2024-08-04T00:00:00"/>
        <d v="2022-05-05T00:00:00"/>
        <d v="2023-01-02T00:00:00"/>
        <d v="2022-01-10T00:00:00"/>
        <d v="2022-09-27T00:00:00"/>
        <d v="2020-09-04T00:00:00"/>
        <d v="2021-03-23T00:00:00"/>
        <d v="2023-03-02T00:00:00"/>
        <d v="2024-07-23T00:00:00"/>
        <d v="2022-11-04T00:00:00"/>
        <d v="2024-10-23T00:00:00"/>
        <d v="2020-04-24T00:00:00"/>
        <d v="2023-04-03T00:00:00"/>
        <d v="2022-08-31T00:00:00"/>
        <d v="2021-02-01T00:00:00"/>
        <d v="2020-06-06T00:00:00"/>
        <d v="2020-07-19T00:00:00"/>
        <d v="2024-03-05T00:00:00"/>
        <d v="2022-07-02T00:00:00"/>
        <d v="2023-12-31T00:00:00"/>
        <d v="2022-08-01T00:00:00"/>
        <d v="2020-09-28T00:00:00"/>
        <d v="2023-09-02T00:00:00"/>
        <d v="2022-05-03T00:00:00"/>
        <d v="2022-02-18T00:00:00"/>
        <d v="2022-09-06T00:00:00"/>
        <d v="2023-04-07T00:00:00"/>
        <d v="2022-03-21T00:00:00"/>
        <d v="2021-10-15T00:00:00"/>
        <d v="2021-07-28T00:00:00"/>
        <d v="2021-03-01T00:00:00"/>
        <d v="2021-10-05T00:00:00"/>
        <d v="2022-08-09T00:00:00"/>
        <d v="2024-07-21T00:00:00"/>
        <d v="2021-12-28T00:00:00"/>
        <d v="2020-07-20T00:00:00"/>
        <d v="2024-04-30T00:00:00"/>
        <d v="2021-08-28T00:00:00"/>
        <d v="2023-11-27T00:00:00"/>
        <d v="2020-11-08T00:00:00"/>
        <d v="2021-08-11T00:00:00"/>
        <d v="2023-04-08T00:00:00"/>
        <d v="2020-10-01T00:00:00"/>
        <d v="2023-07-05T00:00:00"/>
        <d v="2020-12-19T00:00:00"/>
        <d v="2020-01-10T00:00:00"/>
        <d v="2022-12-11T00:00:00"/>
        <d v="2023-05-01T00:00:00"/>
        <d v="2020-10-14T00:00:00"/>
        <d v="2021-03-02T00:00:00"/>
        <d v="2023-12-25T00:00:00"/>
        <d v="2020-07-03T00:00:00"/>
        <d v="2023-01-30T00:00:00"/>
        <d v="2023-06-15T00:00:00"/>
        <d v="2021-07-29T00:00:00"/>
        <d v="2023-10-23T00:00:00"/>
        <d v="2020-10-18T00:00:00"/>
        <d v="2024-06-15T00:00:00"/>
        <d v="2023-06-04T00:00:00"/>
        <d v="2022-03-01T00:00:00"/>
        <d v="2022-07-23T00:00:00"/>
        <d v="2024-11-25T00:00:00"/>
        <d v="2023-12-12T00:00:00"/>
        <d v="2023-10-24T00:00:00"/>
        <d v="2022-05-09T00:00:00"/>
        <d v="2020-01-18T00:00:00"/>
        <d v="2022-04-23T00:00:00"/>
        <d v="2023-04-22T00:00:00"/>
        <d v="2023-08-13T00:00:00"/>
        <d v="2022-10-10T00:00:00"/>
        <d v="2024-11-04T00:00:00"/>
        <d v="2022-10-23T00:00:00"/>
        <d v="2021-10-31T00:00:00"/>
        <d v="2024-09-29T00:00:00"/>
        <d v="2020-04-22T00:00:00"/>
        <d v="2020-07-12T00:00:00"/>
        <d v="2020-04-23T00:00:00"/>
        <d v="2023-12-10T00:00:00"/>
        <d v="2022-08-24T00:00:00"/>
        <d v="2022-02-02T00:00:00"/>
        <d v="2022-01-04T00:00:00"/>
        <d v="2023-04-26T00:00:00"/>
        <d v="2022-04-19T00:00:00"/>
        <d v="2024-04-10T00:00:00"/>
        <d v="2020-02-05T00:00:00"/>
        <d v="2023-07-29T00:00:00"/>
        <d v="2021-08-20T00:00:00"/>
        <d v="2021-04-23T00:00:00"/>
        <d v="2022-12-08T00:00:00"/>
        <d v="2021-06-26T00:00:00"/>
        <d v="2020-10-30T00:00:00"/>
        <d v="2023-01-31T00:00:00"/>
        <d v="2020-09-24T00:00:00"/>
        <d v="2020-03-28T00:00:00"/>
        <d v="2023-10-31T00:00:00"/>
        <d v="2020-11-03T00:00:00"/>
        <d v="2020-04-05T00:00:00"/>
        <d v="2023-07-15T00:00:00"/>
        <d v="2024-04-19T00:00:00"/>
        <d v="2021-06-29T00:00:00"/>
        <d v="2024-09-14T00:00:00"/>
        <d v="2022-04-01T00:00:00"/>
        <d v="2021-01-20T00:00:00"/>
        <d v="2020-03-18T00:00:00"/>
        <d v="2021-10-11T00:00:00"/>
        <d v="2020-01-05T00:00:00"/>
        <d v="2022-04-02T00:00:00"/>
        <d v="2020-11-18T00:00:00"/>
        <d v="2023-11-21T00:00:00"/>
        <d v="2022-02-13T00:00:00"/>
        <d v="2023-03-19T00:00:00"/>
        <d v="2021-03-28T00:00:00"/>
        <d v="2021-02-05T00:00:00"/>
        <d v="2021-05-03T00:00:00"/>
        <d v="2022-01-03T00:00:00"/>
        <d v="2023-01-23T00:00:00"/>
        <d v="2021-08-26T00:00:00"/>
        <d v="2020-11-25T00:00:00"/>
        <d v="2023-12-13T00:00:00"/>
        <d v="2020-07-26T00:00:00"/>
        <d v="2020-06-16T00:00:00"/>
        <d v="2020-01-04T00:00:00"/>
        <d v="2024-03-20T00:00:00"/>
        <d v="2023-07-02T00:00:00"/>
        <d v="2024-10-12T00:00:00"/>
        <d v="2024-06-27T00:00:00"/>
        <d v="2024-11-08T00:00:00"/>
        <d v="2023-04-19T00:00:00"/>
        <d v="2024-11-11T00:00:00"/>
        <d v="2023-03-17T00:00:00"/>
        <d v="2021-04-07T00:00:00"/>
        <d v="2023-03-11T00:00:00"/>
        <d v="2021-05-07T00:00:00"/>
        <d v="2024-02-26T00:00:00"/>
        <d v="2021-09-29T00:00:00"/>
        <d v="2021-05-25T00:00:00"/>
        <d v="2022-10-31T00:00:00"/>
        <d v="2022-02-07T00:00:00"/>
        <d v="2024-10-21T00:00:00"/>
        <d v="2020-11-02T00:00:00"/>
        <d v="2023-05-16T00:00:00"/>
        <d v="2022-07-29T00:00:00"/>
        <d v="2023-09-18T00:00:00"/>
        <d v="2020-10-05T00:00:00"/>
        <d v="2023-08-27T00:00:00"/>
        <d v="2021-10-16T00:00:00"/>
        <d v="2022-06-03T00:00:00"/>
        <d v="2023-06-11T00:00:00"/>
        <d v="2024-11-30T00:00:00"/>
        <d v="2024-07-13T00:00:00"/>
        <d v="2024-04-03T00:00:00"/>
        <d v="2022-07-08T00:00:00"/>
        <d v="2021-02-12T00:00:00"/>
        <d v="2024-05-14T00:00:00"/>
        <d v="2022-07-14T00:00:00"/>
        <d v="2020-09-22T00:00:00"/>
        <d v="2022-02-24T00:00:00"/>
        <d v="2024-01-30T00:00:00"/>
        <d v="2024-03-16T00:00:00"/>
        <d v="2020-09-25T00:00:00"/>
        <d v="2020-08-04T00:00:00"/>
        <d v="2022-06-28T00:00:00"/>
        <d v="2023-07-14T00:00:00"/>
        <d v="2023-06-12T00:00:00"/>
        <d v="2021-01-08T00:00:00"/>
        <d v="2021-02-17T00:00:00"/>
        <d v="2023-10-11T00:00:00"/>
        <d v="2024-06-09T00:00:00"/>
        <d v="2020-07-23T00:00:00"/>
        <d v="2024-02-21T00:00:00"/>
        <d v="2020-12-15T00:00:00"/>
        <d v="2023-04-24T00:00:00"/>
        <d v="2023-06-06T00:00:00"/>
        <d v="2022-06-21T00:00:00"/>
        <d v="2024-04-20T00:00:00"/>
        <d v="2023-05-12T00:00:00"/>
        <d v="2023-06-08T00:00:00"/>
        <d v="2024-07-31T00:00:00"/>
        <d v="2020-08-31T00:00:00"/>
        <d v="2023-02-15T00:00:00"/>
        <d v="2021-03-30T00:00:00"/>
        <d v="2020-05-08T00:00:00"/>
        <d v="2021-05-02T00:00:00"/>
        <d v="2021-11-23T00:00:00"/>
        <d v="2022-10-29T00:00:00"/>
        <d v="2022-07-11T00:00:00"/>
        <d v="2023-05-14T00:00:00"/>
        <d v="2021-07-14T00:00:00"/>
        <d v="2023-05-18T00:00:00"/>
        <d v="2023-08-24T00:00:00"/>
        <d v="2023-08-04T00:00:00"/>
        <d v="2022-06-12T00:00:00"/>
        <d v="2021-09-08T00:00:00"/>
        <d v="2024-05-25T00:00:00"/>
        <d v="2023-07-21T00:00:00"/>
        <d v="2023-10-30T00:00:00"/>
        <d v="2023-02-13T00:00:00"/>
        <d v="2020-05-19T00:00:00"/>
        <d v="2023-09-20T00:00:00"/>
        <d v="2024-08-13T00:00:00"/>
        <d v="2023-10-06T00:00:00"/>
        <d v="2021-09-06T00:00:00"/>
        <d v="2024-02-05T00:00:00"/>
        <d v="2024-06-11T00:00:00"/>
        <d v="2023-08-17T00:00:00"/>
        <d v="2021-06-13T00:00:00"/>
        <d v="2023-10-10T00:00:00"/>
        <d v="2022-02-01T00:00:00"/>
        <d v="2022-02-20T00:00:00"/>
        <d v="2024-09-03T00:00:00"/>
        <d v="2023-08-19T00:00:00"/>
        <d v="2024-01-26T00:00:00"/>
        <d v="2020-05-29T00:00:00"/>
        <d v="2021-01-31T00:00:00"/>
        <d v="2022-01-16T00:00:00"/>
        <d v="2024-02-12T00:00:00"/>
        <d v="2024-12-20T00:00:00"/>
        <d v="2023-03-31T00:00:00"/>
        <d v="2021-04-05T00:00:00"/>
        <d v="2021-01-01T00:00:00"/>
        <d v="2021-10-25T00:00:00"/>
        <d v="2020-12-22T00:00:00"/>
        <d v="2022-11-23T00:00:00"/>
        <d v="2022-10-24T00:00:00"/>
        <d v="2020-08-20T00:00:00"/>
        <d v="2020-02-15T00:00:00"/>
        <d v="2024-12-29T00:00:00"/>
        <d v="2023-02-28T00:00:00"/>
        <d v="2022-08-23T00:00:00"/>
        <d v="2021-04-15T00:00:00"/>
        <d v="2022-09-05T00:00:00"/>
        <d v="2023-05-20T00:00:00"/>
        <d v="2023-11-29T00:00:00"/>
        <d v="2024-10-25T00:00:00"/>
        <d v="2024-02-03T00:00:00"/>
        <d v="2021-02-24T00:00:00"/>
        <d v="2023-04-13T00:00:00"/>
        <d v="2022-09-17T00:00:00"/>
        <d v="2024-07-10T00:00:00"/>
        <d v="2022-11-22T00:00:00"/>
        <d v="2023-04-15T00:00:00"/>
        <d v="2022-07-20T00:00:00"/>
        <d v="2023-02-18T00:00:00"/>
        <d v="2021-05-27T00:00:00"/>
        <d v="2022-01-08T00:00:00"/>
        <d v="2024-03-13T00:00:00"/>
        <d v="2023-03-20T00:00:00"/>
        <d v="2024-02-15T00:00:00"/>
        <d v="2020-11-15T00:00:00"/>
        <d v="2020-03-27T00:00:00"/>
        <d v="2021-09-01T00:00:00"/>
        <d v="2020-04-20T00:00:00"/>
        <d v="2024-08-05T00:00:00"/>
        <d v="2023-01-28T00:00:00"/>
        <d v="2021-07-03T00:00:00"/>
        <d v="2023-03-16T00:00:00"/>
        <d v="2023-11-02T00:00:00"/>
        <d v="2022-05-13T00:00:00"/>
        <d v="2024-10-24T00:00:00"/>
        <d v="2023-05-25T00:00:00"/>
        <d v="2022-11-11T00:00:00"/>
        <d v="2023-07-17T00:00:00"/>
        <d v="2023-04-17T00:00:00"/>
        <d v="2021-04-25T00:00:00"/>
        <d v="2020-07-14T00:00:00"/>
        <d v="2020-07-31T00:00:00"/>
        <d v="2024-10-28T00:00:00"/>
        <d v="2020-03-10T00:00:00"/>
        <d v="2020-01-01T00:00:00"/>
        <d v="2022-03-19T00:00:00"/>
        <d v="2022-05-14T00:00:00"/>
        <d v="2024-07-14T00:00:00"/>
        <d v="2023-07-28T00:00:00"/>
        <d v="2020-11-04T00:00:00"/>
        <d v="2022-10-05T00:00:00"/>
        <d v="2020-06-13T00:00:00"/>
        <d v="2022-08-20T00:00:00"/>
        <d v="2024-04-27T00:00:00"/>
        <d v="2021-10-23T00:00:00"/>
        <d v="2021-10-02T00:00:00"/>
        <d v="2021-10-26T00:00:00"/>
        <d v="2023-05-04T00:00:00"/>
        <d v="2022-10-20T00:00:00"/>
        <d v="2024-01-23T00:00:00"/>
        <d v="2023-11-28T00:00:00"/>
        <d v="2024-11-02T00:00:00"/>
        <d v="2020-07-16T00:00:00"/>
        <d v="2023-04-23T00:00:00"/>
        <d v="2024-12-27T00:00:00"/>
        <d v="2024-10-08T00:00:00"/>
        <d v="2024-04-09T00:00:00"/>
        <d v="2022-02-28T00:00:00"/>
        <d v="2022-04-24T00:00:00"/>
        <d v="2021-03-14T00:00:00"/>
        <d v="2021-07-09T00:00:00"/>
        <d v="2022-11-13T00:00:00"/>
        <d v="2023-03-14T00:00:00"/>
        <d v="2024-08-18T00:00:00"/>
        <d v="2024-05-02T00:00:00"/>
        <d v="2020-04-13T00:00:00"/>
        <d v="2023-08-28T00:00:00"/>
        <d v="2021-01-25T00:00:00"/>
        <d v="2024-09-08T00:00:00"/>
        <d v="2023-06-25T00:00:00"/>
        <d v="2021-09-16T00:00:00"/>
        <d v="2022-07-12T00:00:00"/>
        <d v="2022-12-14T00:00:00"/>
        <d v="2020-04-18T00:00:00"/>
        <d v="2024-11-10T00:00:00"/>
        <d v="2020-06-29T00:00:00"/>
        <d v="2021-05-21T00:00:00"/>
        <d v="2021-11-12T00:00:00"/>
        <d v="2023-05-07T00:00:00"/>
        <d v="2021-11-30T00:00:00"/>
        <d v="2024-06-26T00:00:00"/>
        <d v="2020-11-19T00:00:00"/>
        <d v="2020-01-03T00:00:00"/>
        <d v="2021-01-13T00:00:00"/>
        <d v="2022-10-25T00:00:00"/>
        <d v="2020-08-10T00:00:00"/>
        <d v="2024-02-29T00:00:00"/>
        <d v="2022-09-30T00:00:00"/>
        <d v="2024-02-14T00:00:00"/>
        <d v="2023-03-01T00:00:00"/>
        <d v="2024-12-16T00:00:00"/>
        <d v="2020-04-21T00:00:00"/>
        <d v="2020-08-19T00:00:00"/>
        <d v="2020-02-21T00:00:00"/>
        <d v="2023-11-17T00:00:00"/>
        <d v="2022-09-07T00:00:00"/>
        <d v="2024-11-14T00:00:00"/>
        <d v="2023-06-29T00:00:00"/>
        <d v="2024-12-12T00:00:00"/>
        <d v="2020-11-26T00:00:00"/>
        <d v="2020-03-14T00:00:00"/>
        <d v="2020-12-05T00:00:00"/>
        <d v="2024-02-02T00:00:00"/>
        <d v="2021-07-30T00:00:00"/>
        <d v="2023-03-28T00:00:00"/>
        <d v="2021-11-25T00:00:00"/>
        <d v="2022-04-27T00:00:00"/>
        <d v="2021-11-09T00:00:00"/>
        <d v="2024-11-24T00:00:00"/>
        <d v="2024-06-03T00:00:00"/>
        <d v="2023-10-15T00:00:00"/>
        <d v="2023-05-05T00:00:00"/>
        <d v="2024-01-08T00:00:00"/>
        <d v="2024-07-22T00:00:00"/>
        <d v="2022-03-13T00:00:00"/>
        <d v="2020-05-13T00:00:00"/>
        <d v="2023-03-22T00:00:00"/>
        <d v="2020-11-21T00:00:00"/>
        <d v="2023-09-19T00:00:00"/>
        <d v="2021-10-28T00:00:00"/>
        <d v="2020-05-05T00:00:00"/>
        <d v="2022-12-24T00:00:00"/>
        <d v="2021-05-09T00:00:00"/>
        <d v="2023-01-29T00:00:00"/>
        <d v="2022-03-06T00:00:00"/>
        <d v="2023-01-21T00:00:00"/>
        <d v="2020-02-02T00:00:00"/>
        <d v="2024-08-07T00:00:00"/>
        <d v="2022-05-18T00:00:00"/>
        <d v="2020-01-16T00:00:00"/>
        <d v="2023-03-26T00:00:00"/>
        <d v="2023-03-21T00:00:00"/>
        <d v="2023-08-05T00:00:00"/>
        <d v="2020-12-12T00:00:00"/>
        <d v="2020-06-17T00:00:00"/>
        <d v="2021-07-17T00:00:00"/>
        <d v="2020-05-11T00:00:00"/>
        <d v="2021-05-01T00:00:00"/>
        <d v="2024-11-09T00:00:00"/>
        <d v="2020-04-17T00:00:00"/>
        <d v="2022-02-16T00:00:00"/>
        <d v="2021-08-14T00:00:00"/>
        <d v="2021-07-07T00:00:00"/>
        <d v="2024-12-02T00:00:00"/>
        <d v="2020-07-07T00:00:00"/>
        <d v="2020-02-09T00:00:00"/>
        <d v="2021-12-01T00:00:00"/>
        <d v="2021-02-14T00:00:00"/>
        <d v="2020-05-24T00:00:00"/>
        <d v="2022-12-03T00:00:00"/>
        <d v="2024-05-18T00:00:00"/>
        <d v="2024-09-18T00:00:00"/>
        <d v="2022-06-15T00:00:00"/>
        <d v="2022-09-28T00:00:00"/>
        <d v="2023-09-28T00:00:00"/>
        <d v="2023-03-25T00:00:00"/>
        <d v="2020-01-07T00:00:00"/>
        <d v="2020-09-16T00:00:00"/>
        <d v="2021-12-13T00:00:00"/>
        <d v="2022-11-01T00:00:00"/>
        <d v="2021-07-20T00:00:00"/>
        <d v="2023-04-10T00:00:00"/>
        <d v="2021-11-15T00:00:00"/>
        <d v="2024-01-17T00:00:00"/>
        <d v="2021-04-16T00:00:00"/>
        <d v="2023-02-06T00:00:00"/>
        <d v="2020-01-30T00:00:00"/>
        <d v="2021-03-31T00:00:00"/>
        <d v="2024-07-16T00:00:00"/>
        <d v="2024-01-06T00:00:00"/>
        <d v="2024-12-23T00:00:00"/>
        <d v="2022-10-28T00:00:00"/>
        <d v="2023-11-20T00:00:00"/>
        <d v="2022-11-03T00:00:00"/>
        <d v="2022-03-05T00:00:00"/>
        <d v="2024-02-19T00:00:00"/>
        <d v="2021-11-18T00:00:00"/>
        <d v="2022-12-21T00:00:00"/>
        <d v="2022-07-22T00:00:00"/>
        <d v="2021-10-10T00:00:00"/>
        <d v="2020-12-03T00:00:00"/>
        <d v="2022-07-09T00:00:00"/>
        <d v="2024-05-10T00:00:00"/>
        <d v="2021-12-10T00:00:00"/>
        <d v="2024-10-14T00:00:00"/>
        <d v="2022-01-07T00:00:00"/>
        <d v="2020-10-21T00:00:00"/>
        <d v="2020-01-14T00:00:00"/>
        <d v="2023-09-03T00:00:00"/>
        <d v="2021-04-04T00:00:00"/>
        <d v="2020-11-09T00:00:00"/>
        <d v="2021-05-16T00:00:00"/>
        <d v="2022-11-15T00:00:00"/>
        <d v="2021-10-22T00:00:00"/>
        <d v="2024-03-08T00:00:00"/>
        <d v="2020-05-15T00:00:00"/>
        <d v="2021-02-13T00:00:00"/>
        <d v="2024-05-08T00:00:00"/>
        <d v="2020-09-01T00:00:00"/>
        <d v="2023-11-30T00:00:00"/>
        <d v="2020-05-10T00:00:00"/>
        <d v="2023-10-22T00:00:00"/>
        <d v="2023-10-09T00:00:00"/>
        <d v="2024-04-15T00:00:00"/>
        <d v="2024-08-27T00:00:00"/>
        <d v="2020-08-11T00:00:00"/>
        <d v="2021-08-24T00:00:00"/>
        <d v="2020-06-02T00:00:00"/>
        <d v="2024-12-10T00:00:00"/>
        <d v="2024-04-13T00:00:00"/>
        <d v="2021-10-18T00:00:00"/>
        <d v="2020-02-25T00:00:00"/>
        <d v="2020-06-22T00:00:00"/>
        <d v="2023-07-01T00:00:00"/>
        <d v="2021-11-26T00:00:00"/>
        <d v="2024-09-17T00:00:00"/>
        <d v="2021-07-13T00:00:00"/>
        <d v="2023-11-12T00:00:00"/>
        <d v="2021-02-07T00:00:00"/>
        <d v="2022-05-12T00:00:00"/>
        <d v="2024-09-24T00:00:00"/>
        <d v="2023-08-16T00:00:00"/>
        <d v="2021-01-28T00:00:00"/>
      </sharedItems>
      <fieldGroup par="15"/>
    </cacheField>
    <cacheField name="Salary" numFmtId="165">
      <sharedItems containsString="0" containsBlank="1" containsNumber="1" minValue="50047.32" maxValue="119971.65"/>
    </cacheField>
    <cacheField name="Email" numFmtId="0">
      <sharedItems/>
    </cacheField>
    <cacheField name="Phone" numFmtId="0">
      <sharedItems/>
    </cacheField>
    <cacheField name="Performance_Score" numFmtId="0">
      <sharedItems count="4">
        <s v="Average"/>
        <s v="Excellent"/>
        <s v="Good"/>
        <s v="Poor"/>
      </sharedItems>
    </cacheField>
    <cacheField name="Remote_Work" numFmtId="0">
      <sharedItems count="2">
        <s v="TRUE"/>
        <s v="FALSE"/>
      </sharedItems>
    </cacheField>
    <cacheField name="Months (Join_Date)" numFmtId="0" databaseField="0">
      <fieldGroup base="7">
        <rangePr groupBy="months" startDate="2020-01-01T00:00:00" endDate="2024-12-30T00:00:00"/>
        <groupItems count="14">
          <s v="&lt;1 01 2020"/>
          <s v="Jan"/>
          <s v="Feb"/>
          <s v="Mar"/>
          <s v="Apr"/>
          <s v="May"/>
          <s v="Jun"/>
          <s v="Jul"/>
          <s v="Aug"/>
          <s v="Sep"/>
          <s v="Oct"/>
          <s v="Nov"/>
          <s v="Dec"/>
          <s v="&gt;30 12 2024"/>
        </groupItems>
      </fieldGroup>
    </cacheField>
    <cacheField name="Quarters (Join_Date)" numFmtId="0" databaseField="0">
      <fieldGroup base="7">
        <rangePr groupBy="quarters" startDate="2020-01-01T00:00:00" endDate="2024-12-30T00:00:00"/>
        <groupItems count="6">
          <s v="&lt;1 01 2020"/>
          <s v="Qtr1"/>
          <s v="Qtr2"/>
          <s v="Qtr3"/>
          <s v="Qtr4"/>
          <s v="&gt;30 12 2024"/>
        </groupItems>
      </fieldGroup>
    </cacheField>
    <cacheField name="Years (Join_Date)" numFmtId="0" databaseField="0">
      <fieldGroup base="7">
        <rangePr groupBy="years" startDate="2020-01-01T00:00:00" endDate="2024-12-30T00:00:00"/>
        <groupItems count="7">
          <s v="&lt;1 01 2020"/>
          <s v="2020"/>
          <s v="2021"/>
          <s v="2022"/>
          <s v="2023"/>
          <s v="2024"/>
          <s v="&gt;30 12 2024"/>
        </groupItems>
      </fieldGroup>
    </cacheField>
  </cacheFields>
  <extLst>
    <ext xmlns:x14="http://schemas.microsoft.com/office/spreadsheetml/2009/9/main" uri="{725AE2AE-9491-48be-B2B4-4EB974FC3084}">
      <x14:pivotCacheDefinition pivotCacheId="156036161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0">
  <r>
    <s v="EMP1000"/>
    <s v="Bob"/>
    <s v="Davis"/>
    <x v="0"/>
    <x v="0"/>
    <x v="0"/>
    <x v="0"/>
    <x v="0"/>
    <n v="59767.65"/>
    <s v="bob.davis@example.com"/>
    <s v="1651623197"/>
    <x v="0"/>
    <x v="0"/>
  </r>
  <r>
    <s v="EMP1001"/>
    <s v="Bob"/>
    <s v="Brown"/>
    <x v="1"/>
    <x v="1"/>
    <x v="1"/>
    <x v="0"/>
    <x v="1"/>
    <n v="65304.66"/>
    <s v="bob.brown@example.com"/>
    <s v="1898471390"/>
    <x v="1"/>
    <x v="0"/>
  </r>
  <r>
    <s v="EMP1002"/>
    <s v="Alice"/>
    <s v="Jones"/>
    <x v="1"/>
    <x v="2"/>
    <x v="2"/>
    <x v="1"/>
    <x v="2"/>
    <n v="88145.9"/>
    <s v="alice.jones@example.com"/>
    <s v="5596363211"/>
    <x v="2"/>
    <x v="0"/>
  </r>
  <r>
    <s v="EMP1003"/>
    <s v="Eva"/>
    <s v="Davis"/>
    <x v="0"/>
    <x v="2"/>
    <x v="2"/>
    <x v="2"/>
    <x v="3"/>
    <n v="69450.990000000005"/>
    <s v="eva.davis@example.com"/>
    <s v="3476490784"/>
    <x v="2"/>
    <x v="0"/>
  </r>
  <r>
    <s v="EMP1004"/>
    <s v="Frank"/>
    <s v="Williams"/>
    <x v="0"/>
    <x v="3"/>
    <x v="3"/>
    <x v="0"/>
    <x v="4"/>
    <n v="109324.61"/>
    <s v="frank.williams@example.com"/>
    <s v="1586734256"/>
    <x v="3"/>
    <x v="1"/>
  </r>
  <r>
    <s v="EMP1005"/>
    <s v="Alice"/>
    <s v="Garcia"/>
    <x v="2"/>
    <x v="4"/>
    <x v="1"/>
    <x v="2"/>
    <x v="5"/>
    <n v="88642.84"/>
    <s v="alice.garcia@example.com"/>
    <s v="5409003485"/>
    <x v="2"/>
    <x v="1"/>
  </r>
  <r>
    <s v="EMP1006"/>
    <s v="Frank"/>
    <s v="Jones"/>
    <x v="1"/>
    <x v="2"/>
    <x v="2"/>
    <x v="0"/>
    <x v="6"/>
    <n v="96288.43"/>
    <s v="frank.jones@example.com"/>
    <s v="4518376063"/>
    <x v="2"/>
    <x v="1"/>
  </r>
  <r>
    <s v="EMP1007"/>
    <s v="Bob"/>
    <s v="Jones"/>
    <x v="1"/>
    <x v="3"/>
    <x v="3"/>
    <x v="2"/>
    <x v="7"/>
    <n v="94497.91"/>
    <s v="bob.jones@example.com"/>
    <s v="4134327559"/>
    <x v="0"/>
    <x v="0"/>
  </r>
  <r>
    <s v="EMP1008"/>
    <s v="Frank"/>
    <s v="Davis"/>
    <x v="3"/>
    <x v="2"/>
    <x v="2"/>
    <x v="2"/>
    <x v="8"/>
    <n v="115565.82"/>
    <s v="frank.davis@example.com"/>
    <s v="4177656123"/>
    <x v="1"/>
    <x v="0"/>
  </r>
  <r>
    <s v="EMP1009"/>
    <s v="Charlie"/>
    <s v="Johnson"/>
    <x v="1"/>
    <x v="0"/>
    <x v="4"/>
    <x v="0"/>
    <x v="9"/>
    <n v="76561.88"/>
    <s v="charlie.johnson@example.com"/>
    <s v="8156985699"/>
    <x v="1"/>
    <x v="0"/>
  </r>
  <r>
    <s v="EMP1010"/>
    <s v="David"/>
    <s v="Williams"/>
    <x v="3"/>
    <x v="3"/>
    <x v="4"/>
    <x v="0"/>
    <x v="10"/>
    <n v="72081.710000000006"/>
    <s v="david.williams@example.com"/>
    <s v="2720634590"/>
    <x v="0"/>
    <x v="1"/>
  </r>
  <r>
    <s v="EMP1011"/>
    <s v="David"/>
    <s v="Davis"/>
    <x v="1"/>
    <x v="0"/>
    <x v="0"/>
    <x v="0"/>
    <x v="11"/>
    <n v="84946.19"/>
    <s v="david.davis@example.com"/>
    <s v="1238296576"/>
    <x v="3"/>
    <x v="0"/>
  </r>
  <r>
    <s v="EMP1012"/>
    <s v="Heidi"/>
    <s v="Williams"/>
    <x v="1"/>
    <x v="5"/>
    <x v="4"/>
    <x v="0"/>
    <x v="12"/>
    <n v="89295.77"/>
    <s v="heidi.williams@example.com"/>
    <s v="2429543164"/>
    <x v="1"/>
    <x v="1"/>
  </r>
  <r>
    <s v="EMP1013"/>
    <s v="Grace"/>
    <s v="Williams"/>
    <x v="1"/>
    <x v="1"/>
    <x v="0"/>
    <x v="0"/>
    <x v="13"/>
    <n v="85666.84"/>
    <s v="grace.williams@example.com"/>
    <s v="2669300892"/>
    <x v="2"/>
    <x v="1"/>
  </r>
  <r>
    <s v="EMP1014"/>
    <s v="Alice"/>
    <s v="Garcia"/>
    <x v="0"/>
    <x v="2"/>
    <x v="2"/>
    <x v="0"/>
    <x v="14"/>
    <n v="97633.68"/>
    <s v="alice.garcia@example.com"/>
    <s v="1734206968"/>
    <x v="1"/>
    <x v="0"/>
  </r>
  <r>
    <s v="EMP1015"/>
    <s v="Grace"/>
    <s v="Jones"/>
    <x v="2"/>
    <x v="4"/>
    <x v="3"/>
    <x v="1"/>
    <x v="15"/>
    <n v="117975.49"/>
    <s v="grace.jones@example.com"/>
    <s v="4215291085"/>
    <x v="2"/>
    <x v="0"/>
  </r>
  <r>
    <s v="EMP1016"/>
    <s v="Alice"/>
    <s v="Brown"/>
    <x v="0"/>
    <x v="0"/>
    <x v="5"/>
    <x v="2"/>
    <x v="16"/>
    <n v="94867.33"/>
    <s v="alice.brown@example.com"/>
    <s v="7713334475"/>
    <x v="3"/>
    <x v="1"/>
  </r>
  <r>
    <s v="EMP1017"/>
    <s v="Grace"/>
    <s v="Garcia"/>
    <x v="1"/>
    <x v="1"/>
    <x v="1"/>
    <x v="1"/>
    <x v="17"/>
    <n v="100377.65"/>
    <s v="grace.garcia@example.com"/>
    <s v="2639343625"/>
    <x v="0"/>
    <x v="0"/>
  </r>
  <r>
    <s v="EMP1018"/>
    <s v="Charlie"/>
    <s v="Garcia"/>
    <x v="1"/>
    <x v="3"/>
    <x v="2"/>
    <x v="2"/>
    <x v="18"/>
    <n v="94726.46"/>
    <s v="charlie.garcia@example.com"/>
    <s v="2044397358"/>
    <x v="1"/>
    <x v="1"/>
  </r>
  <r>
    <s v="EMP1019"/>
    <s v="Charlie"/>
    <s v="Williams"/>
    <x v="3"/>
    <x v="2"/>
    <x v="5"/>
    <x v="1"/>
    <x v="19"/>
    <n v="91926.12"/>
    <s v="charlie.williams@example.com"/>
    <s v="7107256365"/>
    <x v="0"/>
    <x v="0"/>
  </r>
  <r>
    <s v="EMP1020"/>
    <s v="Bob"/>
    <s v="Miller"/>
    <x v="3"/>
    <x v="5"/>
    <x v="4"/>
    <x v="0"/>
    <x v="20"/>
    <n v="111460.67"/>
    <s v="bob.miller@example.com"/>
    <s v="9411800536"/>
    <x v="1"/>
    <x v="0"/>
  </r>
  <r>
    <s v="EMP1021"/>
    <s v="Bob"/>
    <s v="Jones"/>
    <x v="2"/>
    <x v="3"/>
    <x v="5"/>
    <x v="0"/>
    <x v="21"/>
    <n v="96182.56"/>
    <s v="bob.jones@example.com"/>
    <s v="5990048963"/>
    <x v="2"/>
    <x v="1"/>
  </r>
  <r>
    <s v="EMP1022"/>
    <s v="Charlie"/>
    <s v="Johnson"/>
    <x v="3"/>
    <x v="4"/>
    <x v="5"/>
    <x v="2"/>
    <x v="22"/>
    <n v="115023.94"/>
    <s v="charlie.johnson@example.com"/>
    <s v="6528092427"/>
    <x v="0"/>
    <x v="0"/>
  </r>
  <r>
    <s v="EMP1023"/>
    <s v="David"/>
    <s v="Garcia"/>
    <x v="3"/>
    <x v="1"/>
    <x v="2"/>
    <x v="1"/>
    <x v="23"/>
    <n v="80667.009999999995"/>
    <s v="david.garcia@example.com"/>
    <s v="7572158623"/>
    <x v="1"/>
    <x v="1"/>
  </r>
  <r>
    <s v="EMP1024"/>
    <s v="Bob"/>
    <s v="Brown"/>
    <x v="1"/>
    <x v="2"/>
    <x v="1"/>
    <x v="2"/>
    <x v="24"/>
    <n v="91181.61"/>
    <s v="bob.brown@example.com"/>
    <s v="1502745643"/>
    <x v="2"/>
    <x v="0"/>
  </r>
  <r>
    <s v="EMP1025"/>
    <s v="David"/>
    <s v="Miller"/>
    <x v="0"/>
    <x v="3"/>
    <x v="2"/>
    <x v="1"/>
    <x v="25"/>
    <n v="66025.919999999998"/>
    <s v="david.miller@example.com"/>
    <s v="9485625727"/>
    <x v="0"/>
    <x v="1"/>
  </r>
  <r>
    <s v="EMP1026"/>
    <s v="Frank"/>
    <s v="Miller"/>
    <x v="0"/>
    <x v="4"/>
    <x v="4"/>
    <x v="2"/>
    <x v="26"/>
    <n v="83979.01"/>
    <s v="frank.miller@example.com"/>
    <s v="7032032073"/>
    <x v="0"/>
    <x v="1"/>
  </r>
  <r>
    <s v="EMP1027"/>
    <s v="Heidi"/>
    <s v="Johnson"/>
    <x v="1"/>
    <x v="1"/>
    <x v="3"/>
    <x v="0"/>
    <x v="27"/>
    <n v="56785.16"/>
    <s v="heidi.johnson@example.com"/>
    <s v="2761707586"/>
    <x v="1"/>
    <x v="0"/>
  </r>
  <r>
    <s v="EMP1028"/>
    <s v="Grace"/>
    <s v="Garcia"/>
    <x v="2"/>
    <x v="1"/>
    <x v="2"/>
    <x v="0"/>
    <x v="28"/>
    <n v="95741.88"/>
    <s v="grace.garcia@example.com"/>
    <s v="7712151341"/>
    <x v="1"/>
    <x v="1"/>
  </r>
  <r>
    <s v="EMP1029"/>
    <s v="Alice"/>
    <s v="Brown"/>
    <x v="2"/>
    <x v="0"/>
    <x v="0"/>
    <x v="0"/>
    <x v="29"/>
    <n v="63411.31"/>
    <s v="alice.brown@example.com"/>
    <s v="2849939088"/>
    <x v="1"/>
    <x v="0"/>
  </r>
  <r>
    <s v="EMP1030"/>
    <s v="Charlie"/>
    <s v="Jones"/>
    <x v="2"/>
    <x v="2"/>
    <x v="0"/>
    <x v="2"/>
    <x v="30"/>
    <n v="111214.02"/>
    <s v="charlie.jones@example.com"/>
    <s v="2613715040"/>
    <x v="2"/>
    <x v="0"/>
  </r>
  <r>
    <s v="EMP1031"/>
    <s v="Bob"/>
    <s v="Smith"/>
    <x v="0"/>
    <x v="0"/>
    <x v="5"/>
    <x v="0"/>
    <x v="1"/>
    <n v="114845.69"/>
    <s v="bob.smith@example.com"/>
    <s v="6591520176"/>
    <x v="1"/>
    <x v="0"/>
  </r>
  <r>
    <s v="EMP1032"/>
    <s v="Charlie"/>
    <s v="Brown"/>
    <x v="2"/>
    <x v="1"/>
    <x v="3"/>
    <x v="0"/>
    <x v="31"/>
    <n v="78072.820000000007"/>
    <s v="charlie.brown@example.com"/>
    <s v="7490509758"/>
    <x v="0"/>
    <x v="1"/>
  </r>
  <r>
    <s v="EMP1033"/>
    <s v="Grace"/>
    <s v="Johnson"/>
    <x v="0"/>
    <x v="1"/>
    <x v="0"/>
    <x v="2"/>
    <x v="32"/>
    <n v="79610.52"/>
    <s v="grace.johnson@example.com"/>
    <s v="2304501895"/>
    <x v="0"/>
    <x v="1"/>
  </r>
  <r>
    <s v="EMP1034"/>
    <s v="Heidi"/>
    <s v="Miller"/>
    <x v="1"/>
    <x v="2"/>
    <x v="0"/>
    <x v="0"/>
    <x v="33"/>
    <n v="90542.62"/>
    <s v="heidi.miller@example.com"/>
    <s v="1642361031"/>
    <x v="1"/>
    <x v="0"/>
  </r>
  <r>
    <s v="EMP1035"/>
    <s v="Frank"/>
    <s v="Jones"/>
    <x v="0"/>
    <x v="3"/>
    <x v="5"/>
    <x v="2"/>
    <x v="34"/>
    <n v="114357.1"/>
    <s v="frank.jones@example.com"/>
    <s v="6642147648"/>
    <x v="1"/>
    <x v="0"/>
  </r>
  <r>
    <s v="EMP1036"/>
    <s v="Alice"/>
    <s v="Brown"/>
    <x v="1"/>
    <x v="3"/>
    <x v="4"/>
    <x v="0"/>
    <x v="35"/>
    <n v="54757.26"/>
    <s v="alice.brown@example.com"/>
    <s v="2515837766"/>
    <x v="3"/>
    <x v="1"/>
  </r>
  <r>
    <s v="EMP1037"/>
    <s v="Grace"/>
    <s v="Smith"/>
    <x v="0"/>
    <x v="4"/>
    <x v="4"/>
    <x v="1"/>
    <x v="36"/>
    <n v="52781.919999999998"/>
    <s v="grace.smith@example.com"/>
    <s v="4996165925"/>
    <x v="0"/>
    <x v="0"/>
  </r>
  <r>
    <s v="EMP1038"/>
    <s v="Frank"/>
    <s v="Smith"/>
    <x v="3"/>
    <x v="2"/>
    <x v="2"/>
    <x v="1"/>
    <x v="37"/>
    <n v="66708.02"/>
    <s v="frank.smith@example.com"/>
    <s v="6108573277"/>
    <x v="2"/>
    <x v="0"/>
  </r>
  <r>
    <s v="EMP1039"/>
    <s v="Eva"/>
    <s v="Williams"/>
    <x v="2"/>
    <x v="5"/>
    <x v="1"/>
    <x v="0"/>
    <x v="38"/>
    <n v="93481.15"/>
    <s v="eva.williams@example.com"/>
    <s v="8147617421"/>
    <x v="3"/>
    <x v="1"/>
  </r>
  <r>
    <s v="EMP1040"/>
    <s v="Bob"/>
    <s v="Williams"/>
    <x v="0"/>
    <x v="4"/>
    <x v="4"/>
    <x v="1"/>
    <x v="39"/>
    <n v="59271.96"/>
    <s v="bob.williams@example.com"/>
    <s v="4386490809"/>
    <x v="1"/>
    <x v="0"/>
  </r>
  <r>
    <s v="EMP1041"/>
    <s v="Bob"/>
    <s v="Davis"/>
    <x v="1"/>
    <x v="5"/>
    <x v="0"/>
    <x v="0"/>
    <x v="40"/>
    <n v="108362.15"/>
    <s v="bob.davis@example.com"/>
    <s v="8186617944"/>
    <x v="1"/>
    <x v="1"/>
  </r>
  <r>
    <s v="EMP1042"/>
    <s v="Alice"/>
    <s v="Johnson"/>
    <x v="1"/>
    <x v="5"/>
    <x v="2"/>
    <x v="0"/>
    <x v="41"/>
    <n v="59400.38"/>
    <s v="alice.johnson@example.com"/>
    <s v="4918017225"/>
    <x v="0"/>
    <x v="0"/>
  </r>
  <r>
    <s v="EMP1043"/>
    <s v="Bob"/>
    <s v="Garcia"/>
    <x v="1"/>
    <x v="2"/>
    <x v="0"/>
    <x v="2"/>
    <x v="42"/>
    <n v="64744.08"/>
    <s v="bob.garcia@example.com"/>
    <s v="164597793"/>
    <x v="1"/>
    <x v="1"/>
  </r>
  <r>
    <s v="EMP1044"/>
    <s v="Eva"/>
    <s v="Brown"/>
    <x v="1"/>
    <x v="1"/>
    <x v="0"/>
    <x v="0"/>
    <x v="43"/>
    <n v="94399.91"/>
    <s v="eva.brown@example.com"/>
    <s v="5232194167"/>
    <x v="2"/>
    <x v="0"/>
  </r>
  <r>
    <s v="EMP1045"/>
    <s v="Alice"/>
    <s v="Brown"/>
    <x v="0"/>
    <x v="5"/>
    <x v="4"/>
    <x v="1"/>
    <x v="44"/>
    <n v="61310.74"/>
    <s v="alice.brown@example.com"/>
    <s v="61027768"/>
    <x v="0"/>
    <x v="0"/>
  </r>
  <r>
    <s v="EMP1046"/>
    <s v="Grace"/>
    <s v="Garcia"/>
    <x v="1"/>
    <x v="3"/>
    <x v="1"/>
    <x v="0"/>
    <x v="45"/>
    <n v="98371.37"/>
    <s v="grace.garcia@example.com"/>
    <s v="7499564121"/>
    <x v="1"/>
    <x v="1"/>
  </r>
  <r>
    <s v="EMP1047"/>
    <s v="Alice"/>
    <s v="Davis"/>
    <x v="3"/>
    <x v="4"/>
    <x v="5"/>
    <x v="0"/>
    <x v="46"/>
    <n v="58921.19"/>
    <s v="alice.davis@example.com"/>
    <s v="310303722"/>
    <x v="0"/>
    <x v="0"/>
  </r>
  <r>
    <s v="EMP1048"/>
    <s v="Alice"/>
    <s v="Miller"/>
    <x v="3"/>
    <x v="2"/>
    <x v="2"/>
    <x v="0"/>
    <x v="47"/>
    <n v="57195.55"/>
    <s v="alice.miller@example.com"/>
    <s v="6831472759"/>
    <x v="1"/>
    <x v="1"/>
  </r>
  <r>
    <s v="EMP1049"/>
    <s v="Grace"/>
    <s v="Miller"/>
    <x v="1"/>
    <x v="0"/>
    <x v="4"/>
    <x v="0"/>
    <x v="31"/>
    <n v="61375.12"/>
    <s v="grace.miller@example.com"/>
    <s v="1227770792"/>
    <x v="1"/>
    <x v="0"/>
  </r>
  <r>
    <s v="EMP1050"/>
    <s v="Charlie"/>
    <s v="Davis"/>
    <x v="2"/>
    <x v="3"/>
    <x v="4"/>
    <x v="1"/>
    <x v="48"/>
    <n v="104767.05"/>
    <s v="charlie.davis@example.com"/>
    <s v="3496050165"/>
    <x v="1"/>
    <x v="1"/>
  </r>
  <r>
    <s v="EMP1051"/>
    <s v="David"/>
    <s v="Miller"/>
    <x v="3"/>
    <x v="2"/>
    <x v="2"/>
    <x v="0"/>
    <x v="49"/>
    <n v="111051.67"/>
    <s v="david.miller@example.com"/>
    <s v="7998407677"/>
    <x v="2"/>
    <x v="1"/>
  </r>
  <r>
    <s v="EMP1052"/>
    <s v="David"/>
    <s v="Williams"/>
    <x v="1"/>
    <x v="1"/>
    <x v="0"/>
    <x v="2"/>
    <x v="50"/>
    <n v="105674.18"/>
    <s v="david.williams@example.com"/>
    <s v="9973080694"/>
    <x v="2"/>
    <x v="1"/>
  </r>
  <r>
    <s v="EMP1053"/>
    <s v="Alice"/>
    <s v="Brown"/>
    <x v="1"/>
    <x v="1"/>
    <x v="0"/>
    <x v="2"/>
    <x v="31"/>
    <n v="54859.45"/>
    <s v="alice.brown@example.com"/>
    <s v="8146717956"/>
    <x v="0"/>
    <x v="1"/>
  </r>
  <r>
    <s v="EMP1054"/>
    <s v="Frank"/>
    <s v="Davis"/>
    <x v="1"/>
    <x v="1"/>
    <x v="2"/>
    <x v="1"/>
    <x v="51"/>
    <n v="115746.6"/>
    <s v="frank.davis@example.com"/>
    <s v="6024375737"/>
    <x v="1"/>
    <x v="0"/>
  </r>
  <r>
    <s v="EMP1055"/>
    <s v="Eva"/>
    <s v="Brown"/>
    <x v="1"/>
    <x v="4"/>
    <x v="0"/>
    <x v="0"/>
    <x v="52"/>
    <n v="91759.99"/>
    <s v="eva.brown@example.com"/>
    <s v="3959724664"/>
    <x v="1"/>
    <x v="0"/>
  </r>
  <r>
    <s v="EMP1056"/>
    <s v="Frank"/>
    <s v="Garcia"/>
    <x v="2"/>
    <x v="4"/>
    <x v="5"/>
    <x v="0"/>
    <x v="53"/>
    <n v="112965.33"/>
    <s v="frank.garcia@example.com"/>
    <s v="7293417222"/>
    <x v="2"/>
    <x v="1"/>
  </r>
  <r>
    <s v="EMP1057"/>
    <s v="Alice"/>
    <s v="Smith"/>
    <x v="2"/>
    <x v="3"/>
    <x v="5"/>
    <x v="1"/>
    <x v="54"/>
    <n v="100360.1"/>
    <s v="alice.smith@example.com"/>
    <s v="2971674337"/>
    <x v="1"/>
    <x v="1"/>
  </r>
  <r>
    <s v="EMP1058"/>
    <s v="David"/>
    <s v="Williams"/>
    <x v="3"/>
    <x v="1"/>
    <x v="1"/>
    <x v="1"/>
    <x v="55"/>
    <n v="93620.88"/>
    <s v="david.williams@example.com"/>
    <s v="54522800"/>
    <x v="2"/>
    <x v="1"/>
  </r>
  <r>
    <s v="EMP1059"/>
    <s v="Bob"/>
    <s v="Jones"/>
    <x v="3"/>
    <x v="4"/>
    <x v="0"/>
    <x v="1"/>
    <x v="56"/>
    <n v="72832.800000000003"/>
    <s v="bob.jones@example.com"/>
    <s v="5619318373"/>
    <x v="1"/>
    <x v="0"/>
  </r>
  <r>
    <s v="EMP1060"/>
    <s v="Charlie"/>
    <s v="Williams"/>
    <x v="1"/>
    <x v="1"/>
    <x v="2"/>
    <x v="2"/>
    <x v="57"/>
    <n v="102369.42"/>
    <s v="charlie.williams@example.com"/>
    <s v="5508428909"/>
    <x v="0"/>
    <x v="0"/>
  </r>
  <r>
    <s v="EMP1061"/>
    <s v="Eva"/>
    <s v="Davis"/>
    <x v="2"/>
    <x v="4"/>
    <x v="1"/>
    <x v="2"/>
    <x v="58"/>
    <n v="64712.79"/>
    <s v="eva.davis@example.com"/>
    <s v="7711991807"/>
    <x v="1"/>
    <x v="0"/>
  </r>
  <r>
    <s v="EMP1062"/>
    <s v="Frank"/>
    <s v="Jones"/>
    <x v="2"/>
    <x v="1"/>
    <x v="3"/>
    <x v="1"/>
    <x v="59"/>
    <n v="85782.18"/>
    <s v="frank.jones@example.com"/>
    <s v="1213524786"/>
    <x v="1"/>
    <x v="0"/>
  </r>
  <r>
    <s v="EMP1063"/>
    <s v="Charlie"/>
    <s v="Smith"/>
    <x v="0"/>
    <x v="5"/>
    <x v="5"/>
    <x v="1"/>
    <x v="60"/>
    <n v="93348.26"/>
    <s v="charlie.smith@example.com"/>
    <s v="1255213759"/>
    <x v="3"/>
    <x v="1"/>
  </r>
  <r>
    <s v="EMP1064"/>
    <s v="David"/>
    <s v="Davis"/>
    <x v="3"/>
    <x v="2"/>
    <x v="4"/>
    <x v="0"/>
    <x v="61"/>
    <n v="53234.96"/>
    <s v="david.davis@example.com"/>
    <s v="3754821455"/>
    <x v="2"/>
    <x v="1"/>
  </r>
  <r>
    <s v="EMP1065"/>
    <s v="Bob"/>
    <s v="Johnson"/>
    <x v="2"/>
    <x v="1"/>
    <x v="2"/>
    <x v="1"/>
    <x v="62"/>
    <n v="100284.21"/>
    <s v="bob.johnson@example.com"/>
    <s v="5328632665"/>
    <x v="1"/>
    <x v="1"/>
  </r>
  <r>
    <s v="EMP1066"/>
    <s v="Grace"/>
    <s v="Brown"/>
    <x v="1"/>
    <x v="2"/>
    <x v="2"/>
    <x v="1"/>
    <x v="63"/>
    <n v="112486.19"/>
    <s v="grace.brown@example.com"/>
    <s v="7850720810"/>
    <x v="1"/>
    <x v="0"/>
  </r>
  <r>
    <s v="EMP1067"/>
    <s v="Bob"/>
    <s v="Smith"/>
    <x v="2"/>
    <x v="2"/>
    <x v="4"/>
    <x v="1"/>
    <x v="64"/>
    <n v="82518.490000000005"/>
    <s v="bob.smith@example.com"/>
    <s v="5562606028"/>
    <x v="3"/>
    <x v="0"/>
  </r>
  <r>
    <s v="EMP1068"/>
    <s v="Bob"/>
    <s v="Brown"/>
    <x v="2"/>
    <x v="2"/>
    <x v="3"/>
    <x v="1"/>
    <x v="65"/>
    <n v="119152.47"/>
    <s v="bob.brown@example.com"/>
    <s v="846684549"/>
    <x v="3"/>
    <x v="0"/>
  </r>
  <r>
    <s v="EMP1069"/>
    <s v="Heidi"/>
    <s v="Miller"/>
    <x v="1"/>
    <x v="0"/>
    <x v="5"/>
    <x v="2"/>
    <x v="66"/>
    <n v="113479.83"/>
    <s v="heidi.miller@example.com"/>
    <s v="4892673898"/>
    <x v="2"/>
    <x v="1"/>
  </r>
  <r>
    <s v="EMP1070"/>
    <s v="Charlie"/>
    <s v="Johnson"/>
    <x v="2"/>
    <x v="1"/>
    <x v="0"/>
    <x v="0"/>
    <x v="67"/>
    <n v="94636.3"/>
    <s v="charlie.johnson@example.com"/>
    <s v="7563410855"/>
    <x v="3"/>
    <x v="1"/>
  </r>
  <r>
    <s v="EMP1071"/>
    <s v="Heidi"/>
    <s v="Johnson"/>
    <x v="1"/>
    <x v="5"/>
    <x v="3"/>
    <x v="0"/>
    <x v="68"/>
    <n v="70000.97"/>
    <s v="heidi.johnson@example.com"/>
    <s v="2884318847"/>
    <x v="0"/>
    <x v="0"/>
  </r>
  <r>
    <s v="EMP1072"/>
    <s v="Frank"/>
    <s v="Smith"/>
    <x v="1"/>
    <x v="3"/>
    <x v="4"/>
    <x v="0"/>
    <x v="69"/>
    <n v="76812.47"/>
    <s v="frank.smith@example.com"/>
    <s v="5200894345"/>
    <x v="3"/>
    <x v="1"/>
  </r>
  <r>
    <s v="EMP1073"/>
    <s v="David"/>
    <s v="Johnson"/>
    <x v="0"/>
    <x v="1"/>
    <x v="3"/>
    <x v="2"/>
    <x v="70"/>
    <n v="82614.7"/>
    <s v="david.johnson@example.com"/>
    <s v="8105485100"/>
    <x v="0"/>
    <x v="0"/>
  </r>
  <r>
    <s v="EMP1074"/>
    <s v="Grace"/>
    <s v="Jones"/>
    <x v="2"/>
    <x v="4"/>
    <x v="2"/>
    <x v="0"/>
    <x v="71"/>
    <n v="111645.97"/>
    <s v="grace.jones@example.com"/>
    <s v="7490753997"/>
    <x v="2"/>
    <x v="0"/>
  </r>
  <r>
    <s v="EMP1075"/>
    <s v="Heidi"/>
    <s v="Johnson"/>
    <x v="0"/>
    <x v="5"/>
    <x v="0"/>
    <x v="2"/>
    <x v="72"/>
    <n v="112414.91"/>
    <s v="heidi.johnson@example.com"/>
    <s v="9354492682"/>
    <x v="2"/>
    <x v="1"/>
  </r>
  <r>
    <s v="EMP1076"/>
    <s v="David"/>
    <s v="Brown"/>
    <x v="2"/>
    <x v="2"/>
    <x v="0"/>
    <x v="2"/>
    <x v="73"/>
    <n v="52031.74"/>
    <s v="david.brown@example.com"/>
    <s v="1589357125"/>
    <x v="2"/>
    <x v="0"/>
  </r>
  <r>
    <s v="EMP1077"/>
    <s v="Grace"/>
    <s v="Brown"/>
    <x v="1"/>
    <x v="1"/>
    <x v="4"/>
    <x v="1"/>
    <x v="74"/>
    <n v="51887.65"/>
    <s v="grace.brown@example.com"/>
    <s v="6110627370"/>
    <x v="2"/>
    <x v="1"/>
  </r>
  <r>
    <s v="EMP1078"/>
    <s v="Alice"/>
    <s v="Davis"/>
    <x v="0"/>
    <x v="0"/>
    <x v="3"/>
    <x v="0"/>
    <x v="75"/>
    <n v="82318.89"/>
    <s v="alice.davis@example.com"/>
    <s v="5869886496"/>
    <x v="2"/>
    <x v="0"/>
  </r>
  <r>
    <s v="EMP1079"/>
    <s v="Grace"/>
    <s v="Brown"/>
    <x v="3"/>
    <x v="2"/>
    <x v="3"/>
    <x v="2"/>
    <x v="76"/>
    <n v="103286.08"/>
    <s v="grace.brown@example.com"/>
    <s v="6776228276"/>
    <x v="0"/>
    <x v="1"/>
  </r>
  <r>
    <s v="EMP1080"/>
    <s v="Grace"/>
    <s v="Davis"/>
    <x v="3"/>
    <x v="3"/>
    <x v="3"/>
    <x v="0"/>
    <x v="77"/>
    <n v="87759.33"/>
    <s v="grace.davis@example.com"/>
    <s v="2881377027"/>
    <x v="0"/>
    <x v="1"/>
  </r>
  <r>
    <s v="EMP1081"/>
    <s v="Frank"/>
    <s v="Brown"/>
    <x v="1"/>
    <x v="0"/>
    <x v="1"/>
    <x v="1"/>
    <x v="78"/>
    <n v="102796.32"/>
    <s v="frank.brown@example.com"/>
    <s v="5196115939"/>
    <x v="2"/>
    <x v="1"/>
  </r>
  <r>
    <s v="EMP1082"/>
    <s v="David"/>
    <s v="Jones"/>
    <x v="0"/>
    <x v="4"/>
    <x v="4"/>
    <x v="0"/>
    <x v="79"/>
    <n v="83149.27"/>
    <s v="david.jones@example.com"/>
    <s v="8215454469"/>
    <x v="3"/>
    <x v="0"/>
  </r>
  <r>
    <s v="EMP1083"/>
    <s v="David"/>
    <s v="Garcia"/>
    <x v="2"/>
    <x v="0"/>
    <x v="0"/>
    <x v="2"/>
    <x v="80"/>
    <n v="92412.49"/>
    <s v="david.garcia@example.com"/>
    <s v="2296044326"/>
    <x v="1"/>
    <x v="0"/>
  </r>
  <r>
    <s v="EMP1084"/>
    <s v="Bob"/>
    <s v="Davis"/>
    <x v="1"/>
    <x v="5"/>
    <x v="1"/>
    <x v="1"/>
    <x v="81"/>
    <n v="115022.1"/>
    <s v="bob.davis@example.com"/>
    <s v="185106793"/>
    <x v="2"/>
    <x v="1"/>
  </r>
  <r>
    <s v="EMP1085"/>
    <s v="Grace"/>
    <s v="Williams"/>
    <x v="2"/>
    <x v="0"/>
    <x v="4"/>
    <x v="0"/>
    <x v="82"/>
    <n v="98343.01"/>
    <s v="grace.williams@example.com"/>
    <s v="9756792286"/>
    <x v="3"/>
    <x v="1"/>
  </r>
  <r>
    <s v="EMP1086"/>
    <s v="Bob"/>
    <s v="Miller"/>
    <x v="3"/>
    <x v="0"/>
    <x v="5"/>
    <x v="0"/>
    <x v="83"/>
    <n v="118869.1"/>
    <s v="bob.miller@example.com"/>
    <s v="7725199662"/>
    <x v="1"/>
    <x v="0"/>
  </r>
  <r>
    <s v="EMP1087"/>
    <s v="Frank"/>
    <s v="Smith"/>
    <x v="1"/>
    <x v="1"/>
    <x v="2"/>
    <x v="2"/>
    <x v="84"/>
    <n v="85417.26"/>
    <s v="frank.smith@example.com"/>
    <s v="6580741208"/>
    <x v="2"/>
    <x v="0"/>
  </r>
  <r>
    <s v="EMP1088"/>
    <s v="Grace"/>
    <s v="Brown"/>
    <x v="2"/>
    <x v="3"/>
    <x v="3"/>
    <x v="2"/>
    <x v="85"/>
    <n v="112410.25"/>
    <s v="grace.brown@example.com"/>
    <s v="4818139889"/>
    <x v="2"/>
    <x v="0"/>
  </r>
  <r>
    <s v="EMP1089"/>
    <s v="Charlie"/>
    <s v="Johnson"/>
    <x v="2"/>
    <x v="2"/>
    <x v="2"/>
    <x v="1"/>
    <x v="86"/>
    <n v="68905.77"/>
    <s v="charlie.johnson@example.com"/>
    <s v="9837801819"/>
    <x v="0"/>
    <x v="1"/>
  </r>
  <r>
    <s v="EMP1090"/>
    <s v="Heidi"/>
    <s v="Garcia"/>
    <x v="2"/>
    <x v="1"/>
    <x v="2"/>
    <x v="1"/>
    <x v="87"/>
    <n v="72561.320000000007"/>
    <s v="heidi.garcia@example.com"/>
    <s v="4339718955"/>
    <x v="1"/>
    <x v="0"/>
  </r>
  <r>
    <s v="EMP1091"/>
    <s v="Bob"/>
    <s v="Brown"/>
    <x v="3"/>
    <x v="1"/>
    <x v="4"/>
    <x v="2"/>
    <x v="88"/>
    <n v="92723.22"/>
    <s v="bob.brown@example.com"/>
    <s v="9070562607"/>
    <x v="1"/>
    <x v="0"/>
  </r>
  <r>
    <s v="EMP1092"/>
    <s v="Alice"/>
    <s v="Johnson"/>
    <x v="2"/>
    <x v="5"/>
    <x v="4"/>
    <x v="2"/>
    <x v="89"/>
    <n v="74837.75"/>
    <s v="alice.johnson@example.com"/>
    <s v="5641118241"/>
    <x v="3"/>
    <x v="1"/>
  </r>
  <r>
    <s v="EMP1093"/>
    <s v="Eva"/>
    <s v="Miller"/>
    <x v="1"/>
    <x v="0"/>
    <x v="0"/>
    <x v="1"/>
    <x v="90"/>
    <n v="86163.91"/>
    <s v="eva.miller@example.com"/>
    <s v="2412462094"/>
    <x v="0"/>
    <x v="0"/>
  </r>
  <r>
    <s v="EMP1094"/>
    <s v="David"/>
    <s v="Miller"/>
    <x v="2"/>
    <x v="1"/>
    <x v="5"/>
    <x v="0"/>
    <x v="91"/>
    <n v="83326.52"/>
    <s v="david.miller@example.com"/>
    <s v="2004615264"/>
    <x v="0"/>
    <x v="0"/>
  </r>
  <r>
    <s v="EMP1095"/>
    <s v="Heidi"/>
    <s v="Miller"/>
    <x v="0"/>
    <x v="3"/>
    <x v="0"/>
    <x v="0"/>
    <x v="92"/>
    <n v="98425.1"/>
    <s v="heidi.miller@example.com"/>
    <s v="4610339936"/>
    <x v="0"/>
    <x v="0"/>
  </r>
  <r>
    <s v="EMP1096"/>
    <s v="Frank"/>
    <s v="Johnson"/>
    <x v="2"/>
    <x v="4"/>
    <x v="5"/>
    <x v="2"/>
    <x v="93"/>
    <n v="119764.2"/>
    <s v="frank.johnson@example.com"/>
    <s v="8861405785"/>
    <x v="0"/>
    <x v="1"/>
  </r>
  <r>
    <s v="EMP1097"/>
    <s v="Frank"/>
    <s v="Brown"/>
    <x v="2"/>
    <x v="5"/>
    <x v="0"/>
    <x v="2"/>
    <x v="94"/>
    <n v="58445.91"/>
    <s v="frank.brown@example.com"/>
    <s v="1706304890"/>
    <x v="1"/>
    <x v="1"/>
  </r>
  <r>
    <s v="EMP1098"/>
    <s v="Bob"/>
    <s v="Miller"/>
    <x v="1"/>
    <x v="0"/>
    <x v="4"/>
    <x v="0"/>
    <x v="95"/>
    <n v="101702.33"/>
    <s v="bob.miller@example.com"/>
    <s v="3824967182"/>
    <x v="1"/>
    <x v="1"/>
  </r>
  <r>
    <s v="EMP1099"/>
    <s v="Eva"/>
    <s v="Jones"/>
    <x v="0"/>
    <x v="2"/>
    <x v="0"/>
    <x v="0"/>
    <x v="96"/>
    <m/>
    <s v="eva.jones@example.com"/>
    <s v="2582386869"/>
    <x v="2"/>
    <x v="1"/>
  </r>
  <r>
    <s v="EMP1100"/>
    <s v="Charlie"/>
    <s v="Davis"/>
    <x v="3"/>
    <x v="3"/>
    <x v="1"/>
    <x v="1"/>
    <x v="97"/>
    <n v="98819.22"/>
    <s v="charlie.davis@example.com"/>
    <s v="794200748"/>
    <x v="2"/>
    <x v="1"/>
  </r>
  <r>
    <s v="EMP1101"/>
    <s v="Heidi"/>
    <s v="Johnson"/>
    <x v="0"/>
    <x v="3"/>
    <x v="5"/>
    <x v="2"/>
    <x v="98"/>
    <n v="83509.990000000005"/>
    <s v="heidi.johnson@example.com"/>
    <s v="4653984027"/>
    <x v="0"/>
    <x v="1"/>
  </r>
  <r>
    <s v="EMP1102"/>
    <s v="Alice"/>
    <s v="Johnson"/>
    <x v="3"/>
    <x v="1"/>
    <x v="1"/>
    <x v="0"/>
    <x v="99"/>
    <n v="84422.26"/>
    <s v="alice.johnson@example.com"/>
    <s v="9141612845"/>
    <x v="0"/>
    <x v="1"/>
  </r>
  <r>
    <s v="EMP1103"/>
    <s v="Alice"/>
    <s v="Brown"/>
    <x v="1"/>
    <x v="2"/>
    <x v="5"/>
    <x v="2"/>
    <x v="100"/>
    <n v="119574.27"/>
    <s v="alice.brown@example.com"/>
    <s v="3985547434"/>
    <x v="0"/>
    <x v="0"/>
  </r>
  <r>
    <s v="EMP1104"/>
    <s v="Grace"/>
    <s v="Johnson"/>
    <x v="1"/>
    <x v="4"/>
    <x v="5"/>
    <x v="0"/>
    <x v="101"/>
    <n v="86580.08"/>
    <s v="grace.johnson@example.com"/>
    <s v="5379502096"/>
    <x v="2"/>
    <x v="0"/>
  </r>
  <r>
    <s v="EMP1105"/>
    <s v="Heidi"/>
    <s v="Johnson"/>
    <x v="3"/>
    <x v="4"/>
    <x v="3"/>
    <x v="2"/>
    <x v="102"/>
    <n v="93471.91"/>
    <s v="heidi.johnson@example.com"/>
    <s v="26876810"/>
    <x v="3"/>
    <x v="1"/>
  </r>
  <r>
    <s v="EMP1106"/>
    <s v="Bob"/>
    <s v="Miller"/>
    <x v="1"/>
    <x v="0"/>
    <x v="4"/>
    <x v="2"/>
    <x v="103"/>
    <n v="55683.12"/>
    <s v="bob.miller@example.com"/>
    <s v="8071569561"/>
    <x v="3"/>
    <x v="0"/>
  </r>
  <r>
    <s v="EMP1107"/>
    <s v="Bob"/>
    <s v="Brown"/>
    <x v="1"/>
    <x v="3"/>
    <x v="3"/>
    <x v="2"/>
    <x v="104"/>
    <n v="91566.78"/>
    <s v="bob.brown@example.com"/>
    <s v="175370303"/>
    <x v="2"/>
    <x v="0"/>
  </r>
  <r>
    <s v="EMP1108"/>
    <s v="David"/>
    <s v="Miller"/>
    <x v="3"/>
    <x v="0"/>
    <x v="0"/>
    <x v="1"/>
    <x v="105"/>
    <n v="81782.19"/>
    <s v="david.miller@example.com"/>
    <s v="5319433749"/>
    <x v="2"/>
    <x v="1"/>
  </r>
  <r>
    <s v="EMP1109"/>
    <s v="Eva"/>
    <s v="Davis"/>
    <x v="1"/>
    <x v="0"/>
    <x v="4"/>
    <x v="2"/>
    <x v="106"/>
    <n v="88119.37"/>
    <s v="eva.davis@example.com"/>
    <s v="4793036148"/>
    <x v="2"/>
    <x v="0"/>
  </r>
  <r>
    <s v="EMP1110"/>
    <s v="Eva"/>
    <s v="Garcia"/>
    <x v="1"/>
    <x v="3"/>
    <x v="1"/>
    <x v="0"/>
    <x v="107"/>
    <n v="71532.83"/>
    <s v="eva.garcia@example.com"/>
    <s v="8728399920"/>
    <x v="2"/>
    <x v="0"/>
  </r>
  <r>
    <s v="EMP1111"/>
    <s v="Eva"/>
    <s v="Davis"/>
    <x v="2"/>
    <x v="3"/>
    <x v="3"/>
    <x v="1"/>
    <x v="108"/>
    <n v="98981.36"/>
    <s v="eva.davis@example.com"/>
    <s v="9212493842"/>
    <x v="2"/>
    <x v="0"/>
  </r>
  <r>
    <s v="EMP1112"/>
    <s v="Heidi"/>
    <s v="Garcia"/>
    <x v="2"/>
    <x v="3"/>
    <x v="5"/>
    <x v="0"/>
    <x v="109"/>
    <n v="80242.009999999995"/>
    <s v="heidi.garcia@example.com"/>
    <s v="894870604"/>
    <x v="2"/>
    <x v="0"/>
  </r>
  <r>
    <s v="EMP1113"/>
    <s v="Eva"/>
    <s v="Miller"/>
    <x v="0"/>
    <x v="3"/>
    <x v="4"/>
    <x v="1"/>
    <x v="110"/>
    <n v="110236.18"/>
    <s v="eva.miller@example.com"/>
    <s v="6641877579"/>
    <x v="0"/>
    <x v="0"/>
  </r>
  <r>
    <s v="EMP1114"/>
    <s v="Alice"/>
    <s v="Davis"/>
    <x v="3"/>
    <x v="4"/>
    <x v="1"/>
    <x v="0"/>
    <x v="111"/>
    <n v="86327.47"/>
    <s v="alice.davis@example.com"/>
    <s v="3046875062"/>
    <x v="0"/>
    <x v="1"/>
  </r>
  <r>
    <s v="EMP1115"/>
    <s v="Eva"/>
    <s v="Brown"/>
    <x v="1"/>
    <x v="4"/>
    <x v="3"/>
    <x v="1"/>
    <x v="112"/>
    <n v="84420.81"/>
    <s v="eva.brown@example.com"/>
    <s v="5190361331"/>
    <x v="0"/>
    <x v="1"/>
  </r>
  <r>
    <s v="EMP1116"/>
    <s v="Frank"/>
    <s v="Smith"/>
    <x v="2"/>
    <x v="5"/>
    <x v="0"/>
    <x v="1"/>
    <x v="113"/>
    <n v="110041.32"/>
    <s v="frank.smith@example.com"/>
    <s v="5411076094"/>
    <x v="0"/>
    <x v="1"/>
  </r>
  <r>
    <s v="EMP1117"/>
    <s v="Heidi"/>
    <s v="Miller"/>
    <x v="3"/>
    <x v="0"/>
    <x v="3"/>
    <x v="1"/>
    <x v="114"/>
    <n v="81837.81"/>
    <s v="heidi.miller@example.com"/>
    <s v="4317350582"/>
    <x v="2"/>
    <x v="0"/>
  </r>
  <r>
    <s v="EMP1118"/>
    <s v="Frank"/>
    <s v="Garcia"/>
    <x v="0"/>
    <x v="1"/>
    <x v="5"/>
    <x v="0"/>
    <x v="115"/>
    <n v="110855.72"/>
    <s v="frank.garcia@example.com"/>
    <s v="1997179109"/>
    <x v="3"/>
    <x v="1"/>
  </r>
  <r>
    <s v="EMP1119"/>
    <s v="Alice"/>
    <s v="Jones"/>
    <x v="1"/>
    <x v="4"/>
    <x v="0"/>
    <x v="1"/>
    <x v="116"/>
    <n v="84894.52"/>
    <s v="alice.jones@example.com"/>
    <s v="651207048"/>
    <x v="1"/>
    <x v="0"/>
  </r>
  <r>
    <s v="EMP1120"/>
    <s v="Alice"/>
    <s v="Garcia"/>
    <x v="1"/>
    <x v="5"/>
    <x v="5"/>
    <x v="0"/>
    <x v="117"/>
    <n v="80668.13"/>
    <s v="alice.garcia@example.com"/>
    <s v="6110804660"/>
    <x v="2"/>
    <x v="0"/>
  </r>
  <r>
    <s v="EMP1121"/>
    <s v="Bob"/>
    <s v="Jones"/>
    <x v="0"/>
    <x v="0"/>
    <x v="5"/>
    <x v="0"/>
    <x v="118"/>
    <n v="61086.47"/>
    <s v="bob.jones@example.com"/>
    <s v="9639907675"/>
    <x v="1"/>
    <x v="0"/>
  </r>
  <r>
    <s v="EMP1122"/>
    <s v="Grace"/>
    <s v="Johnson"/>
    <x v="0"/>
    <x v="2"/>
    <x v="1"/>
    <x v="2"/>
    <x v="119"/>
    <n v="95339.68"/>
    <s v="grace.johnson@example.com"/>
    <s v="9915078592"/>
    <x v="3"/>
    <x v="0"/>
  </r>
  <r>
    <s v="EMP1123"/>
    <s v="Eva"/>
    <s v="Davis"/>
    <x v="1"/>
    <x v="0"/>
    <x v="0"/>
    <x v="2"/>
    <x v="120"/>
    <n v="83774.97"/>
    <s v="eva.davis@example.com"/>
    <s v="1109193927"/>
    <x v="0"/>
    <x v="1"/>
  </r>
  <r>
    <s v="EMP1124"/>
    <s v="Heidi"/>
    <s v="Jones"/>
    <x v="1"/>
    <x v="2"/>
    <x v="3"/>
    <x v="0"/>
    <x v="121"/>
    <n v="85576.86"/>
    <s v="heidi.jones@example.com"/>
    <s v="4567972319"/>
    <x v="3"/>
    <x v="1"/>
  </r>
  <r>
    <s v="EMP1125"/>
    <s v="Bob"/>
    <s v="Garcia"/>
    <x v="3"/>
    <x v="1"/>
    <x v="0"/>
    <x v="1"/>
    <x v="122"/>
    <n v="107438.46"/>
    <s v="bob.garcia@example.com"/>
    <s v="249685497"/>
    <x v="2"/>
    <x v="0"/>
  </r>
  <r>
    <s v="EMP1126"/>
    <s v="Eva"/>
    <s v="Johnson"/>
    <x v="1"/>
    <x v="4"/>
    <x v="2"/>
    <x v="2"/>
    <x v="123"/>
    <n v="60401.68"/>
    <s v="eva.johnson@example.com"/>
    <s v="2274954507"/>
    <x v="0"/>
    <x v="1"/>
  </r>
  <r>
    <s v="EMP1127"/>
    <s v="Frank"/>
    <s v="Smith"/>
    <x v="3"/>
    <x v="4"/>
    <x v="5"/>
    <x v="2"/>
    <x v="124"/>
    <n v="115299.66"/>
    <s v="frank.smith@example.com"/>
    <s v="9203880652"/>
    <x v="2"/>
    <x v="0"/>
  </r>
  <r>
    <s v="EMP1128"/>
    <s v="David"/>
    <s v="Brown"/>
    <x v="1"/>
    <x v="1"/>
    <x v="4"/>
    <x v="2"/>
    <x v="125"/>
    <n v="72272.34"/>
    <s v="david.brown@example.com"/>
    <s v="3315377958"/>
    <x v="0"/>
    <x v="1"/>
  </r>
  <r>
    <s v="EMP1129"/>
    <s v="Grace"/>
    <s v="Brown"/>
    <x v="2"/>
    <x v="0"/>
    <x v="2"/>
    <x v="0"/>
    <x v="126"/>
    <n v="117537.71"/>
    <s v="grace.brown@example.com"/>
    <s v="9594652169"/>
    <x v="1"/>
    <x v="1"/>
  </r>
  <r>
    <s v="EMP1130"/>
    <s v="Frank"/>
    <s v="Brown"/>
    <x v="0"/>
    <x v="1"/>
    <x v="1"/>
    <x v="1"/>
    <x v="127"/>
    <n v="51074.33"/>
    <s v="frank.brown@example.com"/>
    <s v="7303379336"/>
    <x v="1"/>
    <x v="0"/>
  </r>
  <r>
    <s v="EMP1131"/>
    <s v="Charlie"/>
    <s v="Jones"/>
    <x v="0"/>
    <x v="1"/>
    <x v="0"/>
    <x v="2"/>
    <x v="128"/>
    <n v="98489.32"/>
    <s v="charlie.jones@example.com"/>
    <s v="5636205014"/>
    <x v="1"/>
    <x v="1"/>
  </r>
  <r>
    <s v="EMP1132"/>
    <s v="Frank"/>
    <s v="Smith"/>
    <x v="1"/>
    <x v="1"/>
    <x v="0"/>
    <x v="1"/>
    <x v="129"/>
    <n v="112120.71"/>
    <s v="frank.smith@example.com"/>
    <s v="812473949"/>
    <x v="3"/>
    <x v="0"/>
  </r>
  <r>
    <s v="EMP1133"/>
    <s v="Alice"/>
    <s v="Jones"/>
    <x v="1"/>
    <x v="3"/>
    <x v="4"/>
    <x v="1"/>
    <x v="130"/>
    <n v="114465.04"/>
    <s v="alice.jones@example.com"/>
    <s v="334234257"/>
    <x v="2"/>
    <x v="1"/>
  </r>
  <r>
    <s v="EMP1134"/>
    <s v="Bob"/>
    <s v="Davis"/>
    <x v="2"/>
    <x v="3"/>
    <x v="2"/>
    <x v="1"/>
    <x v="131"/>
    <n v="57035.51"/>
    <s v="bob.davis@example.com"/>
    <s v="3230241025"/>
    <x v="3"/>
    <x v="0"/>
  </r>
  <r>
    <s v="EMP1135"/>
    <s v="Eva"/>
    <s v="Jones"/>
    <x v="0"/>
    <x v="3"/>
    <x v="0"/>
    <x v="0"/>
    <x v="132"/>
    <n v="75092.429999999993"/>
    <s v="eva.jones@example.com"/>
    <s v="1534735527"/>
    <x v="1"/>
    <x v="0"/>
  </r>
  <r>
    <s v="EMP1136"/>
    <s v="David"/>
    <s v="Smith"/>
    <x v="1"/>
    <x v="1"/>
    <x v="5"/>
    <x v="1"/>
    <x v="107"/>
    <n v="62603.98"/>
    <s v="david.smith@example.com"/>
    <s v="9611223385"/>
    <x v="2"/>
    <x v="1"/>
  </r>
  <r>
    <s v="EMP1137"/>
    <s v="Grace"/>
    <s v="Smith"/>
    <x v="1"/>
    <x v="0"/>
    <x v="4"/>
    <x v="2"/>
    <x v="133"/>
    <n v="60018.239999999998"/>
    <s v="grace.smith@example.com"/>
    <s v="5596309937"/>
    <x v="1"/>
    <x v="1"/>
  </r>
  <r>
    <s v="EMP1138"/>
    <s v="Eva"/>
    <s v="Davis"/>
    <x v="2"/>
    <x v="5"/>
    <x v="2"/>
    <x v="0"/>
    <x v="134"/>
    <n v="82567.73"/>
    <s v="eva.davis@example.com"/>
    <s v="4253042896"/>
    <x v="3"/>
    <x v="0"/>
  </r>
  <r>
    <s v="EMP1139"/>
    <s v="Charlie"/>
    <s v="Smith"/>
    <x v="0"/>
    <x v="1"/>
    <x v="0"/>
    <x v="1"/>
    <x v="135"/>
    <n v="94725.71"/>
    <s v="charlie.smith@example.com"/>
    <s v="3179128684"/>
    <x v="3"/>
    <x v="1"/>
  </r>
  <r>
    <s v="EMP1140"/>
    <s v="Eva"/>
    <s v="Garcia"/>
    <x v="2"/>
    <x v="5"/>
    <x v="4"/>
    <x v="2"/>
    <x v="72"/>
    <n v="83824.56"/>
    <s v="eva.garcia@example.com"/>
    <s v="7872558776"/>
    <x v="3"/>
    <x v="1"/>
  </r>
  <r>
    <s v="EMP1141"/>
    <s v="Frank"/>
    <s v="Smith"/>
    <x v="1"/>
    <x v="5"/>
    <x v="2"/>
    <x v="2"/>
    <x v="136"/>
    <n v="118456.11"/>
    <s v="frank.smith@example.com"/>
    <s v="4969033372"/>
    <x v="1"/>
    <x v="0"/>
  </r>
  <r>
    <s v="EMP1142"/>
    <s v="Eva"/>
    <s v="Brown"/>
    <x v="0"/>
    <x v="4"/>
    <x v="2"/>
    <x v="1"/>
    <x v="137"/>
    <n v="113743.19"/>
    <s v="eva.brown@example.com"/>
    <s v="6346692547"/>
    <x v="2"/>
    <x v="0"/>
  </r>
  <r>
    <s v="EMP1143"/>
    <s v="Eva"/>
    <s v="Garcia"/>
    <x v="1"/>
    <x v="4"/>
    <x v="0"/>
    <x v="0"/>
    <x v="138"/>
    <n v="63309.24"/>
    <s v="eva.garcia@example.com"/>
    <s v="1214785389"/>
    <x v="2"/>
    <x v="1"/>
  </r>
  <r>
    <s v="EMP1144"/>
    <s v="Charlie"/>
    <s v="Garcia"/>
    <x v="0"/>
    <x v="0"/>
    <x v="2"/>
    <x v="0"/>
    <x v="139"/>
    <n v="105202.73"/>
    <s v="charlie.garcia@example.com"/>
    <s v="7895677664"/>
    <x v="1"/>
    <x v="0"/>
  </r>
  <r>
    <s v="EMP1145"/>
    <s v="Frank"/>
    <s v="Davis"/>
    <x v="1"/>
    <x v="3"/>
    <x v="0"/>
    <x v="2"/>
    <x v="140"/>
    <n v="79085.22"/>
    <s v="frank.davis@example.com"/>
    <s v="7546027340"/>
    <x v="2"/>
    <x v="0"/>
  </r>
  <r>
    <s v="EMP1146"/>
    <s v="Frank"/>
    <s v="Williams"/>
    <x v="1"/>
    <x v="4"/>
    <x v="0"/>
    <x v="0"/>
    <x v="141"/>
    <n v="113983.43"/>
    <s v="frank.williams@example.com"/>
    <s v="5148881430"/>
    <x v="1"/>
    <x v="0"/>
  </r>
  <r>
    <s v="EMP1147"/>
    <s v="Eva"/>
    <s v="Williams"/>
    <x v="3"/>
    <x v="3"/>
    <x v="3"/>
    <x v="0"/>
    <x v="142"/>
    <n v="102790.6"/>
    <s v="eva.williams@example.com"/>
    <s v="1150835353"/>
    <x v="2"/>
    <x v="1"/>
  </r>
  <r>
    <s v="EMP1148"/>
    <s v="Grace"/>
    <s v="Smith"/>
    <x v="1"/>
    <x v="5"/>
    <x v="1"/>
    <x v="2"/>
    <x v="143"/>
    <n v="68512.100000000006"/>
    <s v="grace.smith@example.com"/>
    <s v="4439284043"/>
    <x v="0"/>
    <x v="1"/>
  </r>
  <r>
    <s v="EMP1149"/>
    <s v="Frank"/>
    <s v="Garcia"/>
    <x v="3"/>
    <x v="4"/>
    <x v="3"/>
    <x v="1"/>
    <x v="144"/>
    <n v="57584.23"/>
    <s v="frank.garcia@example.com"/>
    <s v="5669078262"/>
    <x v="0"/>
    <x v="0"/>
  </r>
  <r>
    <s v="EMP1150"/>
    <s v="Alice"/>
    <s v="Williams"/>
    <x v="1"/>
    <x v="4"/>
    <x v="0"/>
    <x v="1"/>
    <x v="145"/>
    <n v="95335.67"/>
    <s v="alice.williams@example.com"/>
    <s v="3373898774"/>
    <x v="3"/>
    <x v="1"/>
  </r>
  <r>
    <s v="EMP1151"/>
    <s v="Heidi"/>
    <s v="Williams"/>
    <x v="3"/>
    <x v="0"/>
    <x v="3"/>
    <x v="0"/>
    <x v="146"/>
    <n v="53174.28"/>
    <s v="heidi.williams@example.com"/>
    <s v="1536637779"/>
    <x v="0"/>
    <x v="0"/>
  </r>
  <r>
    <s v="EMP1152"/>
    <s v="Heidi"/>
    <s v="Smith"/>
    <x v="0"/>
    <x v="3"/>
    <x v="4"/>
    <x v="1"/>
    <x v="147"/>
    <n v="77205.210000000006"/>
    <s v="heidi.smith@example.com"/>
    <s v="5292407552"/>
    <x v="0"/>
    <x v="1"/>
  </r>
  <r>
    <s v="EMP1153"/>
    <s v="Grace"/>
    <s v="Williams"/>
    <x v="1"/>
    <x v="0"/>
    <x v="2"/>
    <x v="0"/>
    <x v="148"/>
    <n v="79041.919999999998"/>
    <s v="grace.williams@example.com"/>
    <s v="6668459089"/>
    <x v="0"/>
    <x v="0"/>
  </r>
  <r>
    <s v="EMP1154"/>
    <s v="Heidi"/>
    <s v="Jones"/>
    <x v="1"/>
    <x v="1"/>
    <x v="0"/>
    <x v="0"/>
    <x v="149"/>
    <n v="75937.100000000006"/>
    <s v="heidi.jones@example.com"/>
    <s v="2259999662"/>
    <x v="1"/>
    <x v="0"/>
  </r>
  <r>
    <s v="EMP1155"/>
    <s v="David"/>
    <s v="Johnson"/>
    <x v="3"/>
    <x v="3"/>
    <x v="2"/>
    <x v="2"/>
    <x v="150"/>
    <n v="113118.73"/>
    <s v="david.johnson@example.com"/>
    <s v="6186371596"/>
    <x v="0"/>
    <x v="1"/>
  </r>
  <r>
    <s v="EMP1156"/>
    <s v="Alice"/>
    <s v="Davis"/>
    <x v="2"/>
    <x v="5"/>
    <x v="4"/>
    <x v="0"/>
    <x v="151"/>
    <n v="107693.38"/>
    <s v="alice.davis@example.com"/>
    <s v="4121820969"/>
    <x v="0"/>
    <x v="0"/>
  </r>
  <r>
    <s v="EMP1157"/>
    <s v="David"/>
    <s v="Johnson"/>
    <x v="1"/>
    <x v="3"/>
    <x v="1"/>
    <x v="2"/>
    <x v="152"/>
    <n v="119217.46"/>
    <s v="david.johnson@example.com"/>
    <s v="2316433480"/>
    <x v="3"/>
    <x v="1"/>
  </r>
  <r>
    <s v="EMP1158"/>
    <s v="David"/>
    <s v="Smith"/>
    <x v="0"/>
    <x v="4"/>
    <x v="4"/>
    <x v="1"/>
    <x v="153"/>
    <n v="106913.71"/>
    <s v="david.smith@example.com"/>
    <s v="7058025661"/>
    <x v="0"/>
    <x v="1"/>
  </r>
  <r>
    <s v="EMP1159"/>
    <s v="Charlie"/>
    <s v="Brown"/>
    <x v="1"/>
    <x v="3"/>
    <x v="0"/>
    <x v="0"/>
    <x v="154"/>
    <n v="87815.08"/>
    <s v="charlie.brown@example.com"/>
    <s v="1286716322"/>
    <x v="0"/>
    <x v="0"/>
  </r>
  <r>
    <s v="EMP1160"/>
    <s v="Bob"/>
    <s v="Davis"/>
    <x v="0"/>
    <x v="2"/>
    <x v="1"/>
    <x v="2"/>
    <x v="155"/>
    <n v="105190.21"/>
    <s v="bob.davis@example.com"/>
    <s v="4672994937"/>
    <x v="2"/>
    <x v="0"/>
  </r>
  <r>
    <s v="EMP1161"/>
    <s v="Alice"/>
    <s v="Smith"/>
    <x v="1"/>
    <x v="5"/>
    <x v="1"/>
    <x v="0"/>
    <x v="156"/>
    <n v="79467.240000000005"/>
    <s v="alice.smith@example.com"/>
    <s v="7430271692"/>
    <x v="3"/>
    <x v="1"/>
  </r>
  <r>
    <s v="EMP1162"/>
    <s v="Bob"/>
    <s v="Garcia"/>
    <x v="2"/>
    <x v="1"/>
    <x v="0"/>
    <x v="1"/>
    <x v="157"/>
    <n v="57633.78"/>
    <s v="bob.garcia@example.com"/>
    <s v="8597779013"/>
    <x v="3"/>
    <x v="0"/>
  </r>
  <r>
    <s v="EMP1163"/>
    <s v="Alice"/>
    <s v="Brown"/>
    <x v="1"/>
    <x v="5"/>
    <x v="3"/>
    <x v="1"/>
    <x v="158"/>
    <n v="54257.78"/>
    <s v="alice.brown@example.com"/>
    <s v="7546926328"/>
    <x v="3"/>
    <x v="0"/>
  </r>
  <r>
    <s v="EMP1164"/>
    <s v="Grace"/>
    <s v="Johnson"/>
    <x v="2"/>
    <x v="0"/>
    <x v="1"/>
    <x v="2"/>
    <x v="159"/>
    <n v="113679.06"/>
    <s v="grace.johnson@example.com"/>
    <s v="6762916031"/>
    <x v="3"/>
    <x v="0"/>
  </r>
  <r>
    <s v="EMP1165"/>
    <s v="Bob"/>
    <s v="Smith"/>
    <x v="3"/>
    <x v="4"/>
    <x v="4"/>
    <x v="0"/>
    <x v="79"/>
    <n v="69251.12"/>
    <s v="bob.smith@example.com"/>
    <s v="4841376814"/>
    <x v="3"/>
    <x v="0"/>
  </r>
  <r>
    <s v="EMP1166"/>
    <s v="Frank"/>
    <s v="Garcia"/>
    <x v="2"/>
    <x v="4"/>
    <x v="5"/>
    <x v="2"/>
    <x v="160"/>
    <n v="85388.58"/>
    <s v="frank.garcia@example.com"/>
    <s v="1185672437"/>
    <x v="3"/>
    <x v="0"/>
  </r>
  <r>
    <s v="EMP1167"/>
    <s v="Bob"/>
    <s v="Davis"/>
    <x v="1"/>
    <x v="0"/>
    <x v="4"/>
    <x v="2"/>
    <x v="161"/>
    <n v="112166.37"/>
    <s v="bob.davis@example.com"/>
    <s v="701765635"/>
    <x v="1"/>
    <x v="1"/>
  </r>
  <r>
    <s v="EMP1168"/>
    <s v="Heidi"/>
    <s v="Davis"/>
    <x v="2"/>
    <x v="1"/>
    <x v="2"/>
    <x v="0"/>
    <x v="162"/>
    <n v="79873.48"/>
    <s v="heidi.davis@example.com"/>
    <s v="41257770"/>
    <x v="0"/>
    <x v="1"/>
  </r>
  <r>
    <s v="EMP1169"/>
    <s v="Frank"/>
    <s v="Miller"/>
    <x v="1"/>
    <x v="0"/>
    <x v="3"/>
    <x v="0"/>
    <x v="163"/>
    <n v="108224.03"/>
    <s v="frank.miller@example.com"/>
    <s v="1837274219"/>
    <x v="3"/>
    <x v="0"/>
  </r>
  <r>
    <s v="EMP1170"/>
    <s v="Bob"/>
    <s v="Garcia"/>
    <x v="3"/>
    <x v="2"/>
    <x v="5"/>
    <x v="0"/>
    <x v="164"/>
    <n v="116963.72"/>
    <s v="bob.garcia@example.com"/>
    <s v="9124186209"/>
    <x v="0"/>
    <x v="0"/>
  </r>
  <r>
    <s v="EMP1171"/>
    <s v="Bob"/>
    <s v="Jones"/>
    <x v="2"/>
    <x v="5"/>
    <x v="2"/>
    <x v="2"/>
    <x v="165"/>
    <n v="114109.06"/>
    <s v="bob.jones@example.com"/>
    <s v="4275230836"/>
    <x v="0"/>
    <x v="0"/>
  </r>
  <r>
    <s v="EMP1172"/>
    <s v="Eva"/>
    <s v="Williams"/>
    <x v="1"/>
    <x v="5"/>
    <x v="0"/>
    <x v="0"/>
    <x v="166"/>
    <n v="85518.88"/>
    <s v="eva.williams@example.com"/>
    <s v="816470899"/>
    <x v="1"/>
    <x v="1"/>
  </r>
  <r>
    <s v="EMP1173"/>
    <s v="Heidi"/>
    <s v="Brown"/>
    <x v="1"/>
    <x v="3"/>
    <x v="0"/>
    <x v="1"/>
    <x v="167"/>
    <n v="58041.97"/>
    <s v="heidi.brown@example.com"/>
    <s v="6335331059"/>
    <x v="3"/>
    <x v="0"/>
  </r>
  <r>
    <s v="EMP1174"/>
    <s v="David"/>
    <s v="Garcia"/>
    <x v="2"/>
    <x v="4"/>
    <x v="5"/>
    <x v="1"/>
    <x v="168"/>
    <n v="94988.94"/>
    <s v="david.garcia@example.com"/>
    <s v="531312205"/>
    <x v="2"/>
    <x v="1"/>
  </r>
  <r>
    <s v="EMP1175"/>
    <s v="Eva"/>
    <s v="Miller"/>
    <x v="0"/>
    <x v="2"/>
    <x v="0"/>
    <x v="1"/>
    <x v="169"/>
    <n v="71628.929999999993"/>
    <s v="eva.miller@example.com"/>
    <s v="8155839385"/>
    <x v="1"/>
    <x v="1"/>
  </r>
  <r>
    <s v="EMP1176"/>
    <s v="Alice"/>
    <s v="Williams"/>
    <x v="1"/>
    <x v="2"/>
    <x v="5"/>
    <x v="1"/>
    <x v="99"/>
    <n v="54870.98"/>
    <s v="alice.williams@example.com"/>
    <s v="6133155205"/>
    <x v="2"/>
    <x v="1"/>
  </r>
  <r>
    <s v="EMP1177"/>
    <s v="Alice"/>
    <s v="Williams"/>
    <x v="0"/>
    <x v="0"/>
    <x v="5"/>
    <x v="0"/>
    <x v="170"/>
    <n v="79388.27"/>
    <s v="alice.williams@example.com"/>
    <s v="5063731494"/>
    <x v="0"/>
    <x v="0"/>
  </r>
  <r>
    <s v="EMP1178"/>
    <s v="Frank"/>
    <s v="Smith"/>
    <x v="3"/>
    <x v="0"/>
    <x v="0"/>
    <x v="1"/>
    <x v="171"/>
    <n v="55946.99"/>
    <s v="frank.smith@example.com"/>
    <s v="136497188"/>
    <x v="0"/>
    <x v="1"/>
  </r>
  <r>
    <s v="EMP1179"/>
    <s v="Charlie"/>
    <s v="Williams"/>
    <x v="1"/>
    <x v="3"/>
    <x v="2"/>
    <x v="0"/>
    <x v="172"/>
    <n v="81017.91"/>
    <s v="charlie.williams@example.com"/>
    <s v="2419562524"/>
    <x v="1"/>
    <x v="0"/>
  </r>
  <r>
    <s v="EMP1180"/>
    <s v="Heidi"/>
    <s v="Jones"/>
    <x v="2"/>
    <x v="5"/>
    <x v="4"/>
    <x v="1"/>
    <x v="173"/>
    <n v="74162.100000000006"/>
    <s v="heidi.jones@example.com"/>
    <s v="7150997682"/>
    <x v="1"/>
    <x v="1"/>
  </r>
  <r>
    <s v="EMP1181"/>
    <s v="Heidi"/>
    <s v="Davis"/>
    <x v="1"/>
    <x v="0"/>
    <x v="0"/>
    <x v="0"/>
    <x v="174"/>
    <n v="77668.44"/>
    <s v="heidi.davis@example.com"/>
    <s v="8903091435"/>
    <x v="2"/>
    <x v="0"/>
  </r>
  <r>
    <s v="EMP1182"/>
    <s v="Alice"/>
    <s v="Miller"/>
    <x v="1"/>
    <x v="5"/>
    <x v="4"/>
    <x v="0"/>
    <x v="175"/>
    <n v="67886.37"/>
    <s v="alice.miller@example.com"/>
    <s v="3910257431"/>
    <x v="3"/>
    <x v="1"/>
  </r>
  <r>
    <s v="EMP1183"/>
    <s v="Alice"/>
    <s v="Williams"/>
    <x v="2"/>
    <x v="0"/>
    <x v="3"/>
    <x v="0"/>
    <x v="176"/>
    <n v="76614.52"/>
    <s v="alice.williams@example.com"/>
    <s v="6303975244"/>
    <x v="2"/>
    <x v="0"/>
  </r>
  <r>
    <s v="EMP1184"/>
    <s v="Frank"/>
    <s v="Smith"/>
    <x v="0"/>
    <x v="1"/>
    <x v="2"/>
    <x v="0"/>
    <x v="177"/>
    <n v="51311.91"/>
    <s v="frank.smith@example.com"/>
    <s v="864035532"/>
    <x v="1"/>
    <x v="1"/>
  </r>
  <r>
    <s v="EMP1185"/>
    <s v="Frank"/>
    <s v="Jones"/>
    <x v="1"/>
    <x v="1"/>
    <x v="5"/>
    <x v="2"/>
    <x v="118"/>
    <n v="94809.919999999998"/>
    <s v="frank.jones@example.com"/>
    <s v="8033968526"/>
    <x v="2"/>
    <x v="0"/>
  </r>
  <r>
    <s v="EMP1186"/>
    <s v="Grace"/>
    <s v="Johnson"/>
    <x v="0"/>
    <x v="5"/>
    <x v="4"/>
    <x v="1"/>
    <x v="178"/>
    <n v="108241.81"/>
    <s v="grace.johnson@example.com"/>
    <s v="171302320"/>
    <x v="1"/>
    <x v="0"/>
  </r>
  <r>
    <s v="EMP1187"/>
    <s v="Bob"/>
    <s v="Davis"/>
    <x v="2"/>
    <x v="3"/>
    <x v="4"/>
    <x v="2"/>
    <x v="179"/>
    <n v="78031.490000000005"/>
    <s v="bob.davis@example.com"/>
    <s v="2983381673"/>
    <x v="2"/>
    <x v="0"/>
  </r>
  <r>
    <s v="EMP1188"/>
    <s v="Eva"/>
    <s v="Davis"/>
    <x v="3"/>
    <x v="2"/>
    <x v="0"/>
    <x v="0"/>
    <x v="180"/>
    <n v="85733.83"/>
    <s v="eva.davis@example.com"/>
    <s v="2336293448"/>
    <x v="1"/>
    <x v="0"/>
  </r>
  <r>
    <s v="EMP1189"/>
    <s v="David"/>
    <s v="Miller"/>
    <x v="3"/>
    <x v="5"/>
    <x v="2"/>
    <x v="1"/>
    <x v="181"/>
    <n v="60338.29"/>
    <s v="david.miller@example.com"/>
    <s v="7347156626"/>
    <x v="1"/>
    <x v="1"/>
  </r>
  <r>
    <s v="EMP1190"/>
    <s v="Eva"/>
    <s v="Davis"/>
    <x v="1"/>
    <x v="2"/>
    <x v="5"/>
    <x v="0"/>
    <x v="182"/>
    <n v="103140.67"/>
    <s v="eva.davis@example.com"/>
    <s v="7689627065"/>
    <x v="1"/>
    <x v="1"/>
  </r>
  <r>
    <s v="EMP1191"/>
    <s v="Heidi"/>
    <s v="Williams"/>
    <x v="2"/>
    <x v="4"/>
    <x v="5"/>
    <x v="2"/>
    <x v="183"/>
    <n v="114690.8"/>
    <s v="heidi.williams@example.com"/>
    <s v="1498282466"/>
    <x v="3"/>
    <x v="0"/>
  </r>
  <r>
    <s v="EMP1192"/>
    <s v="Frank"/>
    <s v="Smith"/>
    <x v="3"/>
    <x v="2"/>
    <x v="3"/>
    <x v="0"/>
    <x v="184"/>
    <n v="80954.559999999998"/>
    <s v="frank.smith@example.com"/>
    <s v="4746897151"/>
    <x v="2"/>
    <x v="1"/>
  </r>
  <r>
    <s v="EMP1193"/>
    <s v="Eva"/>
    <s v="Davis"/>
    <x v="1"/>
    <x v="3"/>
    <x v="0"/>
    <x v="1"/>
    <x v="185"/>
    <n v="71728.55"/>
    <s v="eva.davis@example.com"/>
    <s v="7323008575"/>
    <x v="2"/>
    <x v="0"/>
  </r>
  <r>
    <s v="EMP1194"/>
    <s v="Alice"/>
    <s v="Davis"/>
    <x v="3"/>
    <x v="5"/>
    <x v="1"/>
    <x v="1"/>
    <x v="186"/>
    <n v="118415.8"/>
    <s v="alice.davis@example.com"/>
    <s v="6656749159"/>
    <x v="2"/>
    <x v="0"/>
  </r>
  <r>
    <s v="EMP1195"/>
    <s v="Grace"/>
    <s v="Johnson"/>
    <x v="2"/>
    <x v="4"/>
    <x v="5"/>
    <x v="1"/>
    <x v="187"/>
    <n v="81481.36"/>
    <s v="grace.johnson@example.com"/>
    <s v="1692364586"/>
    <x v="1"/>
    <x v="1"/>
  </r>
  <r>
    <s v="EMP1196"/>
    <s v="David"/>
    <s v="Johnson"/>
    <x v="3"/>
    <x v="4"/>
    <x v="3"/>
    <x v="1"/>
    <x v="188"/>
    <n v="117040.57"/>
    <s v="david.johnson@example.com"/>
    <s v="5066337049"/>
    <x v="2"/>
    <x v="0"/>
  </r>
  <r>
    <s v="EMP1197"/>
    <s v="Frank"/>
    <s v="Brown"/>
    <x v="0"/>
    <x v="4"/>
    <x v="2"/>
    <x v="0"/>
    <x v="189"/>
    <n v="67342.06"/>
    <s v="frank.brown@example.com"/>
    <s v="2497243991"/>
    <x v="2"/>
    <x v="0"/>
  </r>
  <r>
    <s v="EMP1198"/>
    <s v="Heidi"/>
    <s v="Jones"/>
    <x v="1"/>
    <x v="4"/>
    <x v="5"/>
    <x v="0"/>
    <x v="190"/>
    <n v="76099.64"/>
    <s v="heidi.jones@example.com"/>
    <s v="116691835"/>
    <x v="1"/>
    <x v="1"/>
  </r>
  <r>
    <s v="EMP1199"/>
    <s v="Grace"/>
    <s v="Williams"/>
    <x v="3"/>
    <x v="0"/>
    <x v="5"/>
    <x v="0"/>
    <x v="191"/>
    <n v="94162.06"/>
    <s v="grace.williams@example.com"/>
    <s v="2644886945"/>
    <x v="0"/>
    <x v="0"/>
  </r>
  <r>
    <s v="EMP1200"/>
    <s v="Frank"/>
    <s v="Davis"/>
    <x v="0"/>
    <x v="4"/>
    <x v="2"/>
    <x v="2"/>
    <x v="192"/>
    <n v="67639.7"/>
    <s v="frank.davis@example.com"/>
    <s v="1195243639"/>
    <x v="1"/>
    <x v="0"/>
  </r>
  <r>
    <s v="EMP1201"/>
    <s v="Charlie"/>
    <s v="Garcia"/>
    <x v="3"/>
    <x v="3"/>
    <x v="5"/>
    <x v="1"/>
    <x v="193"/>
    <n v="114172.25"/>
    <s v="charlie.garcia@example.com"/>
    <s v="2701168645"/>
    <x v="2"/>
    <x v="0"/>
  </r>
  <r>
    <s v="EMP1202"/>
    <s v="Grace"/>
    <s v="Davis"/>
    <x v="1"/>
    <x v="4"/>
    <x v="2"/>
    <x v="0"/>
    <x v="194"/>
    <n v="89124.54"/>
    <s v="grace.davis@example.com"/>
    <s v="2252237280"/>
    <x v="1"/>
    <x v="0"/>
  </r>
  <r>
    <s v="EMP1203"/>
    <s v="Frank"/>
    <s v="Smith"/>
    <x v="1"/>
    <x v="0"/>
    <x v="2"/>
    <x v="1"/>
    <x v="195"/>
    <n v="113871.36"/>
    <s v="frank.smith@example.com"/>
    <s v="7932302345"/>
    <x v="0"/>
    <x v="1"/>
  </r>
  <r>
    <s v="EMP1204"/>
    <s v="Grace"/>
    <s v="Brown"/>
    <x v="1"/>
    <x v="5"/>
    <x v="1"/>
    <x v="2"/>
    <x v="139"/>
    <n v="62618.400000000001"/>
    <s v="grace.brown@example.com"/>
    <s v="7912141613"/>
    <x v="1"/>
    <x v="1"/>
  </r>
  <r>
    <s v="EMP1205"/>
    <s v="Heidi"/>
    <s v="Jones"/>
    <x v="1"/>
    <x v="2"/>
    <x v="4"/>
    <x v="0"/>
    <x v="196"/>
    <n v="70705.45"/>
    <s v="heidi.jones@example.com"/>
    <s v="1509377099"/>
    <x v="2"/>
    <x v="1"/>
  </r>
  <r>
    <s v="EMP1206"/>
    <s v="Alice"/>
    <s v="Garcia"/>
    <x v="3"/>
    <x v="4"/>
    <x v="4"/>
    <x v="1"/>
    <x v="197"/>
    <n v="60797.69"/>
    <s v="alice.garcia@example.com"/>
    <s v="4090138068"/>
    <x v="0"/>
    <x v="0"/>
  </r>
  <r>
    <s v="EMP1207"/>
    <s v="Charlie"/>
    <s v="Brown"/>
    <x v="2"/>
    <x v="3"/>
    <x v="3"/>
    <x v="2"/>
    <x v="198"/>
    <n v="100371"/>
    <s v="charlie.brown@example.com"/>
    <s v="8477596554"/>
    <x v="3"/>
    <x v="0"/>
  </r>
  <r>
    <s v="EMP1208"/>
    <s v="Eva"/>
    <s v="Miller"/>
    <x v="2"/>
    <x v="2"/>
    <x v="5"/>
    <x v="0"/>
    <x v="199"/>
    <n v="117591.76"/>
    <s v="eva.miller@example.com"/>
    <s v="5356690550"/>
    <x v="2"/>
    <x v="1"/>
  </r>
  <r>
    <s v="EMP1209"/>
    <s v="David"/>
    <s v="Jones"/>
    <x v="3"/>
    <x v="0"/>
    <x v="5"/>
    <x v="2"/>
    <x v="200"/>
    <n v="103860.7"/>
    <s v="david.jones@example.com"/>
    <s v="762091842"/>
    <x v="0"/>
    <x v="0"/>
  </r>
  <r>
    <s v="EMP1210"/>
    <s v="Grace"/>
    <s v="Davis"/>
    <x v="1"/>
    <x v="2"/>
    <x v="5"/>
    <x v="0"/>
    <x v="131"/>
    <n v="67500.22"/>
    <s v="grace.davis@example.com"/>
    <s v="5797863049"/>
    <x v="0"/>
    <x v="0"/>
  </r>
  <r>
    <s v="EMP1211"/>
    <s v="Frank"/>
    <s v="Davis"/>
    <x v="1"/>
    <x v="3"/>
    <x v="2"/>
    <x v="1"/>
    <x v="201"/>
    <n v="58727.44"/>
    <s v="frank.davis@example.com"/>
    <s v="5057397690"/>
    <x v="3"/>
    <x v="0"/>
  </r>
  <r>
    <s v="EMP1212"/>
    <s v="Charlie"/>
    <s v="Jones"/>
    <x v="3"/>
    <x v="1"/>
    <x v="5"/>
    <x v="0"/>
    <x v="66"/>
    <n v="80623.08"/>
    <s v="charlie.jones@example.com"/>
    <s v="5671649327"/>
    <x v="1"/>
    <x v="0"/>
  </r>
  <r>
    <s v="EMP1213"/>
    <s v="David"/>
    <s v="Davis"/>
    <x v="2"/>
    <x v="5"/>
    <x v="1"/>
    <x v="2"/>
    <x v="202"/>
    <n v="77751.78"/>
    <s v="david.davis@example.com"/>
    <s v="9802714871"/>
    <x v="1"/>
    <x v="1"/>
  </r>
  <r>
    <s v="EMP1214"/>
    <s v="Grace"/>
    <s v="Williams"/>
    <x v="0"/>
    <x v="5"/>
    <x v="4"/>
    <x v="0"/>
    <x v="203"/>
    <n v="115157.81"/>
    <s v="grace.williams@example.com"/>
    <s v="7178333210"/>
    <x v="2"/>
    <x v="1"/>
  </r>
  <r>
    <s v="EMP1215"/>
    <s v="Frank"/>
    <s v="Jones"/>
    <x v="1"/>
    <x v="2"/>
    <x v="1"/>
    <x v="2"/>
    <x v="204"/>
    <n v="83071.850000000006"/>
    <s v="frank.jones@example.com"/>
    <s v="6025643470"/>
    <x v="3"/>
    <x v="1"/>
  </r>
  <r>
    <s v="EMP1216"/>
    <s v="Heidi"/>
    <s v="Brown"/>
    <x v="2"/>
    <x v="4"/>
    <x v="1"/>
    <x v="0"/>
    <x v="205"/>
    <n v="67914.67"/>
    <s v="heidi.brown@example.com"/>
    <s v="2871539914"/>
    <x v="1"/>
    <x v="0"/>
  </r>
  <r>
    <s v="EMP1217"/>
    <s v="Grace"/>
    <s v="Jones"/>
    <x v="0"/>
    <x v="5"/>
    <x v="4"/>
    <x v="2"/>
    <x v="206"/>
    <n v="53342.46"/>
    <s v="grace.jones@example.com"/>
    <s v="6686334140"/>
    <x v="3"/>
    <x v="1"/>
  </r>
  <r>
    <s v="EMP1218"/>
    <s v="Heidi"/>
    <s v="Garcia"/>
    <x v="0"/>
    <x v="3"/>
    <x v="3"/>
    <x v="1"/>
    <x v="207"/>
    <n v="51150.47"/>
    <s v="heidi.garcia@example.com"/>
    <s v="1159319524"/>
    <x v="1"/>
    <x v="1"/>
  </r>
  <r>
    <s v="EMP1219"/>
    <s v="David"/>
    <s v="Davis"/>
    <x v="1"/>
    <x v="5"/>
    <x v="3"/>
    <x v="0"/>
    <x v="208"/>
    <n v="74697.119999999995"/>
    <s v="david.davis@example.com"/>
    <s v="6904098365"/>
    <x v="0"/>
    <x v="0"/>
  </r>
  <r>
    <s v="EMP1220"/>
    <s v="Charlie"/>
    <s v="Williams"/>
    <x v="0"/>
    <x v="4"/>
    <x v="0"/>
    <x v="0"/>
    <x v="209"/>
    <n v="88085.74"/>
    <s v="charlie.williams@example.com"/>
    <s v="5528993159"/>
    <x v="1"/>
    <x v="0"/>
  </r>
  <r>
    <s v="EMP1221"/>
    <s v="Alice"/>
    <s v="Williams"/>
    <x v="2"/>
    <x v="1"/>
    <x v="1"/>
    <x v="1"/>
    <x v="210"/>
    <n v="118672.76"/>
    <s v="alice.williams@example.com"/>
    <s v="8752437728"/>
    <x v="3"/>
    <x v="1"/>
  </r>
  <r>
    <s v="EMP1222"/>
    <s v="Alice"/>
    <s v="Miller"/>
    <x v="3"/>
    <x v="3"/>
    <x v="0"/>
    <x v="0"/>
    <x v="211"/>
    <n v="95997.31"/>
    <s v="alice.miller@example.com"/>
    <s v="4209548148"/>
    <x v="0"/>
    <x v="1"/>
  </r>
  <r>
    <s v="EMP1223"/>
    <s v="Frank"/>
    <s v="Brown"/>
    <x v="1"/>
    <x v="3"/>
    <x v="0"/>
    <x v="1"/>
    <x v="212"/>
    <n v="106945.62"/>
    <s v="frank.brown@example.com"/>
    <s v="7374605232"/>
    <x v="0"/>
    <x v="1"/>
  </r>
  <r>
    <s v="EMP1224"/>
    <s v="Heidi"/>
    <s v="Johnson"/>
    <x v="2"/>
    <x v="0"/>
    <x v="4"/>
    <x v="0"/>
    <x v="213"/>
    <n v="100123.15"/>
    <s v="heidi.johnson@example.com"/>
    <s v="276420864"/>
    <x v="0"/>
    <x v="1"/>
  </r>
  <r>
    <s v="EMP1225"/>
    <s v="Alice"/>
    <s v="Johnson"/>
    <x v="3"/>
    <x v="2"/>
    <x v="1"/>
    <x v="0"/>
    <x v="214"/>
    <n v="52933.42"/>
    <s v="alice.johnson@example.com"/>
    <s v="6756618442"/>
    <x v="3"/>
    <x v="0"/>
  </r>
  <r>
    <s v="EMP1226"/>
    <s v="Grace"/>
    <s v="Jones"/>
    <x v="1"/>
    <x v="1"/>
    <x v="0"/>
    <x v="0"/>
    <x v="215"/>
    <n v="95283.03"/>
    <s v="grace.jones@example.com"/>
    <s v="8612590471"/>
    <x v="2"/>
    <x v="1"/>
  </r>
  <r>
    <s v="EMP1227"/>
    <s v="Alice"/>
    <s v="Miller"/>
    <x v="3"/>
    <x v="5"/>
    <x v="1"/>
    <x v="2"/>
    <x v="216"/>
    <n v="112264.06"/>
    <s v="alice.miller@example.com"/>
    <s v="9277423329"/>
    <x v="2"/>
    <x v="1"/>
  </r>
  <r>
    <s v="EMP1228"/>
    <s v="Grace"/>
    <s v="Smith"/>
    <x v="3"/>
    <x v="2"/>
    <x v="3"/>
    <x v="1"/>
    <x v="217"/>
    <n v="75714.28"/>
    <s v="grace.smith@example.com"/>
    <s v="5912662014"/>
    <x v="2"/>
    <x v="0"/>
  </r>
  <r>
    <s v="EMP1229"/>
    <s v="Eva"/>
    <s v="Jones"/>
    <x v="0"/>
    <x v="0"/>
    <x v="3"/>
    <x v="0"/>
    <x v="218"/>
    <n v="92171.73"/>
    <s v="eva.jones@example.com"/>
    <s v="7201859625"/>
    <x v="3"/>
    <x v="1"/>
  </r>
  <r>
    <s v="EMP1230"/>
    <s v="Eva"/>
    <s v="Miller"/>
    <x v="3"/>
    <x v="3"/>
    <x v="1"/>
    <x v="2"/>
    <x v="219"/>
    <n v="70694.8"/>
    <s v="eva.miller@example.com"/>
    <s v="3013674925"/>
    <x v="0"/>
    <x v="0"/>
  </r>
  <r>
    <s v="EMP1231"/>
    <s v="Grace"/>
    <s v="Brown"/>
    <x v="1"/>
    <x v="0"/>
    <x v="3"/>
    <x v="2"/>
    <x v="220"/>
    <n v="52964.86"/>
    <s v="grace.brown@example.com"/>
    <s v="1764750110"/>
    <x v="2"/>
    <x v="0"/>
  </r>
  <r>
    <s v="EMP1232"/>
    <s v="Frank"/>
    <s v="Brown"/>
    <x v="1"/>
    <x v="1"/>
    <x v="0"/>
    <x v="1"/>
    <x v="221"/>
    <n v="116353.31"/>
    <s v="frank.brown@example.com"/>
    <s v="1783099973"/>
    <x v="3"/>
    <x v="0"/>
  </r>
  <r>
    <s v="EMP1233"/>
    <s v="Grace"/>
    <s v="Brown"/>
    <x v="3"/>
    <x v="4"/>
    <x v="2"/>
    <x v="1"/>
    <x v="222"/>
    <n v="116695.26"/>
    <s v="grace.brown@example.com"/>
    <s v="1926764920"/>
    <x v="2"/>
    <x v="1"/>
  </r>
  <r>
    <s v="EMP1234"/>
    <s v="Heidi"/>
    <s v="Brown"/>
    <x v="0"/>
    <x v="2"/>
    <x v="1"/>
    <x v="0"/>
    <x v="223"/>
    <n v="95161.4"/>
    <s v="heidi.brown@example.com"/>
    <s v="5182606887"/>
    <x v="1"/>
    <x v="1"/>
  </r>
  <r>
    <s v="EMP1235"/>
    <s v="Alice"/>
    <s v="Brown"/>
    <x v="1"/>
    <x v="2"/>
    <x v="2"/>
    <x v="2"/>
    <x v="224"/>
    <n v="76040.94"/>
    <s v="alice.brown@example.com"/>
    <s v="7189813128"/>
    <x v="2"/>
    <x v="0"/>
  </r>
  <r>
    <s v="EMP1236"/>
    <s v="Charlie"/>
    <s v="Miller"/>
    <x v="1"/>
    <x v="5"/>
    <x v="3"/>
    <x v="2"/>
    <x v="225"/>
    <n v="69508.28"/>
    <s v="charlie.miller@example.com"/>
    <s v="2087510292"/>
    <x v="2"/>
    <x v="1"/>
  </r>
  <r>
    <s v="EMP1237"/>
    <s v="Alice"/>
    <s v="Miller"/>
    <x v="1"/>
    <x v="1"/>
    <x v="5"/>
    <x v="2"/>
    <x v="226"/>
    <n v="58243.27"/>
    <s v="alice.miller@example.com"/>
    <s v="2184011844"/>
    <x v="0"/>
    <x v="1"/>
  </r>
  <r>
    <s v="EMP1238"/>
    <s v="Heidi"/>
    <s v="Williams"/>
    <x v="1"/>
    <x v="4"/>
    <x v="0"/>
    <x v="1"/>
    <x v="227"/>
    <n v="64012.480000000003"/>
    <s v="heidi.williams@example.com"/>
    <s v="8260340847"/>
    <x v="3"/>
    <x v="0"/>
  </r>
  <r>
    <s v="EMP1239"/>
    <s v="Bob"/>
    <s v="Garcia"/>
    <x v="2"/>
    <x v="2"/>
    <x v="2"/>
    <x v="2"/>
    <x v="228"/>
    <n v="106735.93"/>
    <s v="bob.garcia@example.com"/>
    <s v="7297585987"/>
    <x v="0"/>
    <x v="0"/>
  </r>
  <r>
    <s v="EMP1240"/>
    <s v="Frank"/>
    <s v="Johnson"/>
    <x v="3"/>
    <x v="0"/>
    <x v="1"/>
    <x v="1"/>
    <x v="229"/>
    <n v="70325.36"/>
    <s v="frank.johnson@example.com"/>
    <s v="3103032431"/>
    <x v="0"/>
    <x v="1"/>
  </r>
  <r>
    <s v="EMP1241"/>
    <s v="Charlie"/>
    <s v="Davis"/>
    <x v="1"/>
    <x v="5"/>
    <x v="5"/>
    <x v="0"/>
    <x v="230"/>
    <n v="118959.28"/>
    <s v="charlie.davis@example.com"/>
    <s v="9839542960"/>
    <x v="0"/>
    <x v="0"/>
  </r>
  <r>
    <s v="EMP1242"/>
    <s v="David"/>
    <s v="Brown"/>
    <x v="2"/>
    <x v="3"/>
    <x v="0"/>
    <x v="1"/>
    <x v="231"/>
    <n v="75823.78"/>
    <s v="david.brown@example.com"/>
    <s v="8446267145"/>
    <x v="0"/>
    <x v="1"/>
  </r>
  <r>
    <s v="EMP1243"/>
    <s v="Charlie"/>
    <s v="Smith"/>
    <x v="1"/>
    <x v="3"/>
    <x v="1"/>
    <x v="2"/>
    <x v="232"/>
    <n v="119971.65"/>
    <s v="charlie.smith@example.com"/>
    <s v="2831435988"/>
    <x v="0"/>
    <x v="1"/>
  </r>
  <r>
    <s v="EMP1244"/>
    <s v="Grace"/>
    <s v="Davis"/>
    <x v="2"/>
    <x v="4"/>
    <x v="1"/>
    <x v="0"/>
    <x v="233"/>
    <n v="94963.7"/>
    <s v="grace.davis@example.com"/>
    <s v="2625660930"/>
    <x v="2"/>
    <x v="1"/>
  </r>
  <r>
    <s v="EMP1245"/>
    <s v="Frank"/>
    <s v="Miller"/>
    <x v="1"/>
    <x v="4"/>
    <x v="2"/>
    <x v="1"/>
    <x v="234"/>
    <n v="103744.71"/>
    <s v="frank.miller@example.com"/>
    <s v="4181861514"/>
    <x v="0"/>
    <x v="1"/>
  </r>
  <r>
    <s v="EMP1246"/>
    <s v="Alice"/>
    <s v="Smith"/>
    <x v="0"/>
    <x v="4"/>
    <x v="4"/>
    <x v="2"/>
    <x v="235"/>
    <n v="61337.69"/>
    <s v="alice.smith@example.com"/>
    <s v="5423401635"/>
    <x v="0"/>
    <x v="0"/>
  </r>
  <r>
    <s v="EMP1247"/>
    <s v="David"/>
    <s v="Smith"/>
    <x v="3"/>
    <x v="4"/>
    <x v="0"/>
    <x v="0"/>
    <x v="236"/>
    <n v="63741.13"/>
    <s v="david.smith@example.com"/>
    <s v="1128497184"/>
    <x v="3"/>
    <x v="0"/>
  </r>
  <r>
    <s v="EMP1248"/>
    <s v="Eva"/>
    <s v="Smith"/>
    <x v="1"/>
    <x v="0"/>
    <x v="0"/>
    <x v="1"/>
    <x v="237"/>
    <n v="56539.99"/>
    <s v="eva.smith@example.com"/>
    <s v="9484910255"/>
    <x v="1"/>
    <x v="0"/>
  </r>
  <r>
    <s v="EMP1249"/>
    <s v="Charlie"/>
    <s v="Williams"/>
    <x v="1"/>
    <x v="0"/>
    <x v="5"/>
    <x v="1"/>
    <x v="238"/>
    <n v="73633.37"/>
    <s v="charlie.williams@example.com"/>
    <s v="2588967923"/>
    <x v="2"/>
    <x v="0"/>
  </r>
  <r>
    <s v="EMP1250"/>
    <s v="Alice"/>
    <s v="Miller"/>
    <x v="0"/>
    <x v="3"/>
    <x v="1"/>
    <x v="1"/>
    <x v="239"/>
    <n v="90373.99"/>
    <s v="alice.miller@example.com"/>
    <s v="822269404"/>
    <x v="2"/>
    <x v="1"/>
  </r>
  <r>
    <s v="EMP1251"/>
    <s v="Grace"/>
    <s v="Smith"/>
    <x v="1"/>
    <x v="0"/>
    <x v="1"/>
    <x v="2"/>
    <x v="240"/>
    <n v="93901.48"/>
    <s v="grace.smith@example.com"/>
    <s v="3967275783"/>
    <x v="2"/>
    <x v="1"/>
  </r>
  <r>
    <s v="EMP1252"/>
    <s v="Eva"/>
    <s v="Brown"/>
    <x v="2"/>
    <x v="2"/>
    <x v="2"/>
    <x v="2"/>
    <x v="241"/>
    <n v="81748.09"/>
    <s v="eva.brown@example.com"/>
    <s v="4683414650"/>
    <x v="0"/>
    <x v="0"/>
  </r>
  <r>
    <s v="EMP1253"/>
    <s v="Charlie"/>
    <s v="Jones"/>
    <x v="2"/>
    <x v="1"/>
    <x v="3"/>
    <x v="2"/>
    <x v="242"/>
    <n v="73813.48"/>
    <s v="charlie.jones@example.com"/>
    <s v="1131290147"/>
    <x v="0"/>
    <x v="1"/>
  </r>
  <r>
    <s v="EMP1254"/>
    <s v="Frank"/>
    <s v="Smith"/>
    <x v="3"/>
    <x v="1"/>
    <x v="4"/>
    <x v="2"/>
    <x v="243"/>
    <n v="89315.59"/>
    <s v="frank.smith@example.com"/>
    <s v="7068277880"/>
    <x v="0"/>
    <x v="1"/>
  </r>
  <r>
    <s v="EMP1255"/>
    <s v="Heidi"/>
    <s v="Williams"/>
    <x v="0"/>
    <x v="5"/>
    <x v="3"/>
    <x v="0"/>
    <x v="142"/>
    <n v="56776.82"/>
    <s v="heidi.williams@example.com"/>
    <s v="6093068537"/>
    <x v="3"/>
    <x v="1"/>
  </r>
  <r>
    <s v="EMP1256"/>
    <s v="Grace"/>
    <s v="Davis"/>
    <x v="1"/>
    <x v="1"/>
    <x v="4"/>
    <x v="0"/>
    <x v="244"/>
    <n v="72920.509999999995"/>
    <s v="grace.davis@example.com"/>
    <s v="9097283214"/>
    <x v="1"/>
    <x v="0"/>
  </r>
  <r>
    <s v="EMP1257"/>
    <s v="Frank"/>
    <s v="Miller"/>
    <x v="1"/>
    <x v="2"/>
    <x v="3"/>
    <x v="1"/>
    <x v="245"/>
    <n v="84913.18"/>
    <s v="frank.miller@example.com"/>
    <s v="2850676250"/>
    <x v="0"/>
    <x v="0"/>
  </r>
  <r>
    <s v="EMP1258"/>
    <s v="Alice"/>
    <s v="Garcia"/>
    <x v="0"/>
    <x v="1"/>
    <x v="5"/>
    <x v="2"/>
    <x v="20"/>
    <n v="65060.11"/>
    <s v="alice.garcia@example.com"/>
    <s v="5381447442"/>
    <x v="1"/>
    <x v="0"/>
  </r>
  <r>
    <s v="EMP1259"/>
    <s v="Alice"/>
    <s v="Williams"/>
    <x v="3"/>
    <x v="1"/>
    <x v="5"/>
    <x v="1"/>
    <x v="246"/>
    <n v="82941.08"/>
    <s v="alice.williams@example.com"/>
    <s v="963480796"/>
    <x v="3"/>
    <x v="1"/>
  </r>
  <r>
    <s v="EMP1260"/>
    <s v="Bob"/>
    <s v="Smith"/>
    <x v="2"/>
    <x v="2"/>
    <x v="0"/>
    <x v="1"/>
    <x v="247"/>
    <n v="103469.97"/>
    <s v="bob.smith@example.com"/>
    <s v="509754509"/>
    <x v="2"/>
    <x v="0"/>
  </r>
  <r>
    <s v="EMP1261"/>
    <s v="Grace"/>
    <s v="Miller"/>
    <x v="0"/>
    <x v="4"/>
    <x v="5"/>
    <x v="0"/>
    <x v="248"/>
    <n v="88725.6"/>
    <s v="grace.miller@example.com"/>
    <s v="5265016730"/>
    <x v="0"/>
    <x v="0"/>
  </r>
  <r>
    <s v="EMP1262"/>
    <s v="Heidi"/>
    <s v="Jones"/>
    <x v="1"/>
    <x v="5"/>
    <x v="5"/>
    <x v="1"/>
    <x v="249"/>
    <n v="58316.77"/>
    <s v="heidi.jones@example.com"/>
    <s v="8826170242"/>
    <x v="1"/>
    <x v="0"/>
  </r>
  <r>
    <s v="EMP1263"/>
    <s v="Grace"/>
    <s v="Smith"/>
    <x v="3"/>
    <x v="5"/>
    <x v="5"/>
    <x v="2"/>
    <x v="250"/>
    <n v="60098.720000000001"/>
    <s v="grace.smith@example.com"/>
    <s v="7654562840"/>
    <x v="1"/>
    <x v="0"/>
  </r>
  <r>
    <s v="EMP1264"/>
    <s v="Grace"/>
    <s v="Williams"/>
    <x v="1"/>
    <x v="3"/>
    <x v="1"/>
    <x v="0"/>
    <x v="251"/>
    <n v="99951.43"/>
    <s v="grace.williams@example.com"/>
    <s v="7722560530"/>
    <x v="0"/>
    <x v="0"/>
  </r>
  <r>
    <s v="EMP1265"/>
    <s v="Heidi"/>
    <s v="Johnson"/>
    <x v="1"/>
    <x v="4"/>
    <x v="5"/>
    <x v="0"/>
    <x v="252"/>
    <n v="115195.81"/>
    <s v="heidi.johnson@example.com"/>
    <s v="3402665022"/>
    <x v="2"/>
    <x v="0"/>
  </r>
  <r>
    <s v="EMP1266"/>
    <s v="Grace"/>
    <s v="Brown"/>
    <x v="1"/>
    <x v="0"/>
    <x v="0"/>
    <x v="1"/>
    <x v="253"/>
    <n v="85512.05"/>
    <s v="grace.brown@example.com"/>
    <s v="7416787255"/>
    <x v="2"/>
    <x v="1"/>
  </r>
  <r>
    <s v="EMP1267"/>
    <s v="Heidi"/>
    <s v="Garcia"/>
    <x v="1"/>
    <x v="5"/>
    <x v="3"/>
    <x v="0"/>
    <x v="254"/>
    <n v="73186.77"/>
    <s v="heidi.garcia@example.com"/>
    <s v="8621102257"/>
    <x v="2"/>
    <x v="1"/>
  </r>
  <r>
    <s v="EMP1268"/>
    <s v="Grace"/>
    <s v="Davis"/>
    <x v="1"/>
    <x v="5"/>
    <x v="2"/>
    <x v="1"/>
    <x v="255"/>
    <n v="51865.3"/>
    <s v="grace.davis@example.com"/>
    <s v="305690673"/>
    <x v="3"/>
    <x v="0"/>
  </r>
  <r>
    <s v="EMP1269"/>
    <s v="David"/>
    <s v="Williams"/>
    <x v="0"/>
    <x v="4"/>
    <x v="3"/>
    <x v="0"/>
    <x v="256"/>
    <n v="94031.77"/>
    <s v="david.williams@example.com"/>
    <s v="4716392822"/>
    <x v="1"/>
    <x v="0"/>
  </r>
  <r>
    <s v="EMP1270"/>
    <s v="Grace"/>
    <s v="Miller"/>
    <x v="1"/>
    <x v="0"/>
    <x v="4"/>
    <x v="0"/>
    <x v="231"/>
    <n v="116374.36"/>
    <s v="grace.miller@example.com"/>
    <s v="4143637188"/>
    <x v="1"/>
    <x v="1"/>
  </r>
  <r>
    <s v="EMP1271"/>
    <s v="Alice"/>
    <s v="Garcia"/>
    <x v="2"/>
    <x v="5"/>
    <x v="3"/>
    <x v="0"/>
    <x v="257"/>
    <n v="98335.02"/>
    <s v="alice.garcia@example.com"/>
    <s v="2392312603"/>
    <x v="1"/>
    <x v="1"/>
  </r>
  <r>
    <s v="EMP1272"/>
    <s v="Heidi"/>
    <s v="Garcia"/>
    <x v="0"/>
    <x v="0"/>
    <x v="4"/>
    <x v="1"/>
    <x v="258"/>
    <n v="89262.07"/>
    <s v="heidi.garcia@example.com"/>
    <s v="3260931065"/>
    <x v="3"/>
    <x v="0"/>
  </r>
  <r>
    <s v="EMP1273"/>
    <s v="Heidi"/>
    <s v="Garcia"/>
    <x v="1"/>
    <x v="1"/>
    <x v="0"/>
    <x v="0"/>
    <x v="259"/>
    <n v="113848.69"/>
    <s v="heidi.garcia@example.com"/>
    <s v="8433567085"/>
    <x v="1"/>
    <x v="0"/>
  </r>
  <r>
    <s v="EMP1274"/>
    <s v="Frank"/>
    <s v="Smith"/>
    <x v="3"/>
    <x v="4"/>
    <x v="3"/>
    <x v="0"/>
    <x v="260"/>
    <n v="69530.45"/>
    <s v="frank.smith@example.com"/>
    <s v="414545634"/>
    <x v="3"/>
    <x v="0"/>
  </r>
  <r>
    <s v="EMP1275"/>
    <s v="Eva"/>
    <s v="Brown"/>
    <x v="3"/>
    <x v="0"/>
    <x v="4"/>
    <x v="1"/>
    <x v="261"/>
    <n v="84230.22"/>
    <s v="eva.brown@example.com"/>
    <s v="200053473"/>
    <x v="2"/>
    <x v="0"/>
  </r>
  <r>
    <s v="EMP1276"/>
    <s v="Eva"/>
    <s v="Smith"/>
    <x v="3"/>
    <x v="3"/>
    <x v="5"/>
    <x v="1"/>
    <x v="262"/>
    <n v="76578.59"/>
    <s v="eva.smith@example.com"/>
    <s v="9162475540"/>
    <x v="0"/>
    <x v="1"/>
  </r>
  <r>
    <s v="EMP1277"/>
    <s v="Frank"/>
    <s v="Miller"/>
    <x v="1"/>
    <x v="5"/>
    <x v="1"/>
    <x v="2"/>
    <x v="263"/>
    <n v="55532.06"/>
    <s v="frank.miller@example.com"/>
    <s v="1082555988"/>
    <x v="1"/>
    <x v="0"/>
  </r>
  <r>
    <s v="EMP1278"/>
    <s v="Eva"/>
    <s v="Smith"/>
    <x v="2"/>
    <x v="2"/>
    <x v="4"/>
    <x v="1"/>
    <x v="264"/>
    <n v="115311.67999999999"/>
    <s v="eva.smith@example.com"/>
    <s v="5343961128"/>
    <x v="1"/>
    <x v="0"/>
  </r>
  <r>
    <s v="EMP1279"/>
    <s v="Charlie"/>
    <s v="Johnson"/>
    <x v="0"/>
    <x v="4"/>
    <x v="2"/>
    <x v="1"/>
    <x v="265"/>
    <n v="66972.06"/>
    <s v="charlie.johnson@example.com"/>
    <s v="1093371188"/>
    <x v="2"/>
    <x v="0"/>
  </r>
  <r>
    <s v="EMP1280"/>
    <s v="David"/>
    <s v="Brown"/>
    <x v="1"/>
    <x v="3"/>
    <x v="1"/>
    <x v="2"/>
    <x v="55"/>
    <n v="100215.06"/>
    <s v="david.brown@example.com"/>
    <s v="5473820235"/>
    <x v="0"/>
    <x v="0"/>
  </r>
  <r>
    <s v="EMP1281"/>
    <s v="Charlie"/>
    <s v="Brown"/>
    <x v="0"/>
    <x v="4"/>
    <x v="4"/>
    <x v="2"/>
    <x v="266"/>
    <n v="115452.25"/>
    <s v="charlie.brown@example.com"/>
    <s v="8485571616"/>
    <x v="3"/>
    <x v="1"/>
  </r>
  <r>
    <s v="EMP1282"/>
    <s v="Heidi"/>
    <s v="Miller"/>
    <x v="1"/>
    <x v="5"/>
    <x v="0"/>
    <x v="2"/>
    <x v="267"/>
    <n v="54141.38"/>
    <s v="heidi.miller@example.com"/>
    <s v="6880294239"/>
    <x v="0"/>
    <x v="1"/>
  </r>
  <r>
    <s v="EMP1283"/>
    <s v="David"/>
    <s v="Davis"/>
    <x v="1"/>
    <x v="0"/>
    <x v="2"/>
    <x v="0"/>
    <x v="268"/>
    <n v="79251.95"/>
    <s v="david.davis@example.com"/>
    <s v="9036788126"/>
    <x v="2"/>
    <x v="1"/>
  </r>
  <r>
    <s v="EMP1284"/>
    <s v="Alice"/>
    <s v="Johnson"/>
    <x v="2"/>
    <x v="1"/>
    <x v="4"/>
    <x v="1"/>
    <x v="269"/>
    <n v="114822.78"/>
    <s v="alice.johnson@example.com"/>
    <s v="8686694319"/>
    <x v="2"/>
    <x v="0"/>
  </r>
  <r>
    <s v="EMP1285"/>
    <s v="Alice"/>
    <s v="Williams"/>
    <x v="3"/>
    <x v="4"/>
    <x v="5"/>
    <x v="0"/>
    <x v="270"/>
    <n v="69919.320000000007"/>
    <s v="alice.williams@example.com"/>
    <s v="2939087883"/>
    <x v="0"/>
    <x v="0"/>
  </r>
  <r>
    <s v="EMP1286"/>
    <s v="Heidi"/>
    <s v="Smith"/>
    <x v="1"/>
    <x v="4"/>
    <x v="3"/>
    <x v="2"/>
    <x v="271"/>
    <n v="106616.97"/>
    <s v="heidi.smith@example.com"/>
    <s v="4344812307"/>
    <x v="3"/>
    <x v="1"/>
  </r>
  <r>
    <s v="EMP1287"/>
    <s v="Heidi"/>
    <s v="Jones"/>
    <x v="3"/>
    <x v="0"/>
    <x v="4"/>
    <x v="0"/>
    <x v="272"/>
    <n v="73597.850000000006"/>
    <s v="heidi.jones@example.com"/>
    <s v="3402424032"/>
    <x v="3"/>
    <x v="0"/>
  </r>
  <r>
    <s v="EMP1288"/>
    <s v="David"/>
    <s v="Smith"/>
    <x v="1"/>
    <x v="4"/>
    <x v="2"/>
    <x v="2"/>
    <x v="273"/>
    <n v="79939.23"/>
    <s v="david.smith@example.com"/>
    <s v="8105955183"/>
    <x v="1"/>
    <x v="0"/>
  </r>
  <r>
    <s v="EMP1289"/>
    <s v="Grace"/>
    <s v="Garcia"/>
    <x v="0"/>
    <x v="2"/>
    <x v="4"/>
    <x v="2"/>
    <x v="274"/>
    <m/>
    <s v="grace.garcia@example.com"/>
    <s v="2694500533"/>
    <x v="3"/>
    <x v="1"/>
  </r>
  <r>
    <s v="EMP1290"/>
    <s v="Grace"/>
    <s v="Smith"/>
    <x v="1"/>
    <x v="1"/>
    <x v="0"/>
    <x v="2"/>
    <x v="275"/>
    <n v="90772.25"/>
    <s v="grace.smith@example.com"/>
    <s v="2408916497"/>
    <x v="0"/>
    <x v="1"/>
  </r>
  <r>
    <s v="EMP1291"/>
    <s v="Eva"/>
    <s v="Williams"/>
    <x v="3"/>
    <x v="0"/>
    <x v="4"/>
    <x v="0"/>
    <x v="276"/>
    <n v="58275.74"/>
    <s v="eva.williams@example.com"/>
    <s v="3735439626"/>
    <x v="2"/>
    <x v="1"/>
  </r>
  <r>
    <s v="EMP1292"/>
    <s v="Grace"/>
    <s v="Smith"/>
    <x v="1"/>
    <x v="0"/>
    <x v="0"/>
    <x v="1"/>
    <x v="119"/>
    <n v="94709.79"/>
    <s v="grace.smith@example.com"/>
    <s v="3652717271"/>
    <x v="1"/>
    <x v="1"/>
  </r>
  <r>
    <s v="EMP1293"/>
    <s v="Frank"/>
    <s v="Johnson"/>
    <x v="1"/>
    <x v="2"/>
    <x v="4"/>
    <x v="0"/>
    <x v="277"/>
    <n v="60722.99"/>
    <s v="frank.johnson@example.com"/>
    <s v="2397240421"/>
    <x v="1"/>
    <x v="0"/>
  </r>
  <r>
    <s v="EMP1294"/>
    <s v="Frank"/>
    <s v="Johnson"/>
    <x v="2"/>
    <x v="0"/>
    <x v="5"/>
    <x v="2"/>
    <x v="278"/>
    <n v="87626.240000000005"/>
    <s v="frank.johnson@example.com"/>
    <s v="6931216375"/>
    <x v="2"/>
    <x v="0"/>
  </r>
  <r>
    <s v="EMP1295"/>
    <s v="David"/>
    <s v="Brown"/>
    <x v="1"/>
    <x v="0"/>
    <x v="5"/>
    <x v="0"/>
    <x v="279"/>
    <n v="81272.36"/>
    <s v="david.brown@example.com"/>
    <s v="1820916600"/>
    <x v="3"/>
    <x v="1"/>
  </r>
  <r>
    <s v="EMP1296"/>
    <s v="Bob"/>
    <s v="Miller"/>
    <x v="1"/>
    <x v="3"/>
    <x v="1"/>
    <x v="1"/>
    <x v="280"/>
    <n v="64150.97"/>
    <s v="bob.miller@example.com"/>
    <s v="23142899"/>
    <x v="2"/>
    <x v="0"/>
  </r>
  <r>
    <s v="EMP1297"/>
    <s v="Charlie"/>
    <s v="Davis"/>
    <x v="3"/>
    <x v="4"/>
    <x v="3"/>
    <x v="0"/>
    <x v="281"/>
    <n v="64378.1"/>
    <s v="charlie.davis@example.com"/>
    <s v="1851327971"/>
    <x v="3"/>
    <x v="1"/>
  </r>
  <r>
    <s v="EMP1298"/>
    <s v="Bob"/>
    <s v="Jones"/>
    <x v="1"/>
    <x v="1"/>
    <x v="1"/>
    <x v="2"/>
    <x v="282"/>
    <n v="85927.35"/>
    <s v="bob.jones@example.com"/>
    <s v="4572308480"/>
    <x v="2"/>
    <x v="1"/>
  </r>
  <r>
    <s v="EMP1299"/>
    <s v="Alice"/>
    <s v="Garcia"/>
    <x v="1"/>
    <x v="1"/>
    <x v="2"/>
    <x v="2"/>
    <x v="283"/>
    <n v="51523.93"/>
    <s v="alice.garcia@example.com"/>
    <s v="18418619"/>
    <x v="0"/>
    <x v="0"/>
  </r>
  <r>
    <s v="EMP1300"/>
    <s v="Alice"/>
    <s v="Smith"/>
    <x v="1"/>
    <x v="4"/>
    <x v="1"/>
    <x v="0"/>
    <x v="284"/>
    <n v="74117.02"/>
    <s v="alice.smith@example.com"/>
    <s v="3036625435"/>
    <x v="3"/>
    <x v="1"/>
  </r>
  <r>
    <s v="EMP1301"/>
    <s v="Alice"/>
    <s v="Smith"/>
    <x v="0"/>
    <x v="1"/>
    <x v="1"/>
    <x v="2"/>
    <x v="285"/>
    <n v="62598.69"/>
    <s v="alice.smith@example.com"/>
    <s v="1721314518"/>
    <x v="0"/>
    <x v="0"/>
  </r>
  <r>
    <s v="EMP1302"/>
    <s v="Grace"/>
    <s v="Williams"/>
    <x v="3"/>
    <x v="1"/>
    <x v="3"/>
    <x v="2"/>
    <x v="286"/>
    <n v="55617.5"/>
    <s v="grace.williams@example.com"/>
    <s v="5151092267"/>
    <x v="1"/>
    <x v="0"/>
  </r>
  <r>
    <s v="EMP1303"/>
    <s v="Charlie"/>
    <s v="Miller"/>
    <x v="3"/>
    <x v="3"/>
    <x v="4"/>
    <x v="1"/>
    <x v="287"/>
    <n v="87018.98"/>
    <s v="charlie.miller@example.com"/>
    <s v="5926249450"/>
    <x v="2"/>
    <x v="0"/>
  </r>
  <r>
    <s v="EMP1304"/>
    <s v="David"/>
    <s v="Johnson"/>
    <x v="0"/>
    <x v="3"/>
    <x v="0"/>
    <x v="2"/>
    <x v="28"/>
    <n v="100336.58"/>
    <s v="david.johnson@example.com"/>
    <s v="4754102251"/>
    <x v="1"/>
    <x v="0"/>
  </r>
  <r>
    <s v="EMP1305"/>
    <s v="Grace"/>
    <s v="Jones"/>
    <x v="1"/>
    <x v="2"/>
    <x v="3"/>
    <x v="2"/>
    <x v="288"/>
    <n v="69295.48"/>
    <s v="grace.jones@example.com"/>
    <s v="6771196420"/>
    <x v="1"/>
    <x v="1"/>
  </r>
  <r>
    <s v="EMP1306"/>
    <s v="Bob"/>
    <s v="Brown"/>
    <x v="0"/>
    <x v="0"/>
    <x v="3"/>
    <x v="1"/>
    <x v="289"/>
    <n v="115536.66"/>
    <s v="bob.brown@example.com"/>
    <s v="5226557675"/>
    <x v="1"/>
    <x v="0"/>
  </r>
  <r>
    <s v="EMP1307"/>
    <s v="David"/>
    <s v="Johnson"/>
    <x v="1"/>
    <x v="3"/>
    <x v="1"/>
    <x v="1"/>
    <x v="290"/>
    <n v="81250.87"/>
    <s v="david.johnson@example.com"/>
    <s v="9523668787"/>
    <x v="1"/>
    <x v="1"/>
  </r>
  <r>
    <s v="EMP1308"/>
    <s v="Alice"/>
    <s v="Garcia"/>
    <x v="1"/>
    <x v="0"/>
    <x v="1"/>
    <x v="2"/>
    <x v="291"/>
    <n v="66403.75"/>
    <s v="alice.garcia@example.com"/>
    <s v="7883619688"/>
    <x v="2"/>
    <x v="1"/>
  </r>
  <r>
    <s v="EMP1309"/>
    <s v="Alice"/>
    <s v="Miller"/>
    <x v="1"/>
    <x v="4"/>
    <x v="0"/>
    <x v="0"/>
    <x v="292"/>
    <n v="114147.79"/>
    <s v="alice.miller@example.com"/>
    <s v="3135030586"/>
    <x v="1"/>
    <x v="1"/>
  </r>
  <r>
    <s v="EMP1310"/>
    <s v="Frank"/>
    <s v="Garcia"/>
    <x v="1"/>
    <x v="5"/>
    <x v="4"/>
    <x v="1"/>
    <x v="293"/>
    <n v="65472.99"/>
    <s v="frank.garcia@example.com"/>
    <s v="2105524727"/>
    <x v="2"/>
    <x v="1"/>
  </r>
  <r>
    <s v="EMP1311"/>
    <s v="Alice"/>
    <s v="Davis"/>
    <x v="1"/>
    <x v="4"/>
    <x v="2"/>
    <x v="0"/>
    <x v="294"/>
    <n v="97512.51"/>
    <s v="alice.davis@example.com"/>
    <s v="6333021259"/>
    <x v="2"/>
    <x v="0"/>
  </r>
  <r>
    <s v="EMP1312"/>
    <s v="Alice"/>
    <s v="Brown"/>
    <x v="3"/>
    <x v="0"/>
    <x v="2"/>
    <x v="2"/>
    <x v="295"/>
    <n v="86712.41"/>
    <s v="alice.brown@example.com"/>
    <s v="6501917919"/>
    <x v="0"/>
    <x v="0"/>
  </r>
  <r>
    <s v="EMP1313"/>
    <s v="Grace"/>
    <s v="Davis"/>
    <x v="1"/>
    <x v="5"/>
    <x v="3"/>
    <x v="0"/>
    <x v="296"/>
    <n v="87654.98"/>
    <s v="grace.davis@example.com"/>
    <s v="2521310961"/>
    <x v="3"/>
    <x v="1"/>
  </r>
  <r>
    <s v="EMP1314"/>
    <s v="David"/>
    <s v="Williams"/>
    <x v="3"/>
    <x v="0"/>
    <x v="4"/>
    <x v="2"/>
    <x v="297"/>
    <n v="89367.02"/>
    <s v="david.williams@example.com"/>
    <s v="2728476569"/>
    <x v="3"/>
    <x v="1"/>
  </r>
  <r>
    <s v="EMP1315"/>
    <s v="Charlie"/>
    <s v="Garcia"/>
    <x v="2"/>
    <x v="2"/>
    <x v="0"/>
    <x v="0"/>
    <x v="55"/>
    <n v="95269.41"/>
    <s v="charlie.garcia@example.com"/>
    <s v="4120092819"/>
    <x v="2"/>
    <x v="0"/>
  </r>
  <r>
    <s v="EMP1316"/>
    <s v="Frank"/>
    <s v="Williams"/>
    <x v="0"/>
    <x v="4"/>
    <x v="2"/>
    <x v="0"/>
    <x v="298"/>
    <n v="68792.31"/>
    <s v="frank.williams@example.com"/>
    <s v="6678498435"/>
    <x v="0"/>
    <x v="1"/>
  </r>
  <r>
    <s v="EMP1317"/>
    <s v="Alice"/>
    <s v="Smith"/>
    <x v="0"/>
    <x v="2"/>
    <x v="5"/>
    <x v="1"/>
    <x v="299"/>
    <n v="89119.53"/>
    <s v="alice.smith@example.com"/>
    <s v="2418623689"/>
    <x v="2"/>
    <x v="0"/>
  </r>
  <r>
    <s v="EMP1318"/>
    <s v="Frank"/>
    <s v="Davis"/>
    <x v="3"/>
    <x v="3"/>
    <x v="4"/>
    <x v="0"/>
    <x v="300"/>
    <n v="58212.13"/>
    <s v="frank.davis@example.com"/>
    <s v="3628917755"/>
    <x v="2"/>
    <x v="1"/>
  </r>
  <r>
    <s v="EMP1319"/>
    <s v="Heidi"/>
    <s v="Miller"/>
    <x v="1"/>
    <x v="0"/>
    <x v="5"/>
    <x v="1"/>
    <x v="301"/>
    <n v="77764.240000000005"/>
    <s v="heidi.miller@example.com"/>
    <s v="6205634110"/>
    <x v="2"/>
    <x v="0"/>
  </r>
  <r>
    <s v="EMP1320"/>
    <s v="Frank"/>
    <s v="Garcia"/>
    <x v="3"/>
    <x v="1"/>
    <x v="3"/>
    <x v="1"/>
    <x v="302"/>
    <n v="75148.17"/>
    <s v="frank.garcia@example.com"/>
    <s v="5950342810"/>
    <x v="0"/>
    <x v="1"/>
  </r>
  <r>
    <s v="EMP1321"/>
    <s v="Heidi"/>
    <s v="Jones"/>
    <x v="2"/>
    <x v="3"/>
    <x v="2"/>
    <x v="2"/>
    <x v="303"/>
    <n v="108781.18"/>
    <s v="heidi.jones@example.com"/>
    <s v="3904383033"/>
    <x v="3"/>
    <x v="1"/>
  </r>
  <r>
    <s v="EMP1322"/>
    <s v="Frank"/>
    <s v="Brown"/>
    <x v="3"/>
    <x v="1"/>
    <x v="1"/>
    <x v="1"/>
    <x v="186"/>
    <n v="65489.19"/>
    <s v="frank.brown@example.com"/>
    <s v="1990970050"/>
    <x v="0"/>
    <x v="0"/>
  </r>
  <r>
    <s v="EMP1323"/>
    <s v="Eva"/>
    <s v="Johnson"/>
    <x v="1"/>
    <x v="4"/>
    <x v="5"/>
    <x v="1"/>
    <x v="304"/>
    <n v="70663.460000000006"/>
    <s v="eva.johnson@example.com"/>
    <s v="4054683564"/>
    <x v="1"/>
    <x v="1"/>
  </r>
  <r>
    <s v="EMP1324"/>
    <s v="David"/>
    <s v="Miller"/>
    <x v="2"/>
    <x v="4"/>
    <x v="4"/>
    <x v="2"/>
    <x v="305"/>
    <n v="95822.56"/>
    <s v="david.miller@example.com"/>
    <s v="2156818208"/>
    <x v="0"/>
    <x v="1"/>
  </r>
  <r>
    <s v="EMP1325"/>
    <s v="Eva"/>
    <s v="Miller"/>
    <x v="2"/>
    <x v="0"/>
    <x v="2"/>
    <x v="1"/>
    <x v="306"/>
    <n v="82258.03"/>
    <s v="eva.miller@example.com"/>
    <s v="6790422710"/>
    <x v="0"/>
    <x v="0"/>
  </r>
  <r>
    <s v="EMP1326"/>
    <s v="Frank"/>
    <s v="Williams"/>
    <x v="1"/>
    <x v="2"/>
    <x v="2"/>
    <x v="1"/>
    <x v="307"/>
    <n v="62883.34"/>
    <s v="frank.williams@example.com"/>
    <s v="3322889856"/>
    <x v="0"/>
    <x v="1"/>
  </r>
  <r>
    <s v="EMP1327"/>
    <s v="Alice"/>
    <s v="Davis"/>
    <x v="1"/>
    <x v="3"/>
    <x v="1"/>
    <x v="1"/>
    <x v="308"/>
    <n v="103503.72"/>
    <s v="alice.davis@example.com"/>
    <s v="2545960632"/>
    <x v="0"/>
    <x v="0"/>
  </r>
  <r>
    <s v="EMP1328"/>
    <s v="David"/>
    <s v="Garcia"/>
    <x v="0"/>
    <x v="0"/>
    <x v="4"/>
    <x v="0"/>
    <x v="309"/>
    <n v="85401.3"/>
    <s v="david.garcia@example.com"/>
    <s v="9912971023"/>
    <x v="3"/>
    <x v="0"/>
  </r>
  <r>
    <s v="EMP1329"/>
    <s v="Heidi"/>
    <s v="Garcia"/>
    <x v="2"/>
    <x v="3"/>
    <x v="1"/>
    <x v="1"/>
    <x v="310"/>
    <m/>
    <s v="heidi.garcia@example.com"/>
    <s v="8171752420"/>
    <x v="1"/>
    <x v="1"/>
  </r>
  <r>
    <s v="EMP1330"/>
    <s v="Eva"/>
    <s v="Smith"/>
    <x v="1"/>
    <x v="5"/>
    <x v="1"/>
    <x v="1"/>
    <x v="311"/>
    <n v="98850.14"/>
    <s v="eva.smith@example.com"/>
    <s v="4955112746"/>
    <x v="3"/>
    <x v="1"/>
  </r>
  <r>
    <s v="EMP1331"/>
    <s v="Charlie"/>
    <s v="Smith"/>
    <x v="0"/>
    <x v="3"/>
    <x v="5"/>
    <x v="0"/>
    <x v="20"/>
    <n v="63435.24"/>
    <s v="charlie.smith@example.com"/>
    <s v="4721970545"/>
    <x v="3"/>
    <x v="1"/>
  </r>
  <r>
    <s v="EMP1332"/>
    <s v="Frank"/>
    <s v="Brown"/>
    <x v="3"/>
    <x v="1"/>
    <x v="1"/>
    <x v="2"/>
    <x v="312"/>
    <n v="82129.84"/>
    <s v="frank.brown@example.com"/>
    <s v="6927589550"/>
    <x v="0"/>
    <x v="1"/>
  </r>
  <r>
    <s v="EMP1333"/>
    <s v="David"/>
    <s v="Williams"/>
    <x v="3"/>
    <x v="0"/>
    <x v="1"/>
    <x v="1"/>
    <x v="313"/>
    <n v="95492.61"/>
    <s v="david.williams@example.com"/>
    <s v="6874090379"/>
    <x v="2"/>
    <x v="1"/>
  </r>
  <r>
    <s v="EMP1334"/>
    <s v="Grace"/>
    <s v="Miller"/>
    <x v="2"/>
    <x v="1"/>
    <x v="5"/>
    <x v="2"/>
    <x v="314"/>
    <n v="94572.37"/>
    <s v="grace.miller@example.com"/>
    <s v="2146296135"/>
    <x v="2"/>
    <x v="1"/>
  </r>
  <r>
    <s v="EMP1335"/>
    <s v="Bob"/>
    <s v="Garcia"/>
    <x v="2"/>
    <x v="1"/>
    <x v="2"/>
    <x v="2"/>
    <x v="315"/>
    <n v="118413.05"/>
    <s v="bob.garcia@example.com"/>
    <s v="7157787111"/>
    <x v="3"/>
    <x v="1"/>
  </r>
  <r>
    <s v="EMP1336"/>
    <s v="Alice"/>
    <s v="Jones"/>
    <x v="1"/>
    <x v="2"/>
    <x v="2"/>
    <x v="1"/>
    <x v="316"/>
    <n v="68976.649999999994"/>
    <s v="alice.jones@example.com"/>
    <s v="1663651558"/>
    <x v="3"/>
    <x v="0"/>
  </r>
  <r>
    <s v="EMP1337"/>
    <s v="Eva"/>
    <s v="Williams"/>
    <x v="1"/>
    <x v="4"/>
    <x v="2"/>
    <x v="0"/>
    <x v="317"/>
    <n v="115013.65"/>
    <s v="eva.williams@example.com"/>
    <s v="7371470826"/>
    <x v="0"/>
    <x v="1"/>
  </r>
  <r>
    <s v="EMP1338"/>
    <s v="David"/>
    <s v="Brown"/>
    <x v="1"/>
    <x v="2"/>
    <x v="2"/>
    <x v="2"/>
    <x v="318"/>
    <n v="70949.38"/>
    <s v="david.brown@example.com"/>
    <s v="2359096055"/>
    <x v="3"/>
    <x v="0"/>
  </r>
  <r>
    <s v="EMP1339"/>
    <s v="Grace"/>
    <s v="Brown"/>
    <x v="1"/>
    <x v="5"/>
    <x v="3"/>
    <x v="1"/>
    <x v="146"/>
    <n v="105334.87"/>
    <s v="grace.brown@example.com"/>
    <s v="7303064420"/>
    <x v="0"/>
    <x v="1"/>
  </r>
  <r>
    <s v="EMP1340"/>
    <s v="Bob"/>
    <s v="Williams"/>
    <x v="1"/>
    <x v="0"/>
    <x v="0"/>
    <x v="0"/>
    <x v="319"/>
    <n v="80596.179999999993"/>
    <s v="bob.williams@example.com"/>
    <s v="2146147682"/>
    <x v="2"/>
    <x v="1"/>
  </r>
  <r>
    <s v="EMP1341"/>
    <s v="Frank"/>
    <s v="Brown"/>
    <x v="1"/>
    <x v="4"/>
    <x v="5"/>
    <x v="2"/>
    <x v="320"/>
    <n v="72846.37"/>
    <s v="frank.brown@example.com"/>
    <s v="4201654234"/>
    <x v="2"/>
    <x v="0"/>
  </r>
  <r>
    <s v="EMP1342"/>
    <s v="Heidi"/>
    <s v="Williams"/>
    <x v="2"/>
    <x v="2"/>
    <x v="0"/>
    <x v="1"/>
    <x v="321"/>
    <n v="80229.36"/>
    <s v="heidi.williams@example.com"/>
    <s v="6778265959"/>
    <x v="1"/>
    <x v="1"/>
  </r>
  <r>
    <s v="EMP1343"/>
    <s v="Grace"/>
    <s v="Johnson"/>
    <x v="0"/>
    <x v="4"/>
    <x v="0"/>
    <x v="0"/>
    <x v="322"/>
    <n v="55145.47"/>
    <s v="grace.johnson@example.com"/>
    <s v="8931992549"/>
    <x v="2"/>
    <x v="1"/>
  </r>
  <r>
    <s v="EMP1344"/>
    <s v="Grace"/>
    <s v="Williams"/>
    <x v="1"/>
    <x v="0"/>
    <x v="3"/>
    <x v="2"/>
    <x v="323"/>
    <m/>
    <s v="grace.williams@example.com"/>
    <s v="2727516479"/>
    <x v="3"/>
    <x v="0"/>
  </r>
  <r>
    <s v="EMP1345"/>
    <s v="Eva"/>
    <s v="Davis"/>
    <x v="2"/>
    <x v="5"/>
    <x v="0"/>
    <x v="0"/>
    <x v="324"/>
    <n v="56110.81"/>
    <s v="eva.davis@example.com"/>
    <s v="7279103367"/>
    <x v="2"/>
    <x v="1"/>
  </r>
  <r>
    <s v="EMP1346"/>
    <s v="Grace"/>
    <s v="Williams"/>
    <x v="0"/>
    <x v="3"/>
    <x v="1"/>
    <x v="2"/>
    <x v="325"/>
    <n v="56514.5"/>
    <s v="grace.williams@example.com"/>
    <s v="2963533904"/>
    <x v="0"/>
    <x v="1"/>
  </r>
  <r>
    <s v="EMP1347"/>
    <s v="Frank"/>
    <s v="Brown"/>
    <x v="2"/>
    <x v="3"/>
    <x v="0"/>
    <x v="2"/>
    <x v="326"/>
    <n v="104541.84"/>
    <s v="frank.brown@example.com"/>
    <s v="5044817765"/>
    <x v="2"/>
    <x v="1"/>
  </r>
  <r>
    <s v="EMP1348"/>
    <s v="David"/>
    <s v="Garcia"/>
    <x v="1"/>
    <x v="4"/>
    <x v="4"/>
    <x v="1"/>
    <x v="327"/>
    <n v="61865.120000000003"/>
    <s v="david.garcia@example.com"/>
    <s v="5586851275"/>
    <x v="1"/>
    <x v="0"/>
  </r>
  <r>
    <s v="EMP1349"/>
    <s v="Eva"/>
    <s v="Davis"/>
    <x v="2"/>
    <x v="2"/>
    <x v="1"/>
    <x v="0"/>
    <x v="328"/>
    <n v="69317.33"/>
    <s v="eva.davis@example.com"/>
    <s v="5289286645"/>
    <x v="2"/>
    <x v="1"/>
  </r>
  <r>
    <s v="EMP1350"/>
    <s v="Bob"/>
    <s v="Brown"/>
    <x v="3"/>
    <x v="5"/>
    <x v="4"/>
    <x v="1"/>
    <x v="329"/>
    <n v="84706.17"/>
    <s v="bob.brown@example.com"/>
    <s v="4911110960"/>
    <x v="0"/>
    <x v="1"/>
  </r>
  <r>
    <s v="EMP1351"/>
    <s v="Heidi"/>
    <s v="Smith"/>
    <x v="0"/>
    <x v="2"/>
    <x v="0"/>
    <x v="0"/>
    <x v="330"/>
    <n v="73255.210000000006"/>
    <s v="heidi.smith@example.com"/>
    <s v="7981789045"/>
    <x v="0"/>
    <x v="1"/>
  </r>
  <r>
    <s v="EMP1352"/>
    <s v="Frank"/>
    <s v="Smith"/>
    <x v="2"/>
    <x v="5"/>
    <x v="3"/>
    <x v="1"/>
    <x v="36"/>
    <n v="59528.71"/>
    <s v="frank.smith@example.com"/>
    <s v="3378613714"/>
    <x v="3"/>
    <x v="1"/>
  </r>
  <r>
    <s v="EMP1353"/>
    <s v="David"/>
    <s v="Garcia"/>
    <x v="2"/>
    <x v="5"/>
    <x v="4"/>
    <x v="2"/>
    <x v="331"/>
    <n v="70401.37"/>
    <s v="david.garcia@example.com"/>
    <s v="7660538443"/>
    <x v="2"/>
    <x v="0"/>
  </r>
  <r>
    <s v="EMP1354"/>
    <s v="Heidi"/>
    <s v="Garcia"/>
    <x v="1"/>
    <x v="2"/>
    <x v="0"/>
    <x v="2"/>
    <x v="332"/>
    <n v="107154.62"/>
    <s v="heidi.garcia@example.com"/>
    <s v="4630600024"/>
    <x v="0"/>
    <x v="0"/>
  </r>
  <r>
    <s v="EMP1355"/>
    <s v="Bob"/>
    <s v="Davis"/>
    <x v="1"/>
    <x v="2"/>
    <x v="5"/>
    <x v="1"/>
    <x v="333"/>
    <n v="97719.88"/>
    <s v="bob.davis@example.com"/>
    <s v="8955296385"/>
    <x v="1"/>
    <x v="1"/>
  </r>
  <r>
    <s v="EMP1356"/>
    <s v="Heidi"/>
    <s v="Johnson"/>
    <x v="1"/>
    <x v="1"/>
    <x v="0"/>
    <x v="1"/>
    <x v="84"/>
    <n v="107327.59"/>
    <s v="heidi.johnson@example.com"/>
    <s v="3960962625"/>
    <x v="3"/>
    <x v="1"/>
  </r>
  <r>
    <s v="EMP1357"/>
    <s v="Grace"/>
    <s v="Garcia"/>
    <x v="2"/>
    <x v="2"/>
    <x v="2"/>
    <x v="2"/>
    <x v="334"/>
    <n v="67687.72"/>
    <s v="grace.garcia@example.com"/>
    <s v="5826312818"/>
    <x v="1"/>
    <x v="0"/>
  </r>
  <r>
    <s v="EMP1358"/>
    <s v="Grace"/>
    <s v="Smith"/>
    <x v="2"/>
    <x v="3"/>
    <x v="3"/>
    <x v="1"/>
    <x v="335"/>
    <n v="90757.08"/>
    <s v="grace.smith@example.com"/>
    <s v="6482531105"/>
    <x v="2"/>
    <x v="0"/>
  </r>
  <r>
    <s v="EMP1359"/>
    <s v="Grace"/>
    <s v="Williams"/>
    <x v="1"/>
    <x v="3"/>
    <x v="0"/>
    <x v="1"/>
    <x v="336"/>
    <n v="87583.42"/>
    <s v="grace.williams@example.com"/>
    <s v="920981959"/>
    <x v="2"/>
    <x v="1"/>
  </r>
  <r>
    <s v="EMP1360"/>
    <s v="Bob"/>
    <s v="Brown"/>
    <x v="0"/>
    <x v="2"/>
    <x v="2"/>
    <x v="1"/>
    <x v="337"/>
    <n v="61643.69"/>
    <s v="bob.brown@example.com"/>
    <s v="2752334382"/>
    <x v="2"/>
    <x v="0"/>
  </r>
  <r>
    <s v="EMP1361"/>
    <s v="Grace"/>
    <s v="Smith"/>
    <x v="3"/>
    <x v="1"/>
    <x v="1"/>
    <x v="0"/>
    <x v="338"/>
    <n v="68111.69"/>
    <s v="grace.smith@example.com"/>
    <s v="6404120910"/>
    <x v="3"/>
    <x v="1"/>
  </r>
  <r>
    <s v="EMP1362"/>
    <s v="David"/>
    <s v="Smith"/>
    <x v="2"/>
    <x v="5"/>
    <x v="3"/>
    <x v="2"/>
    <x v="339"/>
    <n v="97568.88"/>
    <s v="david.smith@example.com"/>
    <s v="7911244210"/>
    <x v="0"/>
    <x v="0"/>
  </r>
  <r>
    <s v="EMP1363"/>
    <s v="Charlie"/>
    <s v="Johnson"/>
    <x v="3"/>
    <x v="3"/>
    <x v="3"/>
    <x v="0"/>
    <x v="340"/>
    <n v="79118.28"/>
    <s v="charlie.johnson@example.com"/>
    <s v="7536170616"/>
    <x v="3"/>
    <x v="0"/>
  </r>
  <r>
    <s v="EMP1364"/>
    <s v="Bob"/>
    <s v="Davis"/>
    <x v="1"/>
    <x v="5"/>
    <x v="0"/>
    <x v="2"/>
    <x v="124"/>
    <n v="104898.9"/>
    <s v="bob.davis@example.com"/>
    <s v="1366572239"/>
    <x v="1"/>
    <x v="0"/>
  </r>
  <r>
    <s v="EMP1365"/>
    <s v="Frank"/>
    <s v="Davis"/>
    <x v="2"/>
    <x v="3"/>
    <x v="3"/>
    <x v="1"/>
    <x v="341"/>
    <n v="81671.3"/>
    <s v="frank.davis@example.com"/>
    <s v="2990155798"/>
    <x v="3"/>
    <x v="0"/>
  </r>
  <r>
    <s v="EMP1366"/>
    <s v="Alice"/>
    <s v="Miller"/>
    <x v="0"/>
    <x v="3"/>
    <x v="0"/>
    <x v="1"/>
    <x v="342"/>
    <n v="97399.75"/>
    <s v="alice.miller@example.com"/>
    <s v="8028413907"/>
    <x v="1"/>
    <x v="1"/>
  </r>
  <r>
    <s v="EMP1367"/>
    <s v="David"/>
    <s v="Johnson"/>
    <x v="1"/>
    <x v="2"/>
    <x v="5"/>
    <x v="0"/>
    <x v="343"/>
    <n v="89189.43"/>
    <s v="david.johnson@example.com"/>
    <s v="882351304"/>
    <x v="3"/>
    <x v="0"/>
  </r>
  <r>
    <s v="EMP1368"/>
    <s v="David"/>
    <s v="Williams"/>
    <x v="2"/>
    <x v="0"/>
    <x v="4"/>
    <x v="0"/>
    <x v="344"/>
    <n v="96011.55"/>
    <s v="david.williams@example.com"/>
    <s v="2312447314"/>
    <x v="0"/>
    <x v="0"/>
  </r>
  <r>
    <s v="EMP1369"/>
    <s v="David"/>
    <s v="Davis"/>
    <x v="2"/>
    <x v="4"/>
    <x v="3"/>
    <x v="2"/>
    <x v="345"/>
    <n v="99331.49"/>
    <s v="david.davis@example.com"/>
    <s v="8477686341"/>
    <x v="1"/>
    <x v="1"/>
  </r>
  <r>
    <s v="EMP1370"/>
    <s v="Bob"/>
    <s v="Brown"/>
    <x v="1"/>
    <x v="3"/>
    <x v="5"/>
    <x v="0"/>
    <x v="247"/>
    <n v="72818.94"/>
    <s v="bob.brown@example.com"/>
    <s v="3461994236"/>
    <x v="2"/>
    <x v="0"/>
  </r>
  <r>
    <s v="EMP1371"/>
    <s v="Eva"/>
    <s v="Garcia"/>
    <x v="2"/>
    <x v="4"/>
    <x v="2"/>
    <x v="2"/>
    <x v="346"/>
    <n v="77204.75"/>
    <s v="eva.garcia@example.com"/>
    <s v="6769459195"/>
    <x v="2"/>
    <x v="0"/>
  </r>
  <r>
    <s v="EMP1372"/>
    <s v="Bob"/>
    <s v="Johnson"/>
    <x v="3"/>
    <x v="5"/>
    <x v="3"/>
    <x v="1"/>
    <x v="347"/>
    <n v="106961.68"/>
    <s v="bob.johnson@example.com"/>
    <s v="6395517207"/>
    <x v="3"/>
    <x v="1"/>
  </r>
  <r>
    <s v="EMP1373"/>
    <s v="Eva"/>
    <s v="Garcia"/>
    <x v="1"/>
    <x v="4"/>
    <x v="1"/>
    <x v="1"/>
    <x v="348"/>
    <n v="71923"/>
    <s v="eva.garcia@example.com"/>
    <s v="4964985600"/>
    <x v="2"/>
    <x v="0"/>
  </r>
  <r>
    <s v="EMP1374"/>
    <s v="Bob"/>
    <s v="Smith"/>
    <x v="1"/>
    <x v="5"/>
    <x v="2"/>
    <x v="0"/>
    <x v="349"/>
    <n v="77192.429999999993"/>
    <s v="bob.smith@example.com"/>
    <s v="2562531354"/>
    <x v="1"/>
    <x v="1"/>
  </r>
  <r>
    <s v="EMP1375"/>
    <s v="Grace"/>
    <s v="Brown"/>
    <x v="2"/>
    <x v="2"/>
    <x v="3"/>
    <x v="1"/>
    <x v="350"/>
    <n v="98540.3"/>
    <s v="grace.brown@example.com"/>
    <s v="2510505378"/>
    <x v="2"/>
    <x v="1"/>
  </r>
  <r>
    <s v="EMP1376"/>
    <s v="Charlie"/>
    <s v="Brown"/>
    <x v="1"/>
    <x v="2"/>
    <x v="3"/>
    <x v="2"/>
    <x v="351"/>
    <n v="63096.9"/>
    <s v="charlie.brown@example.com"/>
    <s v="5381649382"/>
    <x v="0"/>
    <x v="1"/>
  </r>
  <r>
    <s v="EMP1377"/>
    <s v="Alice"/>
    <s v="Smith"/>
    <x v="3"/>
    <x v="3"/>
    <x v="3"/>
    <x v="0"/>
    <x v="352"/>
    <n v="107065.12"/>
    <s v="alice.smith@example.com"/>
    <s v="1849196654"/>
    <x v="0"/>
    <x v="1"/>
  </r>
  <r>
    <s v="EMP1378"/>
    <s v="Heidi"/>
    <s v="Johnson"/>
    <x v="2"/>
    <x v="0"/>
    <x v="3"/>
    <x v="2"/>
    <x v="353"/>
    <n v="108792.43"/>
    <s v="heidi.johnson@example.com"/>
    <s v="3307704610"/>
    <x v="3"/>
    <x v="0"/>
  </r>
  <r>
    <s v="EMP1379"/>
    <s v="Bob"/>
    <s v="Smith"/>
    <x v="1"/>
    <x v="3"/>
    <x v="4"/>
    <x v="2"/>
    <x v="354"/>
    <n v="69239.7"/>
    <s v="bob.smith@example.com"/>
    <s v="7295963903"/>
    <x v="1"/>
    <x v="1"/>
  </r>
  <r>
    <s v="EMP1380"/>
    <s v="Charlie"/>
    <s v="Garcia"/>
    <x v="2"/>
    <x v="4"/>
    <x v="2"/>
    <x v="2"/>
    <x v="355"/>
    <n v="85756.42"/>
    <s v="charlie.garcia@example.com"/>
    <s v="907426087"/>
    <x v="0"/>
    <x v="0"/>
  </r>
  <r>
    <s v="EMP1381"/>
    <s v="Eva"/>
    <s v="Miller"/>
    <x v="1"/>
    <x v="5"/>
    <x v="5"/>
    <x v="0"/>
    <x v="182"/>
    <n v="100328.62"/>
    <s v="eva.miller@example.com"/>
    <s v="501716444"/>
    <x v="0"/>
    <x v="0"/>
  </r>
  <r>
    <s v="EMP1382"/>
    <s v="Grace"/>
    <s v="Brown"/>
    <x v="0"/>
    <x v="0"/>
    <x v="2"/>
    <x v="0"/>
    <x v="241"/>
    <n v="111236.69"/>
    <s v="grace.brown@example.com"/>
    <s v="5618579063"/>
    <x v="1"/>
    <x v="0"/>
  </r>
  <r>
    <s v="EMP1383"/>
    <s v="Eva"/>
    <s v="Jones"/>
    <x v="3"/>
    <x v="3"/>
    <x v="3"/>
    <x v="0"/>
    <x v="101"/>
    <n v="106832.22"/>
    <s v="eva.jones@example.com"/>
    <s v="7715910299"/>
    <x v="2"/>
    <x v="0"/>
  </r>
  <r>
    <s v="EMP1384"/>
    <s v="Frank"/>
    <s v="Jones"/>
    <x v="1"/>
    <x v="0"/>
    <x v="3"/>
    <x v="0"/>
    <x v="356"/>
    <n v="59746.45"/>
    <s v="frank.jones@example.com"/>
    <s v="2156321357"/>
    <x v="2"/>
    <x v="0"/>
  </r>
  <r>
    <s v="EMP1385"/>
    <s v="David"/>
    <s v="Garcia"/>
    <x v="0"/>
    <x v="4"/>
    <x v="0"/>
    <x v="1"/>
    <x v="357"/>
    <n v="91780.04"/>
    <s v="david.garcia@example.com"/>
    <s v="40104144"/>
    <x v="3"/>
    <x v="0"/>
  </r>
  <r>
    <s v="EMP1386"/>
    <s v="Eva"/>
    <s v="Williams"/>
    <x v="3"/>
    <x v="4"/>
    <x v="0"/>
    <x v="1"/>
    <x v="358"/>
    <n v="107062.66"/>
    <s v="eva.williams@example.com"/>
    <s v="9642297124"/>
    <x v="2"/>
    <x v="0"/>
  </r>
  <r>
    <s v="EMP1387"/>
    <s v="Grace"/>
    <s v="Davis"/>
    <x v="0"/>
    <x v="5"/>
    <x v="2"/>
    <x v="0"/>
    <x v="2"/>
    <n v="110625.52"/>
    <s v="grace.davis@example.com"/>
    <s v="2967188396"/>
    <x v="1"/>
    <x v="0"/>
  </r>
  <r>
    <s v="EMP1388"/>
    <s v="Frank"/>
    <s v="Smith"/>
    <x v="1"/>
    <x v="0"/>
    <x v="3"/>
    <x v="2"/>
    <x v="359"/>
    <n v="90419.79"/>
    <s v="frank.smith@example.com"/>
    <s v="7457314414"/>
    <x v="0"/>
    <x v="0"/>
  </r>
  <r>
    <s v="EMP1389"/>
    <s v="Grace"/>
    <s v="Smith"/>
    <x v="2"/>
    <x v="1"/>
    <x v="1"/>
    <x v="1"/>
    <x v="360"/>
    <n v="111608.76"/>
    <s v="grace.smith@example.com"/>
    <s v="8331170302"/>
    <x v="2"/>
    <x v="0"/>
  </r>
  <r>
    <s v="EMP1390"/>
    <s v="Eva"/>
    <s v="Williams"/>
    <x v="3"/>
    <x v="1"/>
    <x v="3"/>
    <x v="2"/>
    <x v="361"/>
    <n v="50173.120000000003"/>
    <s v="eva.williams@example.com"/>
    <s v="7637153987"/>
    <x v="3"/>
    <x v="1"/>
  </r>
  <r>
    <s v="EMP1391"/>
    <s v="Bob"/>
    <s v="Williams"/>
    <x v="2"/>
    <x v="0"/>
    <x v="2"/>
    <x v="1"/>
    <x v="362"/>
    <n v="109507.44"/>
    <s v="bob.williams@example.com"/>
    <s v="5472812355"/>
    <x v="2"/>
    <x v="1"/>
  </r>
  <r>
    <s v="EMP1392"/>
    <s v="Grace"/>
    <s v="Garcia"/>
    <x v="1"/>
    <x v="1"/>
    <x v="4"/>
    <x v="2"/>
    <x v="87"/>
    <n v="72600.56"/>
    <s v="grace.garcia@example.com"/>
    <s v="7983631461"/>
    <x v="1"/>
    <x v="1"/>
  </r>
  <r>
    <s v="EMP1393"/>
    <s v="Charlie"/>
    <s v="Garcia"/>
    <x v="1"/>
    <x v="1"/>
    <x v="0"/>
    <x v="1"/>
    <x v="169"/>
    <n v="53388.65"/>
    <s v="charlie.garcia@example.com"/>
    <s v="4912711306"/>
    <x v="3"/>
    <x v="0"/>
  </r>
  <r>
    <s v="EMP1394"/>
    <s v="Heidi"/>
    <s v="Williams"/>
    <x v="0"/>
    <x v="3"/>
    <x v="4"/>
    <x v="2"/>
    <x v="363"/>
    <n v="50047.32"/>
    <s v="heidi.williams@example.com"/>
    <s v="2407875417"/>
    <x v="2"/>
    <x v="1"/>
  </r>
  <r>
    <s v="EMP1395"/>
    <s v="David"/>
    <s v="Brown"/>
    <x v="1"/>
    <x v="0"/>
    <x v="0"/>
    <x v="0"/>
    <x v="364"/>
    <n v="115290.79"/>
    <s v="david.brown@example.com"/>
    <s v="1563268684"/>
    <x v="3"/>
    <x v="1"/>
  </r>
  <r>
    <s v="EMP1396"/>
    <s v="Frank"/>
    <s v="Garcia"/>
    <x v="3"/>
    <x v="3"/>
    <x v="0"/>
    <x v="1"/>
    <x v="302"/>
    <n v="61586.76"/>
    <s v="frank.garcia@example.com"/>
    <s v="745106633"/>
    <x v="1"/>
    <x v="1"/>
  </r>
  <r>
    <s v="EMP1397"/>
    <s v="Eva"/>
    <s v="Miller"/>
    <x v="1"/>
    <x v="1"/>
    <x v="2"/>
    <x v="0"/>
    <x v="365"/>
    <n v="56662.86"/>
    <s v="eva.miller@example.com"/>
    <s v="3629489785"/>
    <x v="0"/>
    <x v="0"/>
  </r>
  <r>
    <s v="EMP1398"/>
    <s v="Bob"/>
    <s v="Garcia"/>
    <x v="1"/>
    <x v="4"/>
    <x v="4"/>
    <x v="1"/>
    <x v="366"/>
    <m/>
    <s v="bob.garcia@example.com"/>
    <s v="1031310093"/>
    <x v="1"/>
    <x v="0"/>
  </r>
  <r>
    <s v="EMP1399"/>
    <s v="Frank"/>
    <s v="Smith"/>
    <x v="0"/>
    <x v="1"/>
    <x v="2"/>
    <x v="0"/>
    <x v="367"/>
    <n v="54957.98"/>
    <s v="frank.smith@example.com"/>
    <s v="3181439665"/>
    <x v="1"/>
    <x v="0"/>
  </r>
  <r>
    <s v="EMP1400"/>
    <s v="Bob"/>
    <s v="Garcia"/>
    <x v="0"/>
    <x v="5"/>
    <x v="0"/>
    <x v="2"/>
    <x v="251"/>
    <n v="76790.47"/>
    <s v="bob.garcia@example.com"/>
    <s v="1347323548"/>
    <x v="1"/>
    <x v="0"/>
  </r>
  <r>
    <s v="EMP1401"/>
    <s v="Charlie"/>
    <s v="Brown"/>
    <x v="1"/>
    <x v="3"/>
    <x v="5"/>
    <x v="1"/>
    <x v="368"/>
    <n v="92722.35"/>
    <s v="charlie.brown@example.com"/>
    <s v="4012897431"/>
    <x v="1"/>
    <x v="1"/>
  </r>
  <r>
    <s v="EMP1402"/>
    <s v="Frank"/>
    <s v="Williams"/>
    <x v="1"/>
    <x v="0"/>
    <x v="2"/>
    <x v="0"/>
    <x v="369"/>
    <n v="93125.32"/>
    <s v="frank.williams@example.com"/>
    <s v="5122572075"/>
    <x v="0"/>
    <x v="1"/>
  </r>
  <r>
    <s v="EMP1403"/>
    <s v="David"/>
    <s v="Smith"/>
    <x v="0"/>
    <x v="3"/>
    <x v="4"/>
    <x v="0"/>
    <x v="370"/>
    <n v="101100.64"/>
    <s v="david.smith@example.com"/>
    <s v="5024120956"/>
    <x v="0"/>
    <x v="1"/>
  </r>
  <r>
    <s v="EMP1404"/>
    <s v="Grace"/>
    <s v="Garcia"/>
    <x v="3"/>
    <x v="2"/>
    <x v="4"/>
    <x v="2"/>
    <x v="371"/>
    <n v="55897.41"/>
    <s v="grace.garcia@example.com"/>
    <s v="9073710093"/>
    <x v="3"/>
    <x v="1"/>
  </r>
  <r>
    <s v="EMP1405"/>
    <s v="Eva"/>
    <s v="Brown"/>
    <x v="0"/>
    <x v="0"/>
    <x v="0"/>
    <x v="0"/>
    <x v="64"/>
    <n v="92484.88"/>
    <s v="eva.brown@example.com"/>
    <s v="3882211456"/>
    <x v="2"/>
    <x v="0"/>
  </r>
  <r>
    <s v="EMP1406"/>
    <s v="Grace"/>
    <s v="Miller"/>
    <x v="3"/>
    <x v="0"/>
    <x v="1"/>
    <x v="0"/>
    <x v="372"/>
    <n v="77011.990000000005"/>
    <s v="grace.miller@example.com"/>
    <s v="7584745704"/>
    <x v="0"/>
    <x v="0"/>
  </r>
  <r>
    <s v="EMP1407"/>
    <s v="Bob"/>
    <s v="Garcia"/>
    <x v="1"/>
    <x v="3"/>
    <x v="0"/>
    <x v="2"/>
    <x v="282"/>
    <n v="77078.679999999993"/>
    <s v="bob.garcia@example.com"/>
    <s v="4589714801"/>
    <x v="0"/>
    <x v="0"/>
  </r>
  <r>
    <s v="EMP1408"/>
    <s v="Grace"/>
    <s v="Brown"/>
    <x v="3"/>
    <x v="4"/>
    <x v="2"/>
    <x v="0"/>
    <x v="373"/>
    <n v="82971.02"/>
    <s v="grace.brown@example.com"/>
    <s v="6325703964"/>
    <x v="2"/>
    <x v="1"/>
  </r>
  <r>
    <s v="EMP1409"/>
    <s v="Bob"/>
    <s v="Miller"/>
    <x v="0"/>
    <x v="4"/>
    <x v="1"/>
    <x v="0"/>
    <x v="44"/>
    <n v="65102.01"/>
    <s v="bob.miller@example.com"/>
    <s v="3136148781"/>
    <x v="0"/>
    <x v="0"/>
  </r>
  <r>
    <s v="EMP1410"/>
    <s v="Grace"/>
    <s v="Williams"/>
    <x v="1"/>
    <x v="5"/>
    <x v="2"/>
    <x v="1"/>
    <x v="374"/>
    <n v="103697.7"/>
    <s v="grace.williams@example.com"/>
    <s v="4556964429"/>
    <x v="1"/>
    <x v="0"/>
  </r>
  <r>
    <s v="EMP1411"/>
    <s v="Grace"/>
    <s v="Garcia"/>
    <x v="0"/>
    <x v="0"/>
    <x v="5"/>
    <x v="1"/>
    <x v="356"/>
    <n v="60687.63"/>
    <s v="grace.garcia@example.com"/>
    <s v="9859167953"/>
    <x v="1"/>
    <x v="1"/>
  </r>
  <r>
    <s v="EMP1412"/>
    <s v="Bob"/>
    <s v="Miller"/>
    <x v="1"/>
    <x v="2"/>
    <x v="4"/>
    <x v="1"/>
    <x v="375"/>
    <n v="77351.210000000006"/>
    <s v="bob.miller@example.com"/>
    <s v="1072728497"/>
    <x v="2"/>
    <x v="1"/>
  </r>
  <r>
    <s v="EMP1413"/>
    <s v="Bob"/>
    <s v="Smith"/>
    <x v="3"/>
    <x v="0"/>
    <x v="3"/>
    <x v="1"/>
    <x v="376"/>
    <n v="66704.62"/>
    <s v="bob.smith@example.com"/>
    <s v="2474140702"/>
    <x v="3"/>
    <x v="0"/>
  </r>
  <r>
    <s v="EMP1414"/>
    <s v="Grace"/>
    <s v="Williams"/>
    <x v="0"/>
    <x v="1"/>
    <x v="5"/>
    <x v="1"/>
    <x v="377"/>
    <n v="71650.3"/>
    <s v="grace.williams@example.com"/>
    <s v="4910740649"/>
    <x v="3"/>
    <x v="0"/>
  </r>
  <r>
    <s v="EMP1415"/>
    <s v="Charlie"/>
    <s v="Smith"/>
    <x v="0"/>
    <x v="3"/>
    <x v="2"/>
    <x v="0"/>
    <x v="2"/>
    <n v="50794.54"/>
    <s v="charlie.smith@example.com"/>
    <s v="425488213"/>
    <x v="2"/>
    <x v="0"/>
  </r>
  <r>
    <s v="EMP1416"/>
    <s v="Frank"/>
    <s v="Jones"/>
    <x v="1"/>
    <x v="4"/>
    <x v="2"/>
    <x v="2"/>
    <x v="378"/>
    <n v="76030.86"/>
    <s v="frank.jones@example.com"/>
    <s v="2369143074"/>
    <x v="2"/>
    <x v="0"/>
  </r>
  <r>
    <s v="EMP1417"/>
    <s v="Eva"/>
    <s v="Johnson"/>
    <x v="0"/>
    <x v="3"/>
    <x v="0"/>
    <x v="2"/>
    <x v="172"/>
    <n v="86669.79"/>
    <s v="eva.johnson@example.com"/>
    <s v="3666144941"/>
    <x v="1"/>
    <x v="0"/>
  </r>
  <r>
    <s v="EMP1418"/>
    <s v="Bob"/>
    <s v="Garcia"/>
    <x v="2"/>
    <x v="1"/>
    <x v="5"/>
    <x v="2"/>
    <x v="379"/>
    <n v="84972.7"/>
    <s v="bob.garcia@example.com"/>
    <s v="9659234267"/>
    <x v="3"/>
    <x v="0"/>
  </r>
  <r>
    <s v="EMP1419"/>
    <s v="Frank"/>
    <s v="Miller"/>
    <x v="1"/>
    <x v="5"/>
    <x v="1"/>
    <x v="1"/>
    <x v="380"/>
    <n v="100594.49"/>
    <s v="frank.miller@example.com"/>
    <s v="3441497825"/>
    <x v="0"/>
    <x v="1"/>
  </r>
  <r>
    <s v="EMP1420"/>
    <s v="Alice"/>
    <s v="Johnson"/>
    <x v="0"/>
    <x v="3"/>
    <x v="4"/>
    <x v="0"/>
    <x v="381"/>
    <n v="75478.350000000006"/>
    <s v="alice.johnson@example.com"/>
    <s v="6128758574"/>
    <x v="1"/>
    <x v="1"/>
  </r>
  <r>
    <s v="EMP1421"/>
    <s v="Charlie"/>
    <s v="Johnson"/>
    <x v="0"/>
    <x v="4"/>
    <x v="2"/>
    <x v="1"/>
    <x v="11"/>
    <n v="79355.850000000006"/>
    <s v="charlie.johnson@example.com"/>
    <s v="6766708060"/>
    <x v="2"/>
    <x v="1"/>
  </r>
  <r>
    <s v="EMP1422"/>
    <s v="Grace"/>
    <s v="Miller"/>
    <x v="3"/>
    <x v="5"/>
    <x v="1"/>
    <x v="1"/>
    <x v="382"/>
    <n v="58358.07"/>
    <s v="grace.miller@example.com"/>
    <s v="2943985297"/>
    <x v="3"/>
    <x v="0"/>
  </r>
  <r>
    <s v="EMP1423"/>
    <s v="Alice"/>
    <s v="Williams"/>
    <x v="1"/>
    <x v="2"/>
    <x v="5"/>
    <x v="0"/>
    <x v="383"/>
    <n v="54824.85"/>
    <s v="alice.williams@example.com"/>
    <s v="9406260786"/>
    <x v="0"/>
    <x v="1"/>
  </r>
  <r>
    <s v="EMP1424"/>
    <s v="Eva"/>
    <s v="Garcia"/>
    <x v="3"/>
    <x v="5"/>
    <x v="1"/>
    <x v="1"/>
    <x v="127"/>
    <n v="50557.84"/>
    <s v="eva.garcia@example.com"/>
    <s v="104159148"/>
    <x v="0"/>
    <x v="0"/>
  </r>
  <r>
    <s v="EMP1425"/>
    <s v="Eva"/>
    <s v="Jones"/>
    <x v="1"/>
    <x v="2"/>
    <x v="3"/>
    <x v="2"/>
    <x v="384"/>
    <n v="118030.04"/>
    <s v="eva.jones@example.com"/>
    <s v="7501980381"/>
    <x v="1"/>
    <x v="0"/>
  </r>
  <r>
    <s v="EMP1426"/>
    <s v="David"/>
    <s v="Smith"/>
    <x v="1"/>
    <x v="2"/>
    <x v="4"/>
    <x v="0"/>
    <x v="385"/>
    <n v="51673.72"/>
    <s v="david.smith@example.com"/>
    <s v="8723244078"/>
    <x v="3"/>
    <x v="1"/>
  </r>
  <r>
    <s v="EMP1427"/>
    <s v="Alice"/>
    <s v="Brown"/>
    <x v="3"/>
    <x v="3"/>
    <x v="2"/>
    <x v="2"/>
    <x v="386"/>
    <n v="101665.79"/>
    <s v="alice.brown@example.com"/>
    <s v="3110291812"/>
    <x v="3"/>
    <x v="0"/>
  </r>
  <r>
    <s v="EMP1428"/>
    <s v="David"/>
    <s v="Smith"/>
    <x v="1"/>
    <x v="2"/>
    <x v="3"/>
    <x v="2"/>
    <x v="387"/>
    <n v="118079.15"/>
    <s v="david.smith@example.com"/>
    <s v="3170876013"/>
    <x v="2"/>
    <x v="0"/>
  </r>
  <r>
    <s v="EMP1429"/>
    <s v="Eva"/>
    <s v="Brown"/>
    <x v="0"/>
    <x v="3"/>
    <x v="4"/>
    <x v="1"/>
    <x v="257"/>
    <n v="99059.28"/>
    <s v="eva.brown@example.com"/>
    <s v="6723849790"/>
    <x v="3"/>
    <x v="1"/>
  </r>
  <r>
    <s v="EMP1430"/>
    <s v="Bob"/>
    <s v="Smith"/>
    <x v="1"/>
    <x v="3"/>
    <x v="5"/>
    <x v="0"/>
    <x v="388"/>
    <n v="107397.4"/>
    <s v="bob.smith@example.com"/>
    <s v="6202232882"/>
    <x v="3"/>
    <x v="1"/>
  </r>
  <r>
    <s v="EMP1431"/>
    <s v="Alice"/>
    <s v="Miller"/>
    <x v="2"/>
    <x v="0"/>
    <x v="4"/>
    <x v="0"/>
    <x v="389"/>
    <n v="68269.37"/>
    <s v="alice.miller@example.com"/>
    <s v="7744197545"/>
    <x v="1"/>
    <x v="1"/>
  </r>
  <r>
    <s v="EMP1432"/>
    <s v="Grace"/>
    <s v="Jones"/>
    <x v="3"/>
    <x v="5"/>
    <x v="3"/>
    <x v="2"/>
    <x v="390"/>
    <n v="55228.12"/>
    <s v="grace.jones@example.com"/>
    <s v="6176620470"/>
    <x v="3"/>
    <x v="0"/>
  </r>
  <r>
    <s v="EMP1433"/>
    <s v="Bob"/>
    <s v="Garcia"/>
    <x v="1"/>
    <x v="3"/>
    <x v="4"/>
    <x v="2"/>
    <x v="391"/>
    <n v="71982.33"/>
    <s v="bob.garcia@example.com"/>
    <s v="9609409704"/>
    <x v="0"/>
    <x v="1"/>
  </r>
  <r>
    <s v="EMP1434"/>
    <s v="Frank"/>
    <s v="Brown"/>
    <x v="1"/>
    <x v="1"/>
    <x v="0"/>
    <x v="2"/>
    <x v="392"/>
    <n v="109673.75"/>
    <s v="frank.brown@example.com"/>
    <s v="2774025882"/>
    <x v="1"/>
    <x v="1"/>
  </r>
  <r>
    <s v="EMP1435"/>
    <s v="Eva"/>
    <s v="Garcia"/>
    <x v="1"/>
    <x v="3"/>
    <x v="4"/>
    <x v="2"/>
    <x v="393"/>
    <n v="56384.9"/>
    <s v="eva.garcia@example.com"/>
    <s v="5868122594"/>
    <x v="1"/>
    <x v="0"/>
  </r>
  <r>
    <s v="EMP1436"/>
    <s v="Frank"/>
    <s v="Garcia"/>
    <x v="2"/>
    <x v="4"/>
    <x v="1"/>
    <x v="1"/>
    <x v="135"/>
    <n v="68211.679999999993"/>
    <s v="frank.garcia@example.com"/>
    <s v="7244617678"/>
    <x v="2"/>
    <x v="1"/>
  </r>
  <r>
    <s v="EMP1437"/>
    <s v="Alice"/>
    <s v="Garcia"/>
    <x v="2"/>
    <x v="1"/>
    <x v="5"/>
    <x v="1"/>
    <x v="394"/>
    <n v="67489.679999999993"/>
    <s v="alice.garcia@example.com"/>
    <s v="2988425994"/>
    <x v="3"/>
    <x v="1"/>
  </r>
  <r>
    <s v="EMP1438"/>
    <s v="Charlie"/>
    <s v="Davis"/>
    <x v="0"/>
    <x v="3"/>
    <x v="1"/>
    <x v="0"/>
    <x v="395"/>
    <n v="63869.31"/>
    <s v="charlie.davis@example.com"/>
    <s v="9961002310"/>
    <x v="2"/>
    <x v="1"/>
  </r>
  <r>
    <s v="EMP1439"/>
    <s v="Bob"/>
    <s v="Williams"/>
    <x v="1"/>
    <x v="4"/>
    <x v="0"/>
    <x v="0"/>
    <x v="136"/>
    <n v="119801.3"/>
    <s v="bob.williams@example.com"/>
    <s v="7753312660"/>
    <x v="0"/>
    <x v="0"/>
  </r>
  <r>
    <s v="EMP1440"/>
    <s v="Heidi"/>
    <s v="Smith"/>
    <x v="1"/>
    <x v="3"/>
    <x v="0"/>
    <x v="0"/>
    <x v="396"/>
    <n v="115959.65"/>
    <s v="heidi.smith@example.com"/>
    <s v="941017589"/>
    <x v="1"/>
    <x v="0"/>
  </r>
  <r>
    <s v="EMP1441"/>
    <s v="Grace"/>
    <s v="Garcia"/>
    <x v="2"/>
    <x v="1"/>
    <x v="1"/>
    <x v="2"/>
    <x v="397"/>
    <n v="79866.48"/>
    <s v="grace.garcia@example.com"/>
    <s v="2517629832"/>
    <x v="1"/>
    <x v="0"/>
  </r>
  <r>
    <s v="EMP1442"/>
    <s v="Charlie"/>
    <s v="Smith"/>
    <x v="3"/>
    <x v="5"/>
    <x v="3"/>
    <x v="0"/>
    <x v="398"/>
    <n v="92987.46"/>
    <s v="charlie.smith@example.com"/>
    <s v="4774332682"/>
    <x v="1"/>
    <x v="0"/>
  </r>
  <r>
    <s v="EMP1443"/>
    <s v="Eva"/>
    <s v="Garcia"/>
    <x v="2"/>
    <x v="1"/>
    <x v="5"/>
    <x v="2"/>
    <x v="399"/>
    <n v="56140.51"/>
    <s v="eva.garcia@example.com"/>
    <s v="1901302055"/>
    <x v="0"/>
    <x v="1"/>
  </r>
  <r>
    <s v="EMP1444"/>
    <s v="Grace"/>
    <s v="Brown"/>
    <x v="1"/>
    <x v="0"/>
    <x v="5"/>
    <x v="0"/>
    <x v="400"/>
    <n v="119586.11"/>
    <s v="grace.brown@example.com"/>
    <s v="9815287338"/>
    <x v="0"/>
    <x v="0"/>
  </r>
  <r>
    <s v="EMP1445"/>
    <s v="Alice"/>
    <s v="Williams"/>
    <x v="2"/>
    <x v="0"/>
    <x v="0"/>
    <x v="2"/>
    <x v="150"/>
    <n v="104700.46"/>
    <s v="alice.williams@example.com"/>
    <s v="7855982175"/>
    <x v="2"/>
    <x v="0"/>
  </r>
  <r>
    <s v="EMP1446"/>
    <s v="Frank"/>
    <s v="Williams"/>
    <x v="2"/>
    <x v="5"/>
    <x v="4"/>
    <x v="0"/>
    <x v="331"/>
    <n v="91798.14"/>
    <s v="frank.williams@example.com"/>
    <s v="6191284116"/>
    <x v="2"/>
    <x v="1"/>
  </r>
  <r>
    <s v="EMP1447"/>
    <s v="Eva"/>
    <s v="Miller"/>
    <x v="0"/>
    <x v="1"/>
    <x v="5"/>
    <x v="2"/>
    <x v="401"/>
    <n v="90879.22"/>
    <s v="eva.miller@example.com"/>
    <s v="3098503445"/>
    <x v="2"/>
    <x v="1"/>
  </r>
  <r>
    <s v="EMP1448"/>
    <s v="Charlie"/>
    <s v="Davis"/>
    <x v="0"/>
    <x v="2"/>
    <x v="2"/>
    <x v="0"/>
    <x v="402"/>
    <n v="87358.27"/>
    <s v="charlie.davis@example.com"/>
    <s v="5124189388"/>
    <x v="3"/>
    <x v="1"/>
  </r>
  <r>
    <s v="EMP1449"/>
    <s v="Alice"/>
    <s v="Miller"/>
    <x v="1"/>
    <x v="4"/>
    <x v="3"/>
    <x v="2"/>
    <x v="403"/>
    <n v="119407.93"/>
    <s v="alice.miller@example.com"/>
    <s v="8469081973"/>
    <x v="1"/>
    <x v="0"/>
  </r>
  <r>
    <s v="EMP1450"/>
    <s v="David"/>
    <s v="Miller"/>
    <x v="1"/>
    <x v="5"/>
    <x v="2"/>
    <x v="1"/>
    <x v="404"/>
    <n v="113978.6"/>
    <s v="david.miller@example.com"/>
    <s v="56435022"/>
    <x v="1"/>
    <x v="0"/>
  </r>
  <r>
    <s v="EMP1451"/>
    <s v="Frank"/>
    <s v="Miller"/>
    <x v="1"/>
    <x v="4"/>
    <x v="4"/>
    <x v="1"/>
    <x v="405"/>
    <n v="108568.78"/>
    <s v="frank.miller@example.com"/>
    <s v="8503719904"/>
    <x v="2"/>
    <x v="0"/>
  </r>
  <r>
    <s v="EMP1452"/>
    <s v="Heidi"/>
    <s v="Miller"/>
    <x v="1"/>
    <x v="5"/>
    <x v="4"/>
    <x v="2"/>
    <x v="406"/>
    <n v="56318.02"/>
    <s v="heidi.miller@example.com"/>
    <s v="1699187239"/>
    <x v="1"/>
    <x v="1"/>
  </r>
  <r>
    <s v="EMP1453"/>
    <s v="David"/>
    <s v="Miller"/>
    <x v="0"/>
    <x v="4"/>
    <x v="3"/>
    <x v="0"/>
    <x v="407"/>
    <n v="114252.73"/>
    <s v="david.miller@example.com"/>
    <s v="1078356742"/>
    <x v="2"/>
    <x v="1"/>
  </r>
  <r>
    <s v="EMP1454"/>
    <s v="Charlie"/>
    <s v="Jones"/>
    <x v="3"/>
    <x v="0"/>
    <x v="4"/>
    <x v="2"/>
    <x v="408"/>
    <n v="51533.9"/>
    <s v="charlie.jones@example.com"/>
    <s v="3896086"/>
    <x v="3"/>
    <x v="0"/>
  </r>
  <r>
    <s v="EMP1455"/>
    <s v="Charlie"/>
    <s v="Williams"/>
    <x v="0"/>
    <x v="4"/>
    <x v="0"/>
    <x v="0"/>
    <x v="409"/>
    <n v="99317.66"/>
    <s v="charlie.williams@example.com"/>
    <s v="662668216"/>
    <x v="3"/>
    <x v="1"/>
  </r>
  <r>
    <s v="EMP1456"/>
    <s v="Bob"/>
    <s v="Miller"/>
    <x v="3"/>
    <x v="5"/>
    <x v="0"/>
    <x v="0"/>
    <x v="410"/>
    <n v="101264.64"/>
    <s v="bob.miller@example.com"/>
    <s v="1955356032"/>
    <x v="0"/>
    <x v="1"/>
  </r>
  <r>
    <s v="EMP1457"/>
    <s v="Heidi"/>
    <s v="Garcia"/>
    <x v="3"/>
    <x v="2"/>
    <x v="2"/>
    <x v="1"/>
    <x v="411"/>
    <n v="112272.02"/>
    <s v="heidi.garcia@example.com"/>
    <s v="1903689002"/>
    <x v="3"/>
    <x v="1"/>
  </r>
  <r>
    <s v="EMP1458"/>
    <s v="Frank"/>
    <s v="Williams"/>
    <x v="1"/>
    <x v="0"/>
    <x v="5"/>
    <x v="0"/>
    <x v="412"/>
    <n v="71477.63"/>
    <s v="frank.williams@example.com"/>
    <s v="102724054"/>
    <x v="2"/>
    <x v="0"/>
  </r>
  <r>
    <s v="EMP1459"/>
    <s v="Charlie"/>
    <s v="Williams"/>
    <x v="1"/>
    <x v="0"/>
    <x v="1"/>
    <x v="1"/>
    <x v="413"/>
    <n v="77412.100000000006"/>
    <s v="charlie.williams@example.com"/>
    <s v="9342967110"/>
    <x v="3"/>
    <x v="1"/>
  </r>
  <r>
    <s v="EMP1460"/>
    <s v="Alice"/>
    <s v="Johnson"/>
    <x v="1"/>
    <x v="4"/>
    <x v="0"/>
    <x v="1"/>
    <x v="414"/>
    <n v="94775.27"/>
    <s v="alice.johnson@example.com"/>
    <s v="4837537457"/>
    <x v="0"/>
    <x v="1"/>
  </r>
  <r>
    <s v="EMP1461"/>
    <s v="Heidi"/>
    <s v="Jones"/>
    <x v="1"/>
    <x v="5"/>
    <x v="2"/>
    <x v="0"/>
    <x v="415"/>
    <n v="74276.710000000006"/>
    <s v="heidi.jones@example.com"/>
    <s v="4384588104"/>
    <x v="1"/>
    <x v="0"/>
  </r>
  <r>
    <s v="EMP1462"/>
    <s v="Bob"/>
    <s v="Miller"/>
    <x v="3"/>
    <x v="1"/>
    <x v="1"/>
    <x v="2"/>
    <x v="416"/>
    <n v="67467.86"/>
    <s v="bob.miller@example.com"/>
    <s v="6974132833"/>
    <x v="2"/>
    <x v="0"/>
  </r>
  <r>
    <s v="EMP1463"/>
    <s v="Eva"/>
    <s v="Smith"/>
    <x v="0"/>
    <x v="0"/>
    <x v="1"/>
    <x v="0"/>
    <x v="417"/>
    <n v="80675.41"/>
    <s v="eva.smith@example.com"/>
    <s v="8315203770"/>
    <x v="1"/>
    <x v="1"/>
  </r>
  <r>
    <s v="EMP1464"/>
    <s v="Charlie"/>
    <s v="Brown"/>
    <x v="2"/>
    <x v="1"/>
    <x v="3"/>
    <x v="2"/>
    <x v="418"/>
    <n v="76274.33"/>
    <s v="charlie.brown@example.com"/>
    <s v="704496409"/>
    <x v="0"/>
    <x v="1"/>
  </r>
  <r>
    <s v="EMP1465"/>
    <s v="David"/>
    <s v="Davis"/>
    <x v="1"/>
    <x v="1"/>
    <x v="1"/>
    <x v="0"/>
    <x v="419"/>
    <n v="51405.46"/>
    <s v="david.davis@example.com"/>
    <s v="4967066702"/>
    <x v="0"/>
    <x v="0"/>
  </r>
  <r>
    <s v="EMP1466"/>
    <s v="Bob"/>
    <s v="Garcia"/>
    <x v="0"/>
    <x v="5"/>
    <x v="4"/>
    <x v="2"/>
    <x v="420"/>
    <n v="101238.96"/>
    <s v="bob.garcia@example.com"/>
    <s v="3626804084"/>
    <x v="0"/>
    <x v="0"/>
  </r>
  <r>
    <s v="EMP1467"/>
    <s v="Bob"/>
    <s v="Smith"/>
    <x v="3"/>
    <x v="4"/>
    <x v="5"/>
    <x v="2"/>
    <x v="421"/>
    <n v="52169.52"/>
    <s v="bob.smith@example.com"/>
    <s v="954930595"/>
    <x v="1"/>
    <x v="1"/>
  </r>
  <r>
    <s v="EMP1468"/>
    <s v="Charlie"/>
    <s v="Jones"/>
    <x v="1"/>
    <x v="1"/>
    <x v="4"/>
    <x v="0"/>
    <x v="422"/>
    <n v="73176.62"/>
    <s v="charlie.jones@example.com"/>
    <s v="6018648768"/>
    <x v="1"/>
    <x v="1"/>
  </r>
  <r>
    <s v="EMP1469"/>
    <s v="Grace"/>
    <s v="Brown"/>
    <x v="1"/>
    <x v="0"/>
    <x v="2"/>
    <x v="1"/>
    <x v="39"/>
    <n v="96241.85"/>
    <s v="grace.brown@example.com"/>
    <s v="9842673203"/>
    <x v="1"/>
    <x v="1"/>
  </r>
  <r>
    <s v="EMP1470"/>
    <s v="Bob"/>
    <s v="Jones"/>
    <x v="0"/>
    <x v="1"/>
    <x v="5"/>
    <x v="1"/>
    <x v="67"/>
    <n v="84366.38"/>
    <s v="bob.jones@example.com"/>
    <s v="4138459608"/>
    <x v="1"/>
    <x v="1"/>
  </r>
  <r>
    <s v="EMP1471"/>
    <s v="Alice"/>
    <s v="Garcia"/>
    <x v="2"/>
    <x v="3"/>
    <x v="0"/>
    <x v="1"/>
    <x v="329"/>
    <n v="92015.09"/>
    <s v="alice.garcia@example.com"/>
    <s v="4544901494"/>
    <x v="0"/>
    <x v="0"/>
  </r>
  <r>
    <s v="EMP1472"/>
    <s v="Alice"/>
    <s v="Williams"/>
    <x v="1"/>
    <x v="2"/>
    <x v="2"/>
    <x v="2"/>
    <x v="423"/>
    <n v="83149.95"/>
    <s v="alice.williams@example.com"/>
    <s v="4277070704"/>
    <x v="0"/>
    <x v="1"/>
  </r>
  <r>
    <s v="EMP1473"/>
    <s v="Grace"/>
    <s v="Brown"/>
    <x v="2"/>
    <x v="1"/>
    <x v="2"/>
    <x v="2"/>
    <x v="163"/>
    <n v="94930.65"/>
    <s v="grace.brown@example.com"/>
    <s v="7836091497"/>
    <x v="2"/>
    <x v="1"/>
  </r>
  <r>
    <s v="EMP1474"/>
    <s v="Frank"/>
    <s v="Williams"/>
    <x v="2"/>
    <x v="5"/>
    <x v="4"/>
    <x v="2"/>
    <x v="424"/>
    <n v="68430.720000000001"/>
    <s v="frank.williams@example.com"/>
    <s v="5172444722"/>
    <x v="2"/>
    <x v="0"/>
  </r>
  <r>
    <s v="EMP1475"/>
    <s v="David"/>
    <s v="Garcia"/>
    <x v="3"/>
    <x v="4"/>
    <x v="1"/>
    <x v="0"/>
    <x v="425"/>
    <n v="98752.97"/>
    <s v="david.garcia@example.com"/>
    <s v="2290310286"/>
    <x v="1"/>
    <x v="1"/>
  </r>
  <r>
    <s v="EMP1476"/>
    <s v="Frank"/>
    <s v="Smith"/>
    <x v="1"/>
    <x v="1"/>
    <x v="5"/>
    <x v="0"/>
    <x v="426"/>
    <n v="54268.86"/>
    <s v="frank.smith@example.com"/>
    <s v="9508304404"/>
    <x v="3"/>
    <x v="0"/>
  </r>
  <r>
    <s v="EMP1477"/>
    <s v="Grace"/>
    <s v="Garcia"/>
    <x v="1"/>
    <x v="0"/>
    <x v="3"/>
    <x v="1"/>
    <x v="427"/>
    <n v="66494.94"/>
    <s v="grace.garcia@example.com"/>
    <s v="8093511870"/>
    <x v="3"/>
    <x v="1"/>
  </r>
  <r>
    <s v="EMP1478"/>
    <s v="Grace"/>
    <s v="Smith"/>
    <x v="0"/>
    <x v="4"/>
    <x v="5"/>
    <x v="1"/>
    <x v="428"/>
    <n v="90003.98"/>
    <s v="grace.smith@example.com"/>
    <s v="8133595615"/>
    <x v="0"/>
    <x v="1"/>
  </r>
  <r>
    <s v="EMP1479"/>
    <s v="Charlie"/>
    <s v="Brown"/>
    <x v="0"/>
    <x v="1"/>
    <x v="4"/>
    <x v="0"/>
    <x v="22"/>
    <n v="106592.25"/>
    <s v="charlie.brown@example.com"/>
    <s v="4205955656"/>
    <x v="0"/>
    <x v="0"/>
  </r>
  <r>
    <s v="EMP1480"/>
    <s v="Grace"/>
    <s v="Brown"/>
    <x v="0"/>
    <x v="0"/>
    <x v="3"/>
    <x v="0"/>
    <x v="429"/>
    <n v="93905.83"/>
    <s v="grace.brown@example.com"/>
    <s v="4902504289"/>
    <x v="0"/>
    <x v="0"/>
  </r>
  <r>
    <s v="EMP1481"/>
    <s v="Eva"/>
    <s v="Miller"/>
    <x v="3"/>
    <x v="0"/>
    <x v="1"/>
    <x v="0"/>
    <x v="326"/>
    <n v="88945.49"/>
    <s v="eva.miller@example.com"/>
    <s v="1935889535"/>
    <x v="2"/>
    <x v="1"/>
  </r>
  <r>
    <s v="EMP1482"/>
    <s v="Eva"/>
    <s v="Jones"/>
    <x v="1"/>
    <x v="1"/>
    <x v="1"/>
    <x v="1"/>
    <x v="128"/>
    <n v="91130.33"/>
    <s v="eva.jones@example.com"/>
    <s v="9026113988"/>
    <x v="2"/>
    <x v="1"/>
  </r>
  <r>
    <s v="EMP1483"/>
    <s v="Bob"/>
    <s v="Miller"/>
    <x v="2"/>
    <x v="2"/>
    <x v="4"/>
    <x v="1"/>
    <x v="430"/>
    <n v="90787.4"/>
    <s v="bob.miller@example.com"/>
    <s v="8681809787"/>
    <x v="0"/>
    <x v="1"/>
  </r>
  <r>
    <s v="EMP1484"/>
    <s v="Bob"/>
    <s v="Jones"/>
    <x v="0"/>
    <x v="4"/>
    <x v="1"/>
    <x v="2"/>
    <x v="431"/>
    <n v="87494.34"/>
    <s v="bob.jones@example.com"/>
    <s v="7543943534"/>
    <x v="0"/>
    <x v="0"/>
  </r>
  <r>
    <s v="EMP1485"/>
    <s v="Grace"/>
    <s v="Miller"/>
    <x v="3"/>
    <x v="1"/>
    <x v="2"/>
    <x v="2"/>
    <x v="432"/>
    <n v="92627.35"/>
    <s v="grace.miller@example.com"/>
    <s v="3751376514"/>
    <x v="0"/>
    <x v="1"/>
  </r>
  <r>
    <s v="EMP1486"/>
    <s v="Eva"/>
    <s v="Williams"/>
    <x v="2"/>
    <x v="2"/>
    <x v="5"/>
    <x v="1"/>
    <x v="183"/>
    <n v="98556.29"/>
    <s v="eva.williams@example.com"/>
    <s v="8815793762"/>
    <x v="3"/>
    <x v="0"/>
  </r>
  <r>
    <s v="EMP1487"/>
    <s v="Frank"/>
    <s v="Brown"/>
    <x v="1"/>
    <x v="3"/>
    <x v="2"/>
    <x v="2"/>
    <x v="433"/>
    <n v="112792.2"/>
    <s v="frank.brown@example.com"/>
    <s v="9283692943"/>
    <x v="2"/>
    <x v="0"/>
  </r>
  <r>
    <s v="EMP1488"/>
    <s v="Eva"/>
    <s v="Smith"/>
    <x v="3"/>
    <x v="5"/>
    <x v="3"/>
    <x v="1"/>
    <x v="434"/>
    <n v="56875.22"/>
    <s v="eva.smith@example.com"/>
    <s v="5511668296"/>
    <x v="3"/>
    <x v="1"/>
  </r>
  <r>
    <s v="EMP1489"/>
    <s v="Charlie"/>
    <s v="Jones"/>
    <x v="3"/>
    <x v="0"/>
    <x v="3"/>
    <x v="2"/>
    <x v="435"/>
    <n v="101015.96"/>
    <s v="charlie.jones@example.com"/>
    <s v="3270216486"/>
    <x v="3"/>
    <x v="0"/>
  </r>
  <r>
    <s v="EMP1490"/>
    <s v="Bob"/>
    <s v="Garcia"/>
    <x v="1"/>
    <x v="1"/>
    <x v="4"/>
    <x v="2"/>
    <x v="436"/>
    <n v="83912.22"/>
    <s v="bob.garcia@example.com"/>
    <s v="1206021287"/>
    <x v="0"/>
    <x v="1"/>
  </r>
  <r>
    <s v="EMP1491"/>
    <s v="Frank"/>
    <s v="Jones"/>
    <x v="0"/>
    <x v="4"/>
    <x v="4"/>
    <x v="0"/>
    <x v="437"/>
    <n v="99669.86"/>
    <s v="frank.jones@example.com"/>
    <s v="6652683414"/>
    <x v="0"/>
    <x v="1"/>
  </r>
  <r>
    <s v="EMP1492"/>
    <s v="Alice"/>
    <s v="Smith"/>
    <x v="1"/>
    <x v="2"/>
    <x v="4"/>
    <x v="0"/>
    <x v="438"/>
    <n v="52314.97"/>
    <s v="alice.smith@example.com"/>
    <s v="5999101575"/>
    <x v="1"/>
    <x v="1"/>
  </r>
  <r>
    <s v="EMP1493"/>
    <s v="Frank"/>
    <s v="Miller"/>
    <x v="1"/>
    <x v="5"/>
    <x v="0"/>
    <x v="2"/>
    <x v="439"/>
    <n v="77785.960000000006"/>
    <s v="frank.miller@example.com"/>
    <s v="7647229811"/>
    <x v="1"/>
    <x v="1"/>
  </r>
  <r>
    <s v="EMP1494"/>
    <s v="Alice"/>
    <s v="Jones"/>
    <x v="1"/>
    <x v="5"/>
    <x v="3"/>
    <x v="1"/>
    <x v="440"/>
    <n v="62430.86"/>
    <s v="alice.jones@example.com"/>
    <s v="995765727"/>
    <x v="3"/>
    <x v="1"/>
  </r>
  <r>
    <s v="EMP1495"/>
    <s v="Frank"/>
    <s v="Davis"/>
    <x v="3"/>
    <x v="2"/>
    <x v="0"/>
    <x v="1"/>
    <x v="66"/>
    <n v="98219.54"/>
    <s v="frank.davis@example.com"/>
    <s v="9413475097"/>
    <x v="2"/>
    <x v="0"/>
  </r>
  <r>
    <s v="EMP1496"/>
    <s v="Grace"/>
    <s v="Williams"/>
    <x v="0"/>
    <x v="2"/>
    <x v="5"/>
    <x v="0"/>
    <x v="441"/>
    <n v="65494.58"/>
    <s v="grace.williams@example.com"/>
    <s v="8986456521"/>
    <x v="0"/>
    <x v="0"/>
  </r>
  <r>
    <s v="EMP1497"/>
    <s v="David"/>
    <s v="Brown"/>
    <x v="3"/>
    <x v="0"/>
    <x v="3"/>
    <x v="1"/>
    <x v="442"/>
    <n v="110524.1"/>
    <s v="david.brown@example.com"/>
    <s v="368499514"/>
    <x v="0"/>
    <x v="1"/>
  </r>
  <r>
    <s v="EMP1498"/>
    <s v="Alice"/>
    <s v="Smith"/>
    <x v="2"/>
    <x v="2"/>
    <x v="2"/>
    <x v="0"/>
    <x v="443"/>
    <n v="106060.54"/>
    <s v="alice.smith@example.com"/>
    <s v="4214477323"/>
    <x v="3"/>
    <x v="1"/>
  </r>
  <r>
    <s v="EMP1499"/>
    <s v="Eva"/>
    <s v="Brown"/>
    <x v="3"/>
    <x v="1"/>
    <x v="3"/>
    <x v="2"/>
    <x v="444"/>
    <n v="67639.91"/>
    <s v="eva.brown@example.com"/>
    <s v="4913421387"/>
    <x v="1"/>
    <x v="0"/>
  </r>
  <r>
    <s v="EMP1500"/>
    <s v="Grace"/>
    <s v="Davis"/>
    <x v="1"/>
    <x v="3"/>
    <x v="1"/>
    <x v="1"/>
    <x v="445"/>
    <n v="117653.98"/>
    <s v="grace.davis@example.com"/>
    <s v="2090883069"/>
    <x v="2"/>
    <x v="0"/>
  </r>
  <r>
    <s v="EMP1501"/>
    <s v="Eva"/>
    <s v="Jones"/>
    <x v="3"/>
    <x v="0"/>
    <x v="1"/>
    <x v="2"/>
    <x v="446"/>
    <n v="73539.86"/>
    <s v="eva.jones@example.com"/>
    <s v="5349678273"/>
    <x v="1"/>
    <x v="0"/>
  </r>
  <r>
    <s v="EMP1502"/>
    <s v="Frank"/>
    <s v="Jones"/>
    <x v="3"/>
    <x v="5"/>
    <x v="2"/>
    <x v="1"/>
    <x v="447"/>
    <n v="70915.38"/>
    <s v="frank.jones@example.com"/>
    <s v="1176741240"/>
    <x v="1"/>
    <x v="0"/>
  </r>
  <r>
    <s v="EMP1503"/>
    <s v="David"/>
    <s v="Garcia"/>
    <x v="0"/>
    <x v="4"/>
    <x v="3"/>
    <x v="1"/>
    <x v="448"/>
    <n v="97652.9"/>
    <s v="david.garcia@example.com"/>
    <s v="5131528546"/>
    <x v="1"/>
    <x v="1"/>
  </r>
  <r>
    <s v="EMP1504"/>
    <s v="Heidi"/>
    <s v="Davis"/>
    <x v="3"/>
    <x v="5"/>
    <x v="3"/>
    <x v="2"/>
    <x v="449"/>
    <n v="101571.25"/>
    <s v="heidi.davis@example.com"/>
    <s v="8150618537"/>
    <x v="1"/>
    <x v="1"/>
  </r>
  <r>
    <s v="EMP1505"/>
    <s v="David"/>
    <s v="Smith"/>
    <x v="3"/>
    <x v="0"/>
    <x v="2"/>
    <x v="0"/>
    <x v="450"/>
    <n v="87424.46"/>
    <s v="david.smith@example.com"/>
    <s v="32963346"/>
    <x v="0"/>
    <x v="0"/>
  </r>
  <r>
    <s v="EMP1506"/>
    <s v="Frank"/>
    <s v="Garcia"/>
    <x v="1"/>
    <x v="5"/>
    <x v="4"/>
    <x v="1"/>
    <x v="451"/>
    <n v="89077.36"/>
    <s v="frank.garcia@example.com"/>
    <s v="2727423182"/>
    <x v="0"/>
    <x v="1"/>
  </r>
  <r>
    <s v="EMP1507"/>
    <s v="Heidi"/>
    <s v="Williams"/>
    <x v="1"/>
    <x v="0"/>
    <x v="0"/>
    <x v="1"/>
    <x v="452"/>
    <n v="89132.22"/>
    <s v="heidi.williams@example.com"/>
    <s v="617893205"/>
    <x v="1"/>
    <x v="0"/>
  </r>
  <r>
    <s v="EMP1508"/>
    <s v="Frank"/>
    <s v="Garcia"/>
    <x v="0"/>
    <x v="2"/>
    <x v="0"/>
    <x v="0"/>
    <x v="453"/>
    <n v="111000.26"/>
    <s v="frank.garcia@example.com"/>
    <s v="4969357823"/>
    <x v="2"/>
    <x v="1"/>
  </r>
  <r>
    <s v="EMP1509"/>
    <s v="Frank"/>
    <s v="Johnson"/>
    <x v="3"/>
    <x v="5"/>
    <x v="5"/>
    <x v="2"/>
    <x v="454"/>
    <n v="109584.97"/>
    <s v="frank.johnson@example.com"/>
    <s v="3477695873"/>
    <x v="3"/>
    <x v="0"/>
  </r>
  <r>
    <s v="EMP1510"/>
    <s v="Bob"/>
    <s v="Smith"/>
    <x v="2"/>
    <x v="2"/>
    <x v="5"/>
    <x v="0"/>
    <x v="431"/>
    <n v="97648.84"/>
    <s v="bob.smith@example.com"/>
    <s v="1314675360"/>
    <x v="2"/>
    <x v="1"/>
  </r>
  <r>
    <s v="EMP1511"/>
    <s v="Grace"/>
    <s v="Johnson"/>
    <x v="0"/>
    <x v="2"/>
    <x v="4"/>
    <x v="0"/>
    <x v="455"/>
    <n v="78643.429999999993"/>
    <s v="grace.johnson@example.com"/>
    <s v="2751562778"/>
    <x v="2"/>
    <x v="0"/>
  </r>
  <r>
    <s v="EMP1512"/>
    <s v="Heidi"/>
    <s v="Davis"/>
    <x v="1"/>
    <x v="5"/>
    <x v="2"/>
    <x v="0"/>
    <x v="456"/>
    <n v="55656.800000000003"/>
    <s v="heidi.davis@example.com"/>
    <s v="6304483607"/>
    <x v="2"/>
    <x v="0"/>
  </r>
  <r>
    <s v="EMP1513"/>
    <s v="Charlie"/>
    <s v="Miller"/>
    <x v="3"/>
    <x v="0"/>
    <x v="1"/>
    <x v="0"/>
    <x v="457"/>
    <n v="69146.95"/>
    <s v="charlie.miller@example.com"/>
    <s v="5456676639"/>
    <x v="1"/>
    <x v="1"/>
  </r>
  <r>
    <s v="EMP1514"/>
    <s v="Charlie"/>
    <s v="Johnson"/>
    <x v="1"/>
    <x v="2"/>
    <x v="3"/>
    <x v="0"/>
    <x v="458"/>
    <n v="93013.58"/>
    <s v="charlie.johnson@example.com"/>
    <s v="4735047638"/>
    <x v="0"/>
    <x v="0"/>
  </r>
  <r>
    <s v="EMP1515"/>
    <s v="Grace"/>
    <s v="Williams"/>
    <x v="2"/>
    <x v="1"/>
    <x v="3"/>
    <x v="0"/>
    <x v="406"/>
    <n v="87364.78"/>
    <s v="grace.williams@example.com"/>
    <s v="2831995297"/>
    <x v="2"/>
    <x v="1"/>
  </r>
  <r>
    <s v="EMP1516"/>
    <s v="Alice"/>
    <s v="Garcia"/>
    <x v="3"/>
    <x v="4"/>
    <x v="4"/>
    <x v="0"/>
    <x v="198"/>
    <n v="50288.67"/>
    <s v="alice.garcia@example.com"/>
    <s v="61558107"/>
    <x v="1"/>
    <x v="1"/>
  </r>
  <r>
    <s v="EMP1517"/>
    <s v="David"/>
    <s v="Miller"/>
    <x v="3"/>
    <x v="5"/>
    <x v="4"/>
    <x v="0"/>
    <x v="459"/>
    <n v="85233.55"/>
    <s v="david.miller@example.com"/>
    <s v="3583286341"/>
    <x v="2"/>
    <x v="0"/>
  </r>
  <r>
    <s v="EMP1518"/>
    <s v="Bob"/>
    <s v="Garcia"/>
    <x v="0"/>
    <x v="5"/>
    <x v="0"/>
    <x v="2"/>
    <x v="460"/>
    <n v="86420.19"/>
    <s v="bob.garcia@example.com"/>
    <s v="5563830007"/>
    <x v="2"/>
    <x v="1"/>
  </r>
  <r>
    <s v="EMP1519"/>
    <s v="Grace"/>
    <s v="Johnson"/>
    <x v="1"/>
    <x v="5"/>
    <x v="3"/>
    <x v="2"/>
    <x v="461"/>
    <n v="63189.82"/>
    <s v="grace.johnson@example.com"/>
    <s v="1867024402"/>
    <x v="1"/>
    <x v="1"/>
  </r>
  <r>
    <s v="EMP1520"/>
    <s v="Grace"/>
    <s v="Garcia"/>
    <x v="0"/>
    <x v="2"/>
    <x v="4"/>
    <x v="1"/>
    <x v="462"/>
    <n v="64783.32"/>
    <s v="grace.garcia@example.com"/>
    <s v="3041662410"/>
    <x v="0"/>
    <x v="1"/>
  </r>
  <r>
    <s v="EMP1521"/>
    <s v="Charlie"/>
    <s v="Davis"/>
    <x v="0"/>
    <x v="5"/>
    <x v="2"/>
    <x v="1"/>
    <x v="14"/>
    <n v="52615.44"/>
    <s v="charlie.davis@example.com"/>
    <s v="1860089218"/>
    <x v="0"/>
    <x v="1"/>
  </r>
  <r>
    <s v="EMP1522"/>
    <s v="Eva"/>
    <s v="Miller"/>
    <x v="1"/>
    <x v="4"/>
    <x v="1"/>
    <x v="1"/>
    <x v="463"/>
    <n v="96337.89"/>
    <s v="eva.miller@example.com"/>
    <s v="6394568043"/>
    <x v="3"/>
    <x v="1"/>
  </r>
  <r>
    <s v="EMP1523"/>
    <s v="Alice"/>
    <s v="Davis"/>
    <x v="0"/>
    <x v="0"/>
    <x v="1"/>
    <x v="2"/>
    <x v="464"/>
    <n v="76617.759999999995"/>
    <s v="alice.davis@example.com"/>
    <s v="7314976460"/>
    <x v="1"/>
    <x v="0"/>
  </r>
  <r>
    <s v="EMP1524"/>
    <s v="Heidi"/>
    <s v="Johnson"/>
    <x v="1"/>
    <x v="2"/>
    <x v="2"/>
    <x v="1"/>
    <x v="465"/>
    <n v="50651.32"/>
    <s v="heidi.johnson@example.com"/>
    <s v="3684748835"/>
    <x v="3"/>
    <x v="1"/>
  </r>
  <r>
    <s v="EMP1525"/>
    <s v="Bob"/>
    <s v="Davis"/>
    <x v="1"/>
    <x v="5"/>
    <x v="5"/>
    <x v="1"/>
    <x v="466"/>
    <n v="59601.45"/>
    <s v="bob.davis@example.com"/>
    <s v="765817389"/>
    <x v="3"/>
    <x v="1"/>
  </r>
  <r>
    <s v="EMP1526"/>
    <s v="Bob"/>
    <s v="Williams"/>
    <x v="1"/>
    <x v="0"/>
    <x v="5"/>
    <x v="0"/>
    <x v="467"/>
    <n v="57980.88"/>
    <s v="bob.williams@example.com"/>
    <s v="6375791451"/>
    <x v="3"/>
    <x v="1"/>
  </r>
  <r>
    <s v="EMP1527"/>
    <s v="David"/>
    <s v="Johnson"/>
    <x v="1"/>
    <x v="2"/>
    <x v="0"/>
    <x v="1"/>
    <x v="468"/>
    <n v="75054.53"/>
    <s v="david.johnson@example.com"/>
    <s v="1182379311"/>
    <x v="0"/>
    <x v="1"/>
  </r>
  <r>
    <s v="EMP1528"/>
    <s v="Charlie"/>
    <s v="Johnson"/>
    <x v="0"/>
    <x v="4"/>
    <x v="3"/>
    <x v="0"/>
    <x v="469"/>
    <n v="115318.7"/>
    <s v="charlie.johnson@example.com"/>
    <s v="6978930745"/>
    <x v="1"/>
    <x v="1"/>
  </r>
  <r>
    <s v="EMP1529"/>
    <s v="Alice"/>
    <s v="Johnson"/>
    <x v="0"/>
    <x v="0"/>
    <x v="1"/>
    <x v="0"/>
    <x v="470"/>
    <n v="90190.69"/>
    <s v="alice.johnson@example.com"/>
    <s v="4520599603"/>
    <x v="3"/>
    <x v="0"/>
  </r>
  <r>
    <s v="EMP1530"/>
    <s v="Bob"/>
    <s v="Smith"/>
    <x v="1"/>
    <x v="3"/>
    <x v="2"/>
    <x v="1"/>
    <x v="422"/>
    <n v="113334.56"/>
    <s v="bob.smith@example.com"/>
    <s v="3878753576"/>
    <x v="1"/>
    <x v="1"/>
  </r>
  <r>
    <s v="EMP1531"/>
    <s v="Heidi"/>
    <s v="Garcia"/>
    <x v="3"/>
    <x v="5"/>
    <x v="3"/>
    <x v="0"/>
    <x v="471"/>
    <n v="106922.49"/>
    <s v="heidi.garcia@example.com"/>
    <s v="8811616201"/>
    <x v="1"/>
    <x v="0"/>
  </r>
  <r>
    <s v="EMP1532"/>
    <s v="Eva"/>
    <s v="Smith"/>
    <x v="3"/>
    <x v="0"/>
    <x v="0"/>
    <x v="2"/>
    <x v="472"/>
    <n v="58113.07"/>
    <s v="eva.smith@example.com"/>
    <s v="8123710671"/>
    <x v="0"/>
    <x v="0"/>
  </r>
  <r>
    <s v="EMP1533"/>
    <s v="Alice"/>
    <s v="Smith"/>
    <x v="0"/>
    <x v="2"/>
    <x v="2"/>
    <x v="1"/>
    <x v="473"/>
    <n v="73006.259999999995"/>
    <s v="alice.smith@example.com"/>
    <s v="8728660415"/>
    <x v="3"/>
    <x v="0"/>
  </r>
  <r>
    <s v="EMP1534"/>
    <s v="Eva"/>
    <s v="Williams"/>
    <x v="0"/>
    <x v="5"/>
    <x v="0"/>
    <x v="0"/>
    <x v="173"/>
    <n v="78054.429999999993"/>
    <s v="eva.williams@example.com"/>
    <s v="4485959223"/>
    <x v="3"/>
    <x v="0"/>
  </r>
  <r>
    <s v="EMP1535"/>
    <s v="Eva"/>
    <s v="Miller"/>
    <x v="2"/>
    <x v="0"/>
    <x v="3"/>
    <x v="2"/>
    <x v="302"/>
    <n v="112028.67"/>
    <s v="eva.miller@example.com"/>
    <s v="8395894772"/>
    <x v="1"/>
    <x v="1"/>
  </r>
  <r>
    <s v="EMP1536"/>
    <s v="Charlie"/>
    <s v="Garcia"/>
    <x v="0"/>
    <x v="2"/>
    <x v="1"/>
    <x v="2"/>
    <x v="474"/>
    <n v="83787.240000000005"/>
    <s v="charlie.garcia@example.com"/>
    <s v="5228705621"/>
    <x v="2"/>
    <x v="0"/>
  </r>
  <r>
    <s v="EMP1537"/>
    <s v="Heidi"/>
    <s v="Davis"/>
    <x v="1"/>
    <x v="4"/>
    <x v="3"/>
    <x v="2"/>
    <x v="475"/>
    <n v="52017.14"/>
    <s v="heidi.davis@example.com"/>
    <s v="7104331874"/>
    <x v="0"/>
    <x v="0"/>
  </r>
  <r>
    <s v="EMP1538"/>
    <s v="Charlie"/>
    <s v="Jones"/>
    <x v="2"/>
    <x v="1"/>
    <x v="1"/>
    <x v="2"/>
    <x v="476"/>
    <n v="53218.06"/>
    <s v="charlie.jones@example.com"/>
    <s v="1097921582"/>
    <x v="0"/>
    <x v="1"/>
  </r>
  <r>
    <s v="EMP1539"/>
    <s v="Frank"/>
    <s v="Johnson"/>
    <x v="0"/>
    <x v="0"/>
    <x v="2"/>
    <x v="1"/>
    <x v="477"/>
    <n v="102053.67"/>
    <s v="frank.johnson@example.com"/>
    <s v="5034469458"/>
    <x v="0"/>
    <x v="1"/>
  </r>
  <r>
    <s v="EMP1540"/>
    <s v="David"/>
    <s v="Davis"/>
    <x v="3"/>
    <x v="4"/>
    <x v="5"/>
    <x v="1"/>
    <x v="478"/>
    <n v="93276.73"/>
    <s v="david.davis@example.com"/>
    <s v="6488319212"/>
    <x v="0"/>
    <x v="1"/>
  </r>
  <r>
    <s v="EMP1541"/>
    <s v="David"/>
    <s v="Johnson"/>
    <x v="2"/>
    <x v="5"/>
    <x v="2"/>
    <x v="1"/>
    <x v="479"/>
    <n v="76941.36"/>
    <s v="david.johnson@example.com"/>
    <s v="4249128964"/>
    <x v="3"/>
    <x v="0"/>
  </r>
  <r>
    <s v="EMP1542"/>
    <s v="Alice"/>
    <s v="Williams"/>
    <x v="0"/>
    <x v="0"/>
    <x v="4"/>
    <x v="1"/>
    <x v="386"/>
    <n v="82850.23"/>
    <s v="alice.williams@example.com"/>
    <s v="9994973202"/>
    <x v="3"/>
    <x v="1"/>
  </r>
  <r>
    <s v="EMP1543"/>
    <s v="Charlie"/>
    <s v="Johnson"/>
    <x v="0"/>
    <x v="1"/>
    <x v="0"/>
    <x v="0"/>
    <x v="343"/>
    <n v="117910.15"/>
    <s v="charlie.johnson@example.com"/>
    <s v="3192227050"/>
    <x v="2"/>
    <x v="1"/>
  </r>
  <r>
    <s v="EMP1544"/>
    <s v="David"/>
    <s v="Smith"/>
    <x v="1"/>
    <x v="0"/>
    <x v="3"/>
    <x v="2"/>
    <x v="480"/>
    <n v="66450"/>
    <s v="david.smith@example.com"/>
    <s v="287675480"/>
    <x v="0"/>
    <x v="0"/>
  </r>
  <r>
    <s v="EMP1545"/>
    <s v="Heidi"/>
    <s v="Garcia"/>
    <x v="0"/>
    <x v="1"/>
    <x v="3"/>
    <x v="2"/>
    <x v="481"/>
    <n v="118646.95"/>
    <s v="heidi.garcia@example.com"/>
    <s v="3866675484"/>
    <x v="0"/>
    <x v="1"/>
  </r>
  <r>
    <s v="EMP1546"/>
    <s v="Alice"/>
    <s v="Jones"/>
    <x v="0"/>
    <x v="1"/>
    <x v="3"/>
    <x v="0"/>
    <x v="482"/>
    <n v="88436.92"/>
    <s v="alice.jones@example.com"/>
    <s v="8193242686"/>
    <x v="1"/>
    <x v="1"/>
  </r>
  <r>
    <s v="EMP1547"/>
    <s v="Eva"/>
    <s v="Brown"/>
    <x v="1"/>
    <x v="4"/>
    <x v="4"/>
    <x v="1"/>
    <x v="299"/>
    <n v="81934.55"/>
    <s v="eva.brown@example.com"/>
    <s v="7418652056"/>
    <x v="3"/>
    <x v="1"/>
  </r>
  <r>
    <s v="EMP1548"/>
    <s v="Alice"/>
    <s v="Johnson"/>
    <x v="1"/>
    <x v="1"/>
    <x v="0"/>
    <x v="1"/>
    <x v="477"/>
    <n v="93383.06"/>
    <s v="alice.johnson@example.com"/>
    <s v="5639836519"/>
    <x v="0"/>
    <x v="1"/>
  </r>
  <r>
    <s v="EMP1549"/>
    <s v="Frank"/>
    <s v="Davis"/>
    <x v="2"/>
    <x v="3"/>
    <x v="1"/>
    <x v="1"/>
    <x v="483"/>
    <n v="50153.79"/>
    <s v="frank.davis@example.com"/>
    <s v="3758309450"/>
    <x v="2"/>
    <x v="0"/>
  </r>
  <r>
    <s v="EMP1550"/>
    <s v="Eva"/>
    <s v="Smith"/>
    <x v="1"/>
    <x v="4"/>
    <x v="0"/>
    <x v="1"/>
    <x v="484"/>
    <n v="53204.47"/>
    <s v="eva.smith@example.com"/>
    <s v="5480940475"/>
    <x v="2"/>
    <x v="1"/>
  </r>
  <r>
    <s v="EMP1551"/>
    <s v="Charlie"/>
    <s v="Brown"/>
    <x v="2"/>
    <x v="3"/>
    <x v="0"/>
    <x v="1"/>
    <x v="485"/>
    <n v="63128.04"/>
    <s v="charlie.brown@example.com"/>
    <s v="440907976"/>
    <x v="3"/>
    <x v="1"/>
  </r>
  <r>
    <s v="EMP1552"/>
    <s v="Grace"/>
    <s v="Jones"/>
    <x v="1"/>
    <x v="1"/>
    <x v="4"/>
    <x v="1"/>
    <x v="486"/>
    <n v="57543.6"/>
    <s v="grace.jones@example.com"/>
    <s v="2781050921"/>
    <x v="2"/>
    <x v="0"/>
  </r>
  <r>
    <s v="EMP1553"/>
    <s v="Bob"/>
    <s v="Brown"/>
    <x v="2"/>
    <x v="1"/>
    <x v="2"/>
    <x v="1"/>
    <x v="487"/>
    <n v="59424.52"/>
    <s v="bob.brown@example.com"/>
    <s v="2161070517"/>
    <x v="2"/>
    <x v="1"/>
  </r>
  <r>
    <s v="EMP1554"/>
    <s v="Alice"/>
    <s v="Smith"/>
    <x v="1"/>
    <x v="1"/>
    <x v="5"/>
    <x v="2"/>
    <x v="488"/>
    <n v="104675.7"/>
    <s v="alice.smith@example.com"/>
    <s v="4390552957"/>
    <x v="3"/>
    <x v="0"/>
  </r>
  <r>
    <s v="EMP1555"/>
    <s v="Charlie"/>
    <s v="Garcia"/>
    <x v="1"/>
    <x v="3"/>
    <x v="3"/>
    <x v="1"/>
    <x v="489"/>
    <n v="92431.25"/>
    <s v="charlie.garcia@example.com"/>
    <s v="660138240"/>
    <x v="0"/>
    <x v="1"/>
  </r>
  <r>
    <s v="EMP1556"/>
    <s v="Grace"/>
    <s v="Garcia"/>
    <x v="2"/>
    <x v="4"/>
    <x v="2"/>
    <x v="0"/>
    <x v="490"/>
    <n v="77850.899999999994"/>
    <s v="grace.garcia@example.com"/>
    <s v="2704938619"/>
    <x v="0"/>
    <x v="0"/>
  </r>
  <r>
    <s v="EMP1557"/>
    <s v="Eva"/>
    <s v="Miller"/>
    <x v="2"/>
    <x v="2"/>
    <x v="4"/>
    <x v="2"/>
    <x v="491"/>
    <n v="99001"/>
    <s v="eva.miller@example.com"/>
    <s v="4485157918"/>
    <x v="2"/>
    <x v="0"/>
  </r>
  <r>
    <s v="EMP1558"/>
    <s v="Eva"/>
    <s v="Garcia"/>
    <x v="1"/>
    <x v="5"/>
    <x v="2"/>
    <x v="1"/>
    <x v="426"/>
    <n v="94280.83"/>
    <s v="eva.garcia@example.com"/>
    <s v="7111212589"/>
    <x v="2"/>
    <x v="0"/>
  </r>
  <r>
    <s v="EMP1559"/>
    <s v="Eva"/>
    <s v="Miller"/>
    <x v="3"/>
    <x v="0"/>
    <x v="4"/>
    <x v="1"/>
    <x v="492"/>
    <n v="118262.56"/>
    <s v="eva.miller@example.com"/>
    <s v="2035713431"/>
    <x v="0"/>
    <x v="0"/>
  </r>
  <r>
    <s v="EMP1560"/>
    <s v="Frank"/>
    <s v="Brown"/>
    <x v="0"/>
    <x v="5"/>
    <x v="5"/>
    <x v="2"/>
    <x v="493"/>
    <n v="89944.67"/>
    <s v="frank.brown@example.com"/>
    <s v="4064242955"/>
    <x v="3"/>
    <x v="1"/>
  </r>
  <r>
    <s v="EMP1561"/>
    <s v="Grace"/>
    <s v="Williams"/>
    <x v="1"/>
    <x v="5"/>
    <x v="3"/>
    <x v="0"/>
    <x v="494"/>
    <n v="57452.93"/>
    <s v="grace.williams@example.com"/>
    <s v="3343244740"/>
    <x v="2"/>
    <x v="0"/>
  </r>
  <r>
    <s v="EMP1562"/>
    <s v="Alice"/>
    <s v="Davis"/>
    <x v="0"/>
    <x v="2"/>
    <x v="0"/>
    <x v="0"/>
    <x v="495"/>
    <n v="97837.32"/>
    <s v="alice.davis@example.com"/>
    <s v="7595587208"/>
    <x v="1"/>
    <x v="1"/>
  </r>
  <r>
    <s v="EMP1563"/>
    <s v="Alice"/>
    <s v="Davis"/>
    <x v="3"/>
    <x v="2"/>
    <x v="5"/>
    <x v="0"/>
    <x v="404"/>
    <n v="106981.84"/>
    <s v="alice.davis@example.com"/>
    <s v="6289365434"/>
    <x v="3"/>
    <x v="0"/>
  </r>
  <r>
    <s v="EMP1564"/>
    <s v="David"/>
    <s v="Brown"/>
    <x v="1"/>
    <x v="1"/>
    <x v="4"/>
    <x v="1"/>
    <x v="496"/>
    <n v="105778.36"/>
    <s v="david.brown@example.com"/>
    <s v="8841834373"/>
    <x v="2"/>
    <x v="0"/>
  </r>
  <r>
    <s v="EMP1565"/>
    <s v="Alice"/>
    <s v="Johnson"/>
    <x v="2"/>
    <x v="1"/>
    <x v="3"/>
    <x v="1"/>
    <x v="162"/>
    <n v="117608.32000000001"/>
    <s v="alice.johnson@example.com"/>
    <s v="182727954"/>
    <x v="2"/>
    <x v="0"/>
  </r>
  <r>
    <s v="EMP1566"/>
    <s v="Eva"/>
    <s v="Johnson"/>
    <x v="1"/>
    <x v="4"/>
    <x v="3"/>
    <x v="0"/>
    <x v="497"/>
    <n v="99324.03"/>
    <s v="eva.johnson@example.com"/>
    <s v="9690515025"/>
    <x v="1"/>
    <x v="1"/>
  </r>
  <r>
    <s v="EMP1567"/>
    <s v="David"/>
    <s v="Garcia"/>
    <x v="1"/>
    <x v="5"/>
    <x v="3"/>
    <x v="0"/>
    <x v="498"/>
    <n v="55212.83"/>
    <s v="david.garcia@example.com"/>
    <s v="7551254277"/>
    <x v="1"/>
    <x v="0"/>
  </r>
  <r>
    <s v="EMP1568"/>
    <s v="Bob"/>
    <s v="Davis"/>
    <x v="2"/>
    <x v="3"/>
    <x v="3"/>
    <x v="2"/>
    <x v="499"/>
    <n v="68496.77"/>
    <s v="bob.davis@example.com"/>
    <s v="2079799666"/>
    <x v="0"/>
    <x v="1"/>
  </r>
  <r>
    <s v="EMP1569"/>
    <s v="Eva"/>
    <s v="Davis"/>
    <x v="0"/>
    <x v="5"/>
    <x v="3"/>
    <x v="1"/>
    <x v="288"/>
    <n v="52795.839999999997"/>
    <s v="eva.davis@example.com"/>
    <s v="3459576402"/>
    <x v="3"/>
    <x v="1"/>
  </r>
  <r>
    <s v="EMP1570"/>
    <s v="Alice"/>
    <s v="Miller"/>
    <x v="1"/>
    <x v="0"/>
    <x v="0"/>
    <x v="2"/>
    <x v="155"/>
    <n v="90087.39"/>
    <s v="alice.miller@example.com"/>
    <s v="8166496901"/>
    <x v="3"/>
    <x v="1"/>
  </r>
  <r>
    <s v="EMP1571"/>
    <s v="Frank"/>
    <s v="Williams"/>
    <x v="1"/>
    <x v="2"/>
    <x v="4"/>
    <x v="1"/>
    <x v="500"/>
    <n v="105038.08"/>
    <s v="frank.williams@example.com"/>
    <s v="8249839224"/>
    <x v="0"/>
    <x v="1"/>
  </r>
  <r>
    <s v="EMP1572"/>
    <s v="Grace"/>
    <s v="Smith"/>
    <x v="0"/>
    <x v="5"/>
    <x v="4"/>
    <x v="0"/>
    <x v="501"/>
    <n v="73231.850000000006"/>
    <s v="grace.smith@example.com"/>
    <s v="142576269"/>
    <x v="3"/>
    <x v="1"/>
  </r>
  <r>
    <s v="EMP1573"/>
    <s v="David"/>
    <s v="Johnson"/>
    <x v="1"/>
    <x v="4"/>
    <x v="3"/>
    <x v="1"/>
    <x v="502"/>
    <n v="102649.36"/>
    <s v="david.johnson@example.com"/>
    <s v="2324412335"/>
    <x v="3"/>
    <x v="1"/>
  </r>
  <r>
    <s v="EMP1574"/>
    <s v="Bob"/>
    <s v="Davis"/>
    <x v="3"/>
    <x v="1"/>
    <x v="4"/>
    <x v="1"/>
    <x v="503"/>
    <n v="114302.51"/>
    <s v="bob.davis@example.com"/>
    <s v="1328507250"/>
    <x v="3"/>
    <x v="1"/>
  </r>
  <r>
    <s v="EMP1575"/>
    <s v="Alice"/>
    <s v="Miller"/>
    <x v="3"/>
    <x v="1"/>
    <x v="1"/>
    <x v="2"/>
    <x v="504"/>
    <n v="87816.61"/>
    <s v="alice.miller@example.com"/>
    <s v="7863767315"/>
    <x v="3"/>
    <x v="1"/>
  </r>
  <r>
    <s v="EMP1576"/>
    <s v="Frank"/>
    <s v="Jones"/>
    <x v="1"/>
    <x v="4"/>
    <x v="3"/>
    <x v="2"/>
    <x v="125"/>
    <n v="70750.38"/>
    <s v="frank.jones@example.com"/>
    <s v="2526546967"/>
    <x v="3"/>
    <x v="1"/>
  </r>
  <r>
    <s v="EMP1577"/>
    <s v="Frank"/>
    <s v="Miller"/>
    <x v="1"/>
    <x v="3"/>
    <x v="1"/>
    <x v="0"/>
    <x v="505"/>
    <m/>
    <s v="frank.miller@example.com"/>
    <s v="1579039234"/>
    <x v="1"/>
    <x v="0"/>
  </r>
  <r>
    <s v="EMP1578"/>
    <s v="Bob"/>
    <s v="Johnson"/>
    <x v="1"/>
    <x v="0"/>
    <x v="2"/>
    <x v="0"/>
    <x v="506"/>
    <n v="97978.36"/>
    <s v="bob.johnson@example.com"/>
    <s v="5580996131"/>
    <x v="3"/>
    <x v="0"/>
  </r>
  <r>
    <s v="EMP1579"/>
    <s v="David"/>
    <s v="Johnson"/>
    <x v="1"/>
    <x v="0"/>
    <x v="2"/>
    <x v="2"/>
    <x v="507"/>
    <n v="107172.8"/>
    <s v="david.johnson@example.com"/>
    <s v="7303461561"/>
    <x v="1"/>
    <x v="0"/>
  </r>
  <r>
    <s v="EMP1580"/>
    <s v="Charlie"/>
    <s v="Miller"/>
    <x v="0"/>
    <x v="1"/>
    <x v="2"/>
    <x v="2"/>
    <x v="406"/>
    <n v="56126.46"/>
    <s v="charlie.miller@example.com"/>
    <s v="6244670461"/>
    <x v="3"/>
    <x v="0"/>
  </r>
  <r>
    <s v="EMP1581"/>
    <s v="Eva"/>
    <s v="Smith"/>
    <x v="1"/>
    <x v="3"/>
    <x v="5"/>
    <x v="0"/>
    <x v="508"/>
    <n v="78534.289999999994"/>
    <s v="eva.smith@example.com"/>
    <s v="2681715159"/>
    <x v="0"/>
    <x v="0"/>
  </r>
  <r>
    <s v="EMP1582"/>
    <s v="Grace"/>
    <s v="Brown"/>
    <x v="2"/>
    <x v="5"/>
    <x v="1"/>
    <x v="2"/>
    <x v="509"/>
    <m/>
    <s v="grace.brown@example.com"/>
    <s v="2529867075"/>
    <x v="2"/>
    <x v="1"/>
  </r>
  <r>
    <s v="EMP1583"/>
    <s v="Bob"/>
    <s v="Johnson"/>
    <x v="1"/>
    <x v="3"/>
    <x v="2"/>
    <x v="0"/>
    <x v="510"/>
    <n v="114963.34"/>
    <s v="bob.johnson@example.com"/>
    <s v="6046419784"/>
    <x v="1"/>
    <x v="1"/>
  </r>
  <r>
    <s v="EMP1584"/>
    <s v="Eva"/>
    <s v="Miller"/>
    <x v="1"/>
    <x v="3"/>
    <x v="0"/>
    <x v="2"/>
    <x v="511"/>
    <n v="77657.929999999993"/>
    <s v="eva.miller@example.com"/>
    <s v="7585126860"/>
    <x v="3"/>
    <x v="1"/>
  </r>
  <r>
    <s v="EMP1585"/>
    <s v="Heidi"/>
    <s v="Davis"/>
    <x v="1"/>
    <x v="4"/>
    <x v="4"/>
    <x v="0"/>
    <x v="512"/>
    <n v="77369.48"/>
    <s v="heidi.davis@example.com"/>
    <s v="2059438975"/>
    <x v="0"/>
    <x v="1"/>
  </r>
  <r>
    <s v="EMP1586"/>
    <s v="Eva"/>
    <s v="Miller"/>
    <x v="1"/>
    <x v="5"/>
    <x v="2"/>
    <x v="1"/>
    <x v="513"/>
    <n v="76119.14"/>
    <s v="eva.miller@example.com"/>
    <s v="740177508"/>
    <x v="2"/>
    <x v="1"/>
  </r>
  <r>
    <s v="EMP1587"/>
    <s v="Charlie"/>
    <s v="Williams"/>
    <x v="0"/>
    <x v="3"/>
    <x v="1"/>
    <x v="1"/>
    <x v="171"/>
    <n v="77585.72"/>
    <s v="charlie.williams@example.com"/>
    <s v="5465408423"/>
    <x v="1"/>
    <x v="1"/>
  </r>
  <r>
    <s v="EMP1588"/>
    <s v="Bob"/>
    <s v="Brown"/>
    <x v="3"/>
    <x v="2"/>
    <x v="2"/>
    <x v="1"/>
    <x v="514"/>
    <n v="74069.62"/>
    <s v="bob.brown@example.com"/>
    <s v="5607540914"/>
    <x v="2"/>
    <x v="1"/>
  </r>
  <r>
    <s v="EMP1589"/>
    <s v="Charlie"/>
    <s v="Jones"/>
    <x v="1"/>
    <x v="2"/>
    <x v="4"/>
    <x v="1"/>
    <x v="120"/>
    <n v="67691.92"/>
    <s v="charlie.jones@example.com"/>
    <s v="863218121"/>
    <x v="0"/>
    <x v="0"/>
  </r>
  <r>
    <s v="EMP1590"/>
    <s v="Alice"/>
    <s v="Smith"/>
    <x v="1"/>
    <x v="1"/>
    <x v="2"/>
    <x v="1"/>
    <x v="515"/>
    <n v="70345.69"/>
    <s v="alice.smith@example.com"/>
    <s v="7645793896"/>
    <x v="1"/>
    <x v="0"/>
  </r>
  <r>
    <s v="EMP1591"/>
    <s v="Bob"/>
    <s v="Garcia"/>
    <x v="1"/>
    <x v="0"/>
    <x v="5"/>
    <x v="2"/>
    <x v="343"/>
    <n v="74999.69"/>
    <s v="bob.garcia@example.com"/>
    <s v="155029167"/>
    <x v="2"/>
    <x v="0"/>
  </r>
  <r>
    <s v="EMP1592"/>
    <s v="David"/>
    <s v="Jones"/>
    <x v="0"/>
    <x v="5"/>
    <x v="5"/>
    <x v="0"/>
    <x v="516"/>
    <n v="72245.02"/>
    <s v="david.jones@example.com"/>
    <s v="1546602415"/>
    <x v="3"/>
    <x v="0"/>
  </r>
  <r>
    <s v="EMP1593"/>
    <s v="Eva"/>
    <s v="Brown"/>
    <x v="1"/>
    <x v="2"/>
    <x v="5"/>
    <x v="1"/>
    <x v="517"/>
    <n v="106538.98"/>
    <s v="eva.brown@example.com"/>
    <s v="1394498829"/>
    <x v="1"/>
    <x v="1"/>
  </r>
  <r>
    <s v="EMP1594"/>
    <s v="Charlie"/>
    <s v="Brown"/>
    <x v="0"/>
    <x v="5"/>
    <x v="4"/>
    <x v="0"/>
    <x v="159"/>
    <n v="101787.14"/>
    <s v="charlie.brown@example.com"/>
    <s v="5973642479"/>
    <x v="2"/>
    <x v="1"/>
  </r>
  <r>
    <s v="EMP1595"/>
    <s v="Frank"/>
    <s v="Brown"/>
    <x v="1"/>
    <x v="0"/>
    <x v="2"/>
    <x v="2"/>
    <x v="518"/>
    <n v="83596.78"/>
    <s v="frank.brown@example.com"/>
    <s v="9624406305"/>
    <x v="0"/>
    <x v="1"/>
  </r>
  <r>
    <s v="EMP1596"/>
    <s v="Eva"/>
    <s v="Jones"/>
    <x v="2"/>
    <x v="4"/>
    <x v="1"/>
    <x v="0"/>
    <x v="267"/>
    <n v="92463.94"/>
    <s v="eva.jones@example.com"/>
    <s v="2447951329"/>
    <x v="0"/>
    <x v="0"/>
  </r>
  <r>
    <s v="EMP1597"/>
    <s v="Charlie"/>
    <s v="Davis"/>
    <x v="1"/>
    <x v="2"/>
    <x v="0"/>
    <x v="1"/>
    <x v="519"/>
    <n v="93863.32"/>
    <s v="charlie.davis@example.com"/>
    <s v="5319497968"/>
    <x v="1"/>
    <x v="1"/>
  </r>
  <r>
    <s v="EMP1598"/>
    <s v="Alice"/>
    <s v="Brown"/>
    <x v="1"/>
    <x v="0"/>
    <x v="1"/>
    <x v="1"/>
    <x v="520"/>
    <n v="78359.41"/>
    <s v="alice.brown@example.com"/>
    <s v="5867805554"/>
    <x v="2"/>
    <x v="1"/>
  </r>
  <r>
    <s v="EMP1599"/>
    <s v="Alice"/>
    <s v="Miller"/>
    <x v="1"/>
    <x v="5"/>
    <x v="5"/>
    <x v="1"/>
    <x v="381"/>
    <n v="95773.57"/>
    <s v="alice.miller@example.com"/>
    <s v="7277382645"/>
    <x v="1"/>
    <x v="1"/>
  </r>
  <r>
    <s v="EMP1600"/>
    <s v="Grace"/>
    <s v="Jones"/>
    <x v="1"/>
    <x v="4"/>
    <x v="2"/>
    <x v="2"/>
    <x v="348"/>
    <n v="82529.08"/>
    <s v="grace.jones@example.com"/>
    <s v="917851384"/>
    <x v="1"/>
    <x v="0"/>
  </r>
  <r>
    <s v="EMP1601"/>
    <s v="Grace"/>
    <s v="Garcia"/>
    <x v="3"/>
    <x v="4"/>
    <x v="1"/>
    <x v="1"/>
    <x v="521"/>
    <n v="109358.73"/>
    <s v="grace.garcia@example.com"/>
    <s v="4457702991"/>
    <x v="2"/>
    <x v="1"/>
  </r>
  <r>
    <s v="EMP1602"/>
    <s v="Charlie"/>
    <s v="Brown"/>
    <x v="1"/>
    <x v="2"/>
    <x v="3"/>
    <x v="0"/>
    <x v="522"/>
    <n v="89645.01"/>
    <s v="charlie.brown@example.com"/>
    <s v="9596604872"/>
    <x v="2"/>
    <x v="0"/>
  </r>
  <r>
    <s v="EMP1603"/>
    <s v="Charlie"/>
    <s v="Miller"/>
    <x v="2"/>
    <x v="5"/>
    <x v="1"/>
    <x v="0"/>
    <x v="303"/>
    <n v="84134.95"/>
    <s v="charlie.miller@example.com"/>
    <s v="6826911632"/>
    <x v="3"/>
    <x v="0"/>
  </r>
  <r>
    <s v="EMP1604"/>
    <s v="Frank"/>
    <s v="Davis"/>
    <x v="1"/>
    <x v="3"/>
    <x v="2"/>
    <x v="0"/>
    <x v="64"/>
    <n v="113540.83"/>
    <s v="frank.davis@example.com"/>
    <s v="1942268652"/>
    <x v="2"/>
    <x v="0"/>
  </r>
  <r>
    <s v="EMP1605"/>
    <s v="Heidi"/>
    <s v="Williams"/>
    <x v="2"/>
    <x v="3"/>
    <x v="1"/>
    <x v="1"/>
    <x v="523"/>
    <n v="57225.75"/>
    <s v="heidi.williams@example.com"/>
    <s v="6945515887"/>
    <x v="0"/>
    <x v="0"/>
  </r>
  <r>
    <s v="EMP1606"/>
    <s v="Eva"/>
    <s v="Davis"/>
    <x v="3"/>
    <x v="4"/>
    <x v="5"/>
    <x v="1"/>
    <x v="524"/>
    <n v="76366.17"/>
    <s v="eva.davis@example.com"/>
    <s v="6367747225"/>
    <x v="1"/>
    <x v="1"/>
  </r>
  <r>
    <s v="EMP1607"/>
    <s v="Bob"/>
    <s v="Garcia"/>
    <x v="1"/>
    <x v="5"/>
    <x v="3"/>
    <x v="0"/>
    <x v="525"/>
    <n v="78408.95"/>
    <s v="bob.garcia@example.com"/>
    <s v="4085721695"/>
    <x v="1"/>
    <x v="0"/>
  </r>
  <r>
    <s v="EMP1608"/>
    <s v="Frank"/>
    <s v="Brown"/>
    <x v="2"/>
    <x v="1"/>
    <x v="5"/>
    <x v="0"/>
    <x v="526"/>
    <n v="111742.39999999999"/>
    <s v="frank.brown@example.com"/>
    <s v="6630932997"/>
    <x v="0"/>
    <x v="0"/>
  </r>
  <r>
    <s v="EMP1609"/>
    <s v="David"/>
    <s v="Garcia"/>
    <x v="0"/>
    <x v="4"/>
    <x v="2"/>
    <x v="2"/>
    <x v="22"/>
    <n v="60516.83"/>
    <s v="david.garcia@example.com"/>
    <s v="1996059328"/>
    <x v="2"/>
    <x v="1"/>
  </r>
  <r>
    <s v="EMP1610"/>
    <s v="Bob"/>
    <s v="Jones"/>
    <x v="1"/>
    <x v="1"/>
    <x v="0"/>
    <x v="1"/>
    <x v="527"/>
    <n v="83706.17"/>
    <s v="bob.jones@example.com"/>
    <s v="7150968831"/>
    <x v="0"/>
    <x v="1"/>
  </r>
  <r>
    <s v="EMP1611"/>
    <s v="David"/>
    <s v="Johnson"/>
    <x v="1"/>
    <x v="2"/>
    <x v="2"/>
    <x v="2"/>
    <x v="528"/>
    <n v="67056.92"/>
    <s v="david.johnson@example.com"/>
    <s v="7532735240"/>
    <x v="0"/>
    <x v="0"/>
  </r>
  <r>
    <s v="EMP1612"/>
    <s v="Charlie"/>
    <s v="Brown"/>
    <x v="1"/>
    <x v="0"/>
    <x v="5"/>
    <x v="0"/>
    <x v="529"/>
    <n v="90058.85"/>
    <s v="charlie.brown@example.com"/>
    <s v="397739731"/>
    <x v="3"/>
    <x v="1"/>
  </r>
  <r>
    <s v="EMP1613"/>
    <s v="Eva"/>
    <s v="Johnson"/>
    <x v="1"/>
    <x v="4"/>
    <x v="3"/>
    <x v="1"/>
    <x v="530"/>
    <n v="94633.59"/>
    <s v="eva.johnson@example.com"/>
    <s v="7819523709"/>
    <x v="0"/>
    <x v="0"/>
  </r>
  <r>
    <s v="EMP1614"/>
    <s v="Eva"/>
    <s v="Miller"/>
    <x v="0"/>
    <x v="2"/>
    <x v="3"/>
    <x v="1"/>
    <x v="531"/>
    <n v="110711.17"/>
    <s v="eva.miller@example.com"/>
    <s v="687616480"/>
    <x v="1"/>
    <x v="0"/>
  </r>
  <r>
    <s v="EMP1615"/>
    <s v="Grace"/>
    <s v="Williams"/>
    <x v="1"/>
    <x v="2"/>
    <x v="5"/>
    <x v="0"/>
    <x v="128"/>
    <n v="96175.41"/>
    <s v="grace.williams@example.com"/>
    <s v="9807704604"/>
    <x v="0"/>
    <x v="0"/>
  </r>
  <r>
    <s v="EMP1616"/>
    <s v="Frank"/>
    <s v="Smith"/>
    <x v="2"/>
    <x v="4"/>
    <x v="5"/>
    <x v="0"/>
    <x v="532"/>
    <n v="76474.789999999994"/>
    <s v="frank.smith@example.com"/>
    <s v="6876112490"/>
    <x v="1"/>
    <x v="0"/>
  </r>
  <r>
    <s v="EMP1617"/>
    <s v="Alice"/>
    <s v="Garcia"/>
    <x v="1"/>
    <x v="4"/>
    <x v="5"/>
    <x v="1"/>
    <x v="533"/>
    <n v="107855.99"/>
    <s v="alice.garcia@example.com"/>
    <s v="2565237340"/>
    <x v="1"/>
    <x v="1"/>
  </r>
  <r>
    <s v="EMP1618"/>
    <s v="Charlie"/>
    <s v="Davis"/>
    <x v="2"/>
    <x v="4"/>
    <x v="5"/>
    <x v="0"/>
    <x v="518"/>
    <n v="104870.78"/>
    <s v="charlie.davis@example.com"/>
    <s v="5177345474"/>
    <x v="1"/>
    <x v="0"/>
  </r>
  <r>
    <s v="EMP1619"/>
    <s v="Bob"/>
    <s v="Williams"/>
    <x v="0"/>
    <x v="1"/>
    <x v="2"/>
    <x v="0"/>
    <x v="534"/>
    <m/>
    <s v="bob.williams@example.com"/>
    <s v="7494902283"/>
    <x v="2"/>
    <x v="1"/>
  </r>
  <r>
    <s v="EMP1620"/>
    <s v="Grace"/>
    <s v="Brown"/>
    <x v="1"/>
    <x v="1"/>
    <x v="0"/>
    <x v="0"/>
    <x v="535"/>
    <n v="87087.16"/>
    <s v="grace.brown@example.com"/>
    <s v="359544293"/>
    <x v="3"/>
    <x v="1"/>
  </r>
  <r>
    <s v="EMP1621"/>
    <s v="Heidi"/>
    <s v="Johnson"/>
    <x v="2"/>
    <x v="5"/>
    <x v="5"/>
    <x v="1"/>
    <x v="303"/>
    <n v="108603.34"/>
    <s v="heidi.johnson@example.com"/>
    <s v="7742229463"/>
    <x v="1"/>
    <x v="1"/>
  </r>
  <r>
    <s v="EMP1622"/>
    <s v="Grace"/>
    <s v="Davis"/>
    <x v="1"/>
    <x v="5"/>
    <x v="3"/>
    <x v="0"/>
    <x v="536"/>
    <n v="55867.23"/>
    <s v="grace.davis@example.com"/>
    <s v="3039429044"/>
    <x v="1"/>
    <x v="1"/>
  </r>
  <r>
    <s v="EMP1623"/>
    <s v="Grace"/>
    <s v="Johnson"/>
    <x v="3"/>
    <x v="2"/>
    <x v="1"/>
    <x v="1"/>
    <x v="537"/>
    <n v="105259.57"/>
    <s v="grace.johnson@example.com"/>
    <s v="8867925297"/>
    <x v="2"/>
    <x v="0"/>
  </r>
  <r>
    <s v="EMP1624"/>
    <s v="Bob"/>
    <s v="Jones"/>
    <x v="1"/>
    <x v="3"/>
    <x v="3"/>
    <x v="1"/>
    <x v="538"/>
    <n v="98143.67"/>
    <s v="bob.jones@example.com"/>
    <s v="5856728726"/>
    <x v="1"/>
    <x v="1"/>
  </r>
  <r>
    <s v="EMP1625"/>
    <s v="Frank"/>
    <s v="Johnson"/>
    <x v="0"/>
    <x v="2"/>
    <x v="3"/>
    <x v="1"/>
    <x v="539"/>
    <n v="67754.289999999994"/>
    <s v="frank.johnson@example.com"/>
    <s v="6015343323"/>
    <x v="0"/>
    <x v="0"/>
  </r>
  <r>
    <s v="EMP1626"/>
    <s v="Grace"/>
    <s v="Jones"/>
    <x v="1"/>
    <x v="5"/>
    <x v="5"/>
    <x v="2"/>
    <x v="281"/>
    <n v="77821.789999999994"/>
    <s v="grace.jones@example.com"/>
    <s v="9135779082"/>
    <x v="0"/>
    <x v="1"/>
  </r>
  <r>
    <s v="EMP1627"/>
    <s v="Heidi"/>
    <s v="Miller"/>
    <x v="1"/>
    <x v="5"/>
    <x v="5"/>
    <x v="1"/>
    <x v="540"/>
    <n v="67764.44"/>
    <s v="heidi.miller@example.com"/>
    <s v="3506158147"/>
    <x v="3"/>
    <x v="1"/>
  </r>
  <r>
    <s v="EMP1628"/>
    <s v="Frank"/>
    <s v="Davis"/>
    <x v="2"/>
    <x v="0"/>
    <x v="4"/>
    <x v="1"/>
    <x v="481"/>
    <n v="102346.99"/>
    <s v="frank.davis@example.com"/>
    <s v="8810798333"/>
    <x v="1"/>
    <x v="0"/>
  </r>
  <r>
    <s v="EMP1629"/>
    <s v="Charlie"/>
    <s v="Davis"/>
    <x v="0"/>
    <x v="2"/>
    <x v="5"/>
    <x v="2"/>
    <x v="295"/>
    <n v="73690.649999999994"/>
    <s v="charlie.davis@example.com"/>
    <s v="2337209483"/>
    <x v="2"/>
    <x v="0"/>
  </r>
  <r>
    <s v="EMP1630"/>
    <s v="Alice"/>
    <s v="Smith"/>
    <x v="1"/>
    <x v="1"/>
    <x v="2"/>
    <x v="0"/>
    <x v="134"/>
    <n v="56376.2"/>
    <s v="alice.smith@example.com"/>
    <s v="1312840332"/>
    <x v="0"/>
    <x v="0"/>
  </r>
  <r>
    <s v="EMP1631"/>
    <s v="Grace"/>
    <s v="Brown"/>
    <x v="0"/>
    <x v="3"/>
    <x v="0"/>
    <x v="0"/>
    <x v="224"/>
    <n v="55602.78"/>
    <s v="grace.brown@example.com"/>
    <s v="9977180512"/>
    <x v="2"/>
    <x v="1"/>
  </r>
  <r>
    <s v="EMP1632"/>
    <s v="Grace"/>
    <s v="Jones"/>
    <x v="2"/>
    <x v="4"/>
    <x v="2"/>
    <x v="1"/>
    <x v="495"/>
    <n v="99812.41"/>
    <s v="grace.jones@example.com"/>
    <s v="7171731892"/>
    <x v="2"/>
    <x v="1"/>
  </r>
  <r>
    <s v="EMP1633"/>
    <s v="Charlie"/>
    <s v="Smith"/>
    <x v="2"/>
    <x v="1"/>
    <x v="1"/>
    <x v="0"/>
    <x v="541"/>
    <n v="95981.9"/>
    <s v="charlie.smith@example.com"/>
    <s v="9749096172"/>
    <x v="0"/>
    <x v="0"/>
  </r>
  <r>
    <s v="EMP1634"/>
    <s v="Eva"/>
    <s v="Johnson"/>
    <x v="1"/>
    <x v="3"/>
    <x v="5"/>
    <x v="1"/>
    <x v="542"/>
    <n v="98891.48"/>
    <s v="eva.johnson@example.com"/>
    <s v="9970469471"/>
    <x v="2"/>
    <x v="0"/>
  </r>
  <r>
    <s v="EMP1635"/>
    <s v="Alice"/>
    <s v="Johnson"/>
    <x v="3"/>
    <x v="2"/>
    <x v="2"/>
    <x v="0"/>
    <x v="410"/>
    <n v="56079"/>
    <s v="alice.johnson@example.com"/>
    <s v="5878444834"/>
    <x v="0"/>
    <x v="0"/>
  </r>
  <r>
    <s v="EMP1636"/>
    <s v="Grace"/>
    <s v="Smith"/>
    <x v="3"/>
    <x v="0"/>
    <x v="3"/>
    <x v="2"/>
    <x v="543"/>
    <m/>
    <s v="grace.smith@example.com"/>
    <s v="4884712704"/>
    <x v="2"/>
    <x v="0"/>
  </r>
  <r>
    <s v="EMP1637"/>
    <s v="Bob"/>
    <s v="Davis"/>
    <x v="0"/>
    <x v="4"/>
    <x v="0"/>
    <x v="1"/>
    <x v="204"/>
    <n v="89137.97"/>
    <s v="bob.davis@example.com"/>
    <s v="8772216416"/>
    <x v="0"/>
    <x v="1"/>
  </r>
  <r>
    <s v="EMP1638"/>
    <s v="Frank"/>
    <s v="Johnson"/>
    <x v="3"/>
    <x v="2"/>
    <x v="5"/>
    <x v="0"/>
    <x v="544"/>
    <n v="115079.97"/>
    <s v="frank.johnson@example.com"/>
    <s v="5823133483"/>
    <x v="1"/>
    <x v="0"/>
  </r>
  <r>
    <s v="EMP1639"/>
    <s v="Eva"/>
    <s v="Garcia"/>
    <x v="1"/>
    <x v="1"/>
    <x v="5"/>
    <x v="0"/>
    <x v="545"/>
    <n v="55067.02"/>
    <s v="eva.garcia@example.com"/>
    <s v="5871493924"/>
    <x v="3"/>
    <x v="0"/>
  </r>
  <r>
    <s v="EMP1640"/>
    <s v="Bob"/>
    <s v="Miller"/>
    <x v="1"/>
    <x v="5"/>
    <x v="5"/>
    <x v="1"/>
    <x v="546"/>
    <n v="98593.43"/>
    <s v="bob.miller@example.com"/>
    <s v="2362292586"/>
    <x v="0"/>
    <x v="0"/>
  </r>
  <r>
    <s v="EMP1641"/>
    <s v="Heidi"/>
    <s v="Miller"/>
    <x v="1"/>
    <x v="5"/>
    <x v="3"/>
    <x v="1"/>
    <x v="547"/>
    <n v="112756.67"/>
    <s v="heidi.miller@example.com"/>
    <s v="9643474523"/>
    <x v="0"/>
    <x v="0"/>
  </r>
  <r>
    <s v="EMP1642"/>
    <s v="Heidi"/>
    <s v="Garcia"/>
    <x v="0"/>
    <x v="5"/>
    <x v="1"/>
    <x v="2"/>
    <x v="497"/>
    <n v="105205.92"/>
    <s v="heidi.garcia@example.com"/>
    <s v="5557469659"/>
    <x v="3"/>
    <x v="1"/>
  </r>
  <r>
    <s v="EMP1643"/>
    <s v="David"/>
    <s v="Smith"/>
    <x v="3"/>
    <x v="1"/>
    <x v="0"/>
    <x v="1"/>
    <x v="207"/>
    <n v="50680.62"/>
    <s v="david.smith@example.com"/>
    <s v="6065274032"/>
    <x v="0"/>
    <x v="0"/>
  </r>
  <r>
    <s v="EMP1644"/>
    <s v="David"/>
    <s v="Garcia"/>
    <x v="3"/>
    <x v="3"/>
    <x v="3"/>
    <x v="1"/>
    <x v="548"/>
    <n v="107475.23"/>
    <s v="david.garcia@example.com"/>
    <s v="4450566587"/>
    <x v="0"/>
    <x v="1"/>
  </r>
  <r>
    <s v="EMP1645"/>
    <s v="Charlie"/>
    <s v="Jones"/>
    <x v="2"/>
    <x v="5"/>
    <x v="0"/>
    <x v="0"/>
    <x v="549"/>
    <n v="68835.3"/>
    <s v="charlie.jones@example.com"/>
    <s v="3398741131"/>
    <x v="2"/>
    <x v="0"/>
  </r>
  <r>
    <s v="EMP1646"/>
    <s v="David"/>
    <s v="Jones"/>
    <x v="2"/>
    <x v="0"/>
    <x v="4"/>
    <x v="0"/>
    <x v="550"/>
    <n v="66943.960000000006"/>
    <s v="david.jones@example.com"/>
    <s v="5797067348"/>
    <x v="3"/>
    <x v="0"/>
  </r>
  <r>
    <s v="EMP1647"/>
    <s v="David"/>
    <s v="Smith"/>
    <x v="1"/>
    <x v="2"/>
    <x v="5"/>
    <x v="2"/>
    <x v="551"/>
    <n v="104525.69"/>
    <s v="david.smith@example.com"/>
    <s v="9601054856"/>
    <x v="1"/>
    <x v="1"/>
  </r>
  <r>
    <s v="EMP1648"/>
    <s v="Bob"/>
    <s v="Garcia"/>
    <x v="2"/>
    <x v="4"/>
    <x v="1"/>
    <x v="1"/>
    <x v="552"/>
    <n v="109360.74"/>
    <s v="bob.garcia@example.com"/>
    <s v="4172156228"/>
    <x v="0"/>
    <x v="0"/>
  </r>
  <r>
    <s v="EMP1649"/>
    <s v="Frank"/>
    <s v="Jones"/>
    <x v="2"/>
    <x v="4"/>
    <x v="0"/>
    <x v="2"/>
    <x v="553"/>
    <n v="118907.63"/>
    <s v="frank.jones@example.com"/>
    <s v="4938173597"/>
    <x v="3"/>
    <x v="1"/>
  </r>
  <r>
    <s v="EMP1650"/>
    <s v="Eva"/>
    <s v="Davis"/>
    <x v="2"/>
    <x v="2"/>
    <x v="5"/>
    <x v="0"/>
    <x v="554"/>
    <n v="86801.48"/>
    <s v="eva.davis@example.com"/>
    <s v="4884021556"/>
    <x v="2"/>
    <x v="1"/>
  </r>
  <r>
    <s v="EMP1651"/>
    <s v="Alice"/>
    <s v="Garcia"/>
    <x v="1"/>
    <x v="5"/>
    <x v="3"/>
    <x v="1"/>
    <x v="555"/>
    <n v="62236.03"/>
    <s v="alice.garcia@example.com"/>
    <s v="3257375533"/>
    <x v="1"/>
    <x v="0"/>
  </r>
  <r>
    <s v="EMP1652"/>
    <s v="Heidi"/>
    <s v="Davis"/>
    <x v="3"/>
    <x v="0"/>
    <x v="1"/>
    <x v="0"/>
    <x v="380"/>
    <n v="64752.67"/>
    <s v="heidi.davis@example.com"/>
    <s v="4902166669"/>
    <x v="3"/>
    <x v="1"/>
  </r>
  <r>
    <s v="EMP1653"/>
    <s v="Frank"/>
    <s v="Jones"/>
    <x v="3"/>
    <x v="4"/>
    <x v="0"/>
    <x v="0"/>
    <x v="556"/>
    <n v="68399.429999999993"/>
    <s v="frank.jones@example.com"/>
    <s v="8085096084"/>
    <x v="1"/>
    <x v="1"/>
  </r>
  <r>
    <s v="EMP1654"/>
    <s v="Frank"/>
    <s v="Miller"/>
    <x v="3"/>
    <x v="2"/>
    <x v="3"/>
    <x v="2"/>
    <x v="557"/>
    <n v="79336.509999999995"/>
    <s v="frank.miller@example.com"/>
    <s v="8749511917"/>
    <x v="1"/>
    <x v="1"/>
  </r>
  <r>
    <s v="EMP1655"/>
    <s v="Frank"/>
    <s v="Jones"/>
    <x v="2"/>
    <x v="5"/>
    <x v="3"/>
    <x v="0"/>
    <x v="558"/>
    <n v="59179.74"/>
    <s v="frank.jones@example.com"/>
    <s v="1828197930"/>
    <x v="1"/>
    <x v="1"/>
  </r>
  <r>
    <s v="EMP1656"/>
    <s v="David"/>
    <s v="Davis"/>
    <x v="0"/>
    <x v="0"/>
    <x v="0"/>
    <x v="0"/>
    <x v="559"/>
    <n v="80255.31"/>
    <s v="david.davis@example.com"/>
    <s v="6477251294"/>
    <x v="0"/>
    <x v="1"/>
  </r>
  <r>
    <s v="EMP1657"/>
    <s v="Charlie"/>
    <s v="Williams"/>
    <x v="1"/>
    <x v="1"/>
    <x v="1"/>
    <x v="0"/>
    <x v="560"/>
    <n v="84971.85"/>
    <s v="charlie.williams@example.com"/>
    <s v="7860694095"/>
    <x v="0"/>
    <x v="1"/>
  </r>
  <r>
    <s v="EMP1658"/>
    <s v="Frank"/>
    <s v="Brown"/>
    <x v="2"/>
    <x v="5"/>
    <x v="0"/>
    <x v="1"/>
    <x v="561"/>
    <n v="89748.42"/>
    <s v="frank.brown@example.com"/>
    <s v="35624394"/>
    <x v="2"/>
    <x v="1"/>
  </r>
  <r>
    <s v="EMP1659"/>
    <s v="Charlie"/>
    <s v="Johnson"/>
    <x v="0"/>
    <x v="2"/>
    <x v="0"/>
    <x v="2"/>
    <x v="403"/>
    <n v="94090.35"/>
    <s v="charlie.johnson@example.com"/>
    <s v="8739592322"/>
    <x v="2"/>
    <x v="1"/>
  </r>
  <r>
    <s v="EMP1660"/>
    <s v="Frank"/>
    <s v="Garcia"/>
    <x v="3"/>
    <x v="5"/>
    <x v="0"/>
    <x v="1"/>
    <x v="482"/>
    <n v="115229.12"/>
    <s v="frank.garcia@example.com"/>
    <s v="4210890284"/>
    <x v="3"/>
    <x v="0"/>
  </r>
  <r>
    <s v="EMP1661"/>
    <s v="Alice"/>
    <s v="Williams"/>
    <x v="2"/>
    <x v="3"/>
    <x v="0"/>
    <x v="1"/>
    <x v="562"/>
    <n v="63927.07"/>
    <s v="alice.williams@example.com"/>
    <s v="1553334263"/>
    <x v="2"/>
    <x v="0"/>
  </r>
  <r>
    <s v="EMP1662"/>
    <s v="Charlie"/>
    <s v="Jones"/>
    <x v="3"/>
    <x v="5"/>
    <x v="0"/>
    <x v="1"/>
    <x v="563"/>
    <n v="84124.56"/>
    <s v="charlie.jones@example.com"/>
    <s v="3350271606"/>
    <x v="1"/>
    <x v="1"/>
  </r>
  <r>
    <s v="EMP1663"/>
    <s v="Bob"/>
    <s v="Miller"/>
    <x v="2"/>
    <x v="4"/>
    <x v="0"/>
    <x v="2"/>
    <x v="564"/>
    <n v="116961.61"/>
    <s v="bob.miller@example.com"/>
    <s v="3607763368"/>
    <x v="1"/>
    <x v="0"/>
  </r>
  <r>
    <s v="EMP1664"/>
    <s v="Frank"/>
    <s v="Smith"/>
    <x v="2"/>
    <x v="0"/>
    <x v="5"/>
    <x v="1"/>
    <x v="92"/>
    <n v="109423.05"/>
    <s v="frank.smith@example.com"/>
    <s v="1128981230"/>
    <x v="0"/>
    <x v="1"/>
  </r>
  <r>
    <s v="EMP1665"/>
    <s v="Charlie"/>
    <s v="Jones"/>
    <x v="3"/>
    <x v="2"/>
    <x v="0"/>
    <x v="2"/>
    <x v="266"/>
    <n v="70394.94"/>
    <s v="charlie.jones@example.com"/>
    <s v="7955633184"/>
    <x v="1"/>
    <x v="1"/>
  </r>
  <r>
    <s v="EMP1666"/>
    <s v="Grace"/>
    <s v="Miller"/>
    <x v="3"/>
    <x v="1"/>
    <x v="0"/>
    <x v="1"/>
    <x v="565"/>
    <n v="86465.5"/>
    <s v="grace.miller@example.com"/>
    <s v="7481700665"/>
    <x v="3"/>
    <x v="0"/>
  </r>
  <r>
    <s v="EMP1667"/>
    <s v="Charlie"/>
    <s v="Brown"/>
    <x v="1"/>
    <x v="3"/>
    <x v="4"/>
    <x v="1"/>
    <x v="566"/>
    <n v="96341.58"/>
    <s v="charlie.brown@example.com"/>
    <s v="1554164315"/>
    <x v="1"/>
    <x v="1"/>
  </r>
  <r>
    <s v="EMP1668"/>
    <s v="Bob"/>
    <s v="Jones"/>
    <x v="1"/>
    <x v="2"/>
    <x v="3"/>
    <x v="0"/>
    <x v="567"/>
    <n v="54465.47"/>
    <s v="bob.jones@example.com"/>
    <s v="7045023289"/>
    <x v="1"/>
    <x v="1"/>
  </r>
  <r>
    <s v="EMP1669"/>
    <s v="Alice"/>
    <s v="Davis"/>
    <x v="0"/>
    <x v="1"/>
    <x v="5"/>
    <x v="0"/>
    <x v="568"/>
    <n v="68371.66"/>
    <s v="alice.davis@example.com"/>
    <s v="2822700933"/>
    <x v="3"/>
    <x v="1"/>
  </r>
  <r>
    <s v="EMP1670"/>
    <s v="Grace"/>
    <s v="Smith"/>
    <x v="3"/>
    <x v="2"/>
    <x v="4"/>
    <x v="1"/>
    <x v="192"/>
    <n v="81021.23"/>
    <s v="grace.smith@example.com"/>
    <s v="5962622821"/>
    <x v="2"/>
    <x v="1"/>
  </r>
  <r>
    <s v="EMP1671"/>
    <s v="Charlie"/>
    <s v="Miller"/>
    <x v="0"/>
    <x v="3"/>
    <x v="2"/>
    <x v="2"/>
    <x v="569"/>
    <n v="114069.07"/>
    <s v="charlie.miller@example.com"/>
    <s v="5120734653"/>
    <x v="2"/>
    <x v="0"/>
  </r>
  <r>
    <s v="EMP1672"/>
    <s v="Heidi"/>
    <s v="Miller"/>
    <x v="1"/>
    <x v="5"/>
    <x v="5"/>
    <x v="2"/>
    <x v="570"/>
    <n v="117867.96"/>
    <s v="heidi.miller@example.com"/>
    <s v="9500507025"/>
    <x v="3"/>
    <x v="1"/>
  </r>
  <r>
    <s v="EMP1673"/>
    <s v="Charlie"/>
    <s v="Miller"/>
    <x v="1"/>
    <x v="4"/>
    <x v="3"/>
    <x v="1"/>
    <x v="548"/>
    <n v="94509.58"/>
    <s v="charlie.miller@example.com"/>
    <s v="869822104"/>
    <x v="0"/>
    <x v="1"/>
  </r>
  <r>
    <s v="EMP1674"/>
    <s v="Eva"/>
    <s v="Brown"/>
    <x v="3"/>
    <x v="1"/>
    <x v="5"/>
    <x v="0"/>
    <x v="10"/>
    <n v="56268.78"/>
    <s v="eva.brown@example.com"/>
    <s v="3161177686"/>
    <x v="1"/>
    <x v="1"/>
  </r>
  <r>
    <s v="EMP1675"/>
    <s v="Grace"/>
    <s v="Jones"/>
    <x v="3"/>
    <x v="2"/>
    <x v="0"/>
    <x v="0"/>
    <x v="571"/>
    <n v="86632.14"/>
    <s v="grace.jones@example.com"/>
    <s v="2904774257"/>
    <x v="3"/>
    <x v="0"/>
  </r>
  <r>
    <s v="EMP1676"/>
    <s v="Charlie"/>
    <s v="Brown"/>
    <x v="3"/>
    <x v="5"/>
    <x v="3"/>
    <x v="1"/>
    <x v="368"/>
    <n v="98143.9"/>
    <s v="charlie.brown@example.com"/>
    <s v="5917793237"/>
    <x v="1"/>
    <x v="1"/>
  </r>
  <r>
    <s v="EMP1677"/>
    <s v="Heidi"/>
    <s v="Garcia"/>
    <x v="3"/>
    <x v="3"/>
    <x v="3"/>
    <x v="2"/>
    <x v="346"/>
    <m/>
    <s v="heidi.garcia@example.com"/>
    <s v="2231164912"/>
    <x v="0"/>
    <x v="0"/>
  </r>
  <r>
    <s v="EMP1678"/>
    <s v="Frank"/>
    <s v="Johnson"/>
    <x v="1"/>
    <x v="1"/>
    <x v="5"/>
    <x v="2"/>
    <x v="572"/>
    <n v="67492.73"/>
    <s v="frank.johnson@example.com"/>
    <s v="3424579888"/>
    <x v="1"/>
    <x v="0"/>
  </r>
  <r>
    <s v="EMP1679"/>
    <s v="Grace"/>
    <s v="Johnson"/>
    <x v="2"/>
    <x v="2"/>
    <x v="0"/>
    <x v="0"/>
    <x v="573"/>
    <n v="93772.61"/>
    <s v="grace.johnson@example.com"/>
    <s v="4256529059"/>
    <x v="3"/>
    <x v="1"/>
  </r>
  <r>
    <s v="EMP1680"/>
    <s v="Eva"/>
    <s v="Garcia"/>
    <x v="3"/>
    <x v="0"/>
    <x v="2"/>
    <x v="1"/>
    <x v="574"/>
    <n v="68817.539999999994"/>
    <s v="eva.garcia@example.com"/>
    <s v="3202032649"/>
    <x v="1"/>
    <x v="1"/>
  </r>
  <r>
    <s v="EMP1681"/>
    <s v="Bob"/>
    <s v="Jones"/>
    <x v="1"/>
    <x v="2"/>
    <x v="0"/>
    <x v="0"/>
    <x v="575"/>
    <n v="81874.009999999995"/>
    <s v="bob.jones@example.com"/>
    <s v="9775396736"/>
    <x v="2"/>
    <x v="0"/>
  </r>
  <r>
    <s v="EMP1682"/>
    <s v="Heidi"/>
    <s v="Davis"/>
    <x v="1"/>
    <x v="5"/>
    <x v="1"/>
    <x v="0"/>
    <x v="576"/>
    <n v="117880.14"/>
    <s v="heidi.davis@example.com"/>
    <s v="9487148551"/>
    <x v="0"/>
    <x v="1"/>
  </r>
  <r>
    <s v="EMP1683"/>
    <s v="Bob"/>
    <s v="Brown"/>
    <x v="3"/>
    <x v="5"/>
    <x v="4"/>
    <x v="1"/>
    <x v="40"/>
    <n v="100897.49"/>
    <s v="bob.brown@example.com"/>
    <s v="4578715840"/>
    <x v="0"/>
    <x v="0"/>
  </r>
  <r>
    <s v="EMP1684"/>
    <s v="Charlie"/>
    <s v="Smith"/>
    <x v="0"/>
    <x v="1"/>
    <x v="4"/>
    <x v="2"/>
    <x v="577"/>
    <n v="71810.37"/>
    <s v="charlie.smith@example.com"/>
    <s v="5608213710"/>
    <x v="0"/>
    <x v="0"/>
  </r>
  <r>
    <s v="EMP1685"/>
    <s v="Frank"/>
    <s v="Miller"/>
    <x v="2"/>
    <x v="0"/>
    <x v="1"/>
    <x v="2"/>
    <x v="578"/>
    <n v="109048.24"/>
    <s v="frank.miller@example.com"/>
    <s v="8425476817"/>
    <x v="3"/>
    <x v="1"/>
  </r>
  <r>
    <s v="EMP1686"/>
    <s v="Alice"/>
    <s v="Miller"/>
    <x v="3"/>
    <x v="1"/>
    <x v="1"/>
    <x v="1"/>
    <x v="579"/>
    <n v="62712.26"/>
    <s v="alice.miller@example.com"/>
    <s v="2683230357"/>
    <x v="0"/>
    <x v="1"/>
  </r>
  <r>
    <s v="EMP1687"/>
    <s v="Eva"/>
    <s v="Jones"/>
    <x v="2"/>
    <x v="3"/>
    <x v="1"/>
    <x v="1"/>
    <x v="29"/>
    <n v="76935.850000000006"/>
    <s v="eva.jones@example.com"/>
    <s v="9298808582"/>
    <x v="2"/>
    <x v="0"/>
  </r>
  <r>
    <s v="EMP1688"/>
    <s v="David"/>
    <s v="Davis"/>
    <x v="0"/>
    <x v="2"/>
    <x v="3"/>
    <x v="1"/>
    <x v="580"/>
    <n v="56577.22"/>
    <s v="david.davis@example.com"/>
    <s v="8252129327"/>
    <x v="3"/>
    <x v="0"/>
  </r>
  <r>
    <s v="EMP1689"/>
    <s v="David"/>
    <s v="Johnson"/>
    <x v="2"/>
    <x v="1"/>
    <x v="2"/>
    <x v="2"/>
    <x v="581"/>
    <n v="61102.8"/>
    <s v="david.johnson@example.com"/>
    <s v="9634064685"/>
    <x v="2"/>
    <x v="0"/>
  </r>
  <r>
    <s v="EMP1690"/>
    <s v="Bob"/>
    <s v="Johnson"/>
    <x v="3"/>
    <x v="1"/>
    <x v="2"/>
    <x v="2"/>
    <x v="582"/>
    <n v="75229.87"/>
    <s v="bob.johnson@example.com"/>
    <s v="7752401483"/>
    <x v="1"/>
    <x v="0"/>
  </r>
  <r>
    <s v="EMP1691"/>
    <s v="David"/>
    <s v="Miller"/>
    <x v="0"/>
    <x v="2"/>
    <x v="2"/>
    <x v="2"/>
    <x v="583"/>
    <n v="51054.74"/>
    <s v="david.miller@example.com"/>
    <s v="3991062271"/>
    <x v="1"/>
    <x v="1"/>
  </r>
  <r>
    <s v="EMP1692"/>
    <s v="Bob"/>
    <s v="Jones"/>
    <x v="2"/>
    <x v="2"/>
    <x v="1"/>
    <x v="0"/>
    <x v="584"/>
    <n v="104843.27"/>
    <s v="bob.jones@example.com"/>
    <s v="3626693350"/>
    <x v="1"/>
    <x v="1"/>
  </r>
  <r>
    <s v="EMP1693"/>
    <s v="Charlie"/>
    <s v="Brown"/>
    <x v="3"/>
    <x v="3"/>
    <x v="4"/>
    <x v="0"/>
    <x v="585"/>
    <n v="56398.11"/>
    <s v="charlie.brown@example.com"/>
    <s v="3426192371"/>
    <x v="1"/>
    <x v="1"/>
  </r>
  <r>
    <s v="EMP1694"/>
    <s v="Alice"/>
    <s v="Johnson"/>
    <x v="0"/>
    <x v="5"/>
    <x v="2"/>
    <x v="0"/>
    <x v="2"/>
    <n v="87544.73"/>
    <s v="alice.johnson@example.com"/>
    <s v="4501848196"/>
    <x v="2"/>
    <x v="1"/>
  </r>
  <r>
    <s v="EMP1695"/>
    <s v="Heidi"/>
    <s v="Brown"/>
    <x v="1"/>
    <x v="5"/>
    <x v="5"/>
    <x v="1"/>
    <x v="116"/>
    <n v="74312.240000000005"/>
    <s v="heidi.brown@example.com"/>
    <s v="3741897214"/>
    <x v="3"/>
    <x v="1"/>
  </r>
  <r>
    <s v="EMP1696"/>
    <s v="David"/>
    <s v="Davis"/>
    <x v="0"/>
    <x v="0"/>
    <x v="3"/>
    <x v="2"/>
    <x v="586"/>
    <n v="59431.25"/>
    <s v="david.davis@example.com"/>
    <s v="4064176926"/>
    <x v="3"/>
    <x v="0"/>
  </r>
  <r>
    <s v="EMP1697"/>
    <s v="Heidi"/>
    <s v="Johnson"/>
    <x v="2"/>
    <x v="4"/>
    <x v="0"/>
    <x v="1"/>
    <x v="587"/>
    <n v="84306.44"/>
    <s v="heidi.johnson@example.com"/>
    <s v="4381199536"/>
    <x v="0"/>
    <x v="1"/>
  </r>
  <r>
    <s v="EMP1698"/>
    <s v="Frank"/>
    <s v="Johnson"/>
    <x v="3"/>
    <x v="0"/>
    <x v="3"/>
    <x v="2"/>
    <x v="431"/>
    <n v="108194.47"/>
    <s v="frank.johnson@example.com"/>
    <s v="6601444855"/>
    <x v="2"/>
    <x v="1"/>
  </r>
  <r>
    <s v="EMP1699"/>
    <s v="Charlie"/>
    <s v="Williams"/>
    <x v="0"/>
    <x v="4"/>
    <x v="4"/>
    <x v="2"/>
    <x v="340"/>
    <n v="107359.3"/>
    <s v="charlie.williams@example.com"/>
    <s v="4510173972"/>
    <x v="1"/>
    <x v="1"/>
  </r>
  <r>
    <s v="EMP1700"/>
    <s v="Heidi"/>
    <s v="Johnson"/>
    <x v="0"/>
    <x v="0"/>
    <x v="5"/>
    <x v="2"/>
    <x v="588"/>
    <m/>
    <s v="heidi.johnson@example.com"/>
    <s v="9641789968"/>
    <x v="2"/>
    <x v="1"/>
  </r>
  <r>
    <s v="EMP1701"/>
    <s v="Frank"/>
    <s v="Garcia"/>
    <x v="1"/>
    <x v="2"/>
    <x v="0"/>
    <x v="1"/>
    <x v="213"/>
    <n v="96080.26"/>
    <s v="frank.garcia@example.com"/>
    <s v="8609191910"/>
    <x v="0"/>
    <x v="1"/>
  </r>
  <r>
    <s v="EMP1702"/>
    <s v="Grace"/>
    <s v="Smith"/>
    <x v="1"/>
    <x v="4"/>
    <x v="2"/>
    <x v="2"/>
    <x v="289"/>
    <n v="88602.75"/>
    <s v="grace.smith@example.com"/>
    <s v="3599660576"/>
    <x v="0"/>
    <x v="0"/>
  </r>
  <r>
    <s v="EMP1703"/>
    <s v="Frank"/>
    <s v="Garcia"/>
    <x v="2"/>
    <x v="0"/>
    <x v="0"/>
    <x v="0"/>
    <x v="589"/>
    <n v="86624.04"/>
    <s v="frank.garcia@example.com"/>
    <s v="9806603919"/>
    <x v="2"/>
    <x v="0"/>
  </r>
  <r>
    <s v="EMP1704"/>
    <s v="Charlie"/>
    <s v="Jones"/>
    <x v="1"/>
    <x v="3"/>
    <x v="4"/>
    <x v="0"/>
    <x v="73"/>
    <n v="63413.16"/>
    <s v="charlie.jones@example.com"/>
    <s v="5146074554"/>
    <x v="2"/>
    <x v="0"/>
  </r>
  <r>
    <s v="EMP1705"/>
    <s v="Grace"/>
    <s v="Jones"/>
    <x v="2"/>
    <x v="4"/>
    <x v="5"/>
    <x v="1"/>
    <x v="590"/>
    <n v="67915.7"/>
    <s v="grace.jones@example.com"/>
    <s v="3470574237"/>
    <x v="2"/>
    <x v="1"/>
  </r>
  <r>
    <s v="EMP1706"/>
    <s v="Bob"/>
    <s v="Brown"/>
    <x v="0"/>
    <x v="2"/>
    <x v="2"/>
    <x v="2"/>
    <x v="591"/>
    <n v="108245.44"/>
    <s v="bob.brown@example.com"/>
    <s v="8565271558"/>
    <x v="3"/>
    <x v="0"/>
  </r>
  <r>
    <s v="EMP1707"/>
    <s v="Alice"/>
    <s v="Garcia"/>
    <x v="3"/>
    <x v="4"/>
    <x v="2"/>
    <x v="2"/>
    <x v="592"/>
    <n v="75834.81"/>
    <s v="alice.garcia@example.com"/>
    <s v="8354116596"/>
    <x v="1"/>
    <x v="0"/>
  </r>
  <r>
    <s v="EMP1708"/>
    <s v="Eva"/>
    <s v="Garcia"/>
    <x v="1"/>
    <x v="3"/>
    <x v="2"/>
    <x v="0"/>
    <x v="593"/>
    <n v="71273.320000000007"/>
    <s v="eva.garcia@example.com"/>
    <s v="2634755751"/>
    <x v="2"/>
    <x v="1"/>
  </r>
  <r>
    <s v="EMP1709"/>
    <s v="Bob"/>
    <s v="Garcia"/>
    <x v="0"/>
    <x v="0"/>
    <x v="4"/>
    <x v="1"/>
    <x v="594"/>
    <n v="63262.23"/>
    <s v="bob.garcia@example.com"/>
    <s v="2501394883"/>
    <x v="2"/>
    <x v="1"/>
  </r>
  <r>
    <s v="EMP1710"/>
    <s v="David"/>
    <s v="Davis"/>
    <x v="1"/>
    <x v="0"/>
    <x v="4"/>
    <x v="1"/>
    <x v="77"/>
    <n v="89069.91"/>
    <s v="david.davis@example.com"/>
    <s v="8826913118"/>
    <x v="2"/>
    <x v="1"/>
  </r>
  <r>
    <s v="EMP1711"/>
    <s v="Frank"/>
    <s v="Johnson"/>
    <x v="2"/>
    <x v="0"/>
    <x v="2"/>
    <x v="2"/>
    <x v="45"/>
    <n v="57287.17"/>
    <s v="frank.johnson@example.com"/>
    <s v="6425856260"/>
    <x v="0"/>
    <x v="0"/>
  </r>
  <r>
    <s v="EMP1712"/>
    <s v="Grace"/>
    <s v="Smith"/>
    <x v="1"/>
    <x v="5"/>
    <x v="2"/>
    <x v="0"/>
    <x v="74"/>
    <n v="119890.35"/>
    <s v="grace.smith@example.com"/>
    <s v="4991537037"/>
    <x v="0"/>
    <x v="0"/>
  </r>
  <r>
    <s v="EMP1713"/>
    <s v="Frank"/>
    <s v="Brown"/>
    <x v="3"/>
    <x v="4"/>
    <x v="0"/>
    <x v="2"/>
    <x v="595"/>
    <n v="103492.91"/>
    <s v="frank.brown@example.com"/>
    <s v="2407333372"/>
    <x v="3"/>
    <x v="1"/>
  </r>
  <r>
    <s v="EMP1714"/>
    <s v="Frank"/>
    <s v="Garcia"/>
    <x v="1"/>
    <x v="2"/>
    <x v="5"/>
    <x v="1"/>
    <x v="596"/>
    <n v="76254.42"/>
    <s v="frank.garcia@example.com"/>
    <s v="2043097767"/>
    <x v="1"/>
    <x v="1"/>
  </r>
  <r>
    <s v="EMP1715"/>
    <s v="Eva"/>
    <s v="Garcia"/>
    <x v="3"/>
    <x v="1"/>
    <x v="3"/>
    <x v="2"/>
    <x v="571"/>
    <n v="100841.93"/>
    <s v="eva.garcia@example.com"/>
    <s v="8936289695"/>
    <x v="3"/>
    <x v="0"/>
  </r>
  <r>
    <s v="EMP1716"/>
    <s v="Alice"/>
    <s v="Williams"/>
    <x v="1"/>
    <x v="2"/>
    <x v="0"/>
    <x v="0"/>
    <x v="597"/>
    <n v="118907.61"/>
    <s v="alice.williams@example.com"/>
    <s v="4546553584"/>
    <x v="1"/>
    <x v="0"/>
  </r>
  <r>
    <s v="EMP1717"/>
    <s v="Frank"/>
    <s v="Brown"/>
    <x v="0"/>
    <x v="0"/>
    <x v="0"/>
    <x v="1"/>
    <x v="598"/>
    <n v="88942.62"/>
    <s v="frank.brown@example.com"/>
    <s v="1253892186"/>
    <x v="0"/>
    <x v="1"/>
  </r>
  <r>
    <s v="EMP1718"/>
    <s v="Charlie"/>
    <s v="Garcia"/>
    <x v="0"/>
    <x v="3"/>
    <x v="3"/>
    <x v="2"/>
    <x v="551"/>
    <n v="59688.57"/>
    <s v="charlie.garcia@example.com"/>
    <s v="8519358373"/>
    <x v="0"/>
    <x v="1"/>
  </r>
  <r>
    <s v="EMP1719"/>
    <s v="David"/>
    <s v="Brown"/>
    <x v="1"/>
    <x v="5"/>
    <x v="0"/>
    <x v="0"/>
    <x v="599"/>
    <n v="77985.88"/>
    <s v="david.brown@example.com"/>
    <s v="9079779611"/>
    <x v="0"/>
    <x v="0"/>
  </r>
  <r>
    <s v="EMP1720"/>
    <s v="Bob"/>
    <s v="Johnson"/>
    <x v="3"/>
    <x v="1"/>
    <x v="4"/>
    <x v="2"/>
    <x v="600"/>
    <n v="112931.69"/>
    <s v="bob.johnson@example.com"/>
    <s v="878057214"/>
    <x v="3"/>
    <x v="1"/>
  </r>
  <r>
    <s v="EMP1721"/>
    <s v="Bob"/>
    <s v="Williams"/>
    <x v="1"/>
    <x v="0"/>
    <x v="0"/>
    <x v="0"/>
    <x v="601"/>
    <n v="106583.88"/>
    <s v="bob.williams@example.com"/>
    <s v="1494097625"/>
    <x v="2"/>
    <x v="0"/>
  </r>
  <r>
    <s v="EMP1722"/>
    <s v="Alice"/>
    <s v="Brown"/>
    <x v="3"/>
    <x v="5"/>
    <x v="3"/>
    <x v="2"/>
    <x v="165"/>
    <n v="58437.84"/>
    <s v="alice.brown@example.com"/>
    <s v="3748453985"/>
    <x v="2"/>
    <x v="0"/>
  </r>
  <r>
    <s v="EMP1723"/>
    <s v="Alice"/>
    <s v="Smith"/>
    <x v="2"/>
    <x v="3"/>
    <x v="0"/>
    <x v="1"/>
    <x v="187"/>
    <n v="72352.160000000003"/>
    <s v="alice.smith@example.com"/>
    <s v="2895090590"/>
    <x v="0"/>
    <x v="0"/>
  </r>
  <r>
    <s v="EMP1724"/>
    <s v="Frank"/>
    <s v="Smith"/>
    <x v="1"/>
    <x v="0"/>
    <x v="4"/>
    <x v="0"/>
    <x v="602"/>
    <n v="97154.47"/>
    <s v="frank.smith@example.com"/>
    <s v="1918623391"/>
    <x v="2"/>
    <x v="0"/>
  </r>
  <r>
    <s v="EMP1725"/>
    <s v="Heidi"/>
    <s v="Jones"/>
    <x v="1"/>
    <x v="4"/>
    <x v="5"/>
    <x v="0"/>
    <x v="483"/>
    <n v="80235.5"/>
    <s v="heidi.jones@example.com"/>
    <s v="2071511695"/>
    <x v="2"/>
    <x v="1"/>
  </r>
  <r>
    <s v="EMP1726"/>
    <s v="Charlie"/>
    <s v="Williams"/>
    <x v="1"/>
    <x v="5"/>
    <x v="1"/>
    <x v="2"/>
    <x v="558"/>
    <n v="102172.05"/>
    <s v="charlie.williams@example.com"/>
    <s v="6672521451"/>
    <x v="3"/>
    <x v="1"/>
  </r>
  <r>
    <s v="EMP1727"/>
    <s v="Eva"/>
    <s v="Williams"/>
    <x v="0"/>
    <x v="1"/>
    <x v="5"/>
    <x v="2"/>
    <x v="320"/>
    <n v="98850.94"/>
    <s v="eva.williams@example.com"/>
    <s v="6471246334"/>
    <x v="1"/>
    <x v="0"/>
  </r>
  <r>
    <s v="EMP1728"/>
    <s v="Heidi"/>
    <s v="Jones"/>
    <x v="1"/>
    <x v="2"/>
    <x v="3"/>
    <x v="2"/>
    <x v="603"/>
    <n v="89993.15"/>
    <s v="heidi.jones@example.com"/>
    <s v="1571840907"/>
    <x v="0"/>
    <x v="0"/>
  </r>
  <r>
    <s v="EMP1729"/>
    <s v="David"/>
    <s v="Brown"/>
    <x v="1"/>
    <x v="3"/>
    <x v="0"/>
    <x v="2"/>
    <x v="274"/>
    <n v="97931.66"/>
    <s v="david.brown@example.com"/>
    <s v="512080055"/>
    <x v="0"/>
    <x v="0"/>
  </r>
  <r>
    <s v="EMP1730"/>
    <s v="Bob"/>
    <s v="Williams"/>
    <x v="2"/>
    <x v="1"/>
    <x v="0"/>
    <x v="2"/>
    <x v="604"/>
    <n v="72451.69"/>
    <s v="bob.williams@example.com"/>
    <s v="4099512396"/>
    <x v="3"/>
    <x v="0"/>
  </r>
  <r>
    <s v="EMP1731"/>
    <s v="Alice"/>
    <s v="Smith"/>
    <x v="3"/>
    <x v="2"/>
    <x v="0"/>
    <x v="1"/>
    <x v="605"/>
    <n v="119311.14"/>
    <s v="alice.smith@example.com"/>
    <s v="2835129591"/>
    <x v="3"/>
    <x v="0"/>
  </r>
  <r>
    <s v="EMP1732"/>
    <s v="Charlie"/>
    <s v="Smith"/>
    <x v="2"/>
    <x v="3"/>
    <x v="4"/>
    <x v="0"/>
    <x v="195"/>
    <n v="76167.460000000006"/>
    <s v="charlie.smith@example.com"/>
    <s v="7282709080"/>
    <x v="2"/>
    <x v="1"/>
  </r>
  <r>
    <s v="EMP1733"/>
    <s v="Bob"/>
    <s v="Garcia"/>
    <x v="0"/>
    <x v="0"/>
    <x v="1"/>
    <x v="0"/>
    <x v="606"/>
    <n v="114871.08"/>
    <s v="bob.garcia@example.com"/>
    <s v="4415298216"/>
    <x v="0"/>
    <x v="1"/>
  </r>
  <r>
    <s v="EMP1734"/>
    <s v="Eva"/>
    <s v="Johnson"/>
    <x v="0"/>
    <x v="5"/>
    <x v="2"/>
    <x v="0"/>
    <x v="607"/>
    <n v="81504.31"/>
    <s v="eva.johnson@example.com"/>
    <s v="3929578670"/>
    <x v="1"/>
    <x v="1"/>
  </r>
  <r>
    <s v="EMP1735"/>
    <s v="David"/>
    <s v="Williams"/>
    <x v="1"/>
    <x v="2"/>
    <x v="4"/>
    <x v="1"/>
    <x v="608"/>
    <n v="102524.86"/>
    <s v="david.williams@example.com"/>
    <s v="8153523735"/>
    <x v="3"/>
    <x v="1"/>
  </r>
  <r>
    <s v="EMP1736"/>
    <s v="Charlie"/>
    <s v="Brown"/>
    <x v="0"/>
    <x v="1"/>
    <x v="5"/>
    <x v="1"/>
    <x v="609"/>
    <n v="53043.74"/>
    <s v="charlie.brown@example.com"/>
    <s v="507918157"/>
    <x v="1"/>
    <x v="0"/>
  </r>
  <r>
    <s v="EMP1737"/>
    <s v="Eva"/>
    <s v="Jones"/>
    <x v="1"/>
    <x v="0"/>
    <x v="5"/>
    <x v="2"/>
    <x v="610"/>
    <n v="82547.259999999995"/>
    <s v="eva.jones@example.com"/>
    <s v="9988683451"/>
    <x v="1"/>
    <x v="0"/>
  </r>
  <r>
    <s v="EMP1738"/>
    <s v="Bob"/>
    <s v="Jones"/>
    <x v="2"/>
    <x v="0"/>
    <x v="0"/>
    <x v="1"/>
    <x v="611"/>
    <n v="113900.81"/>
    <s v="bob.jones@example.com"/>
    <s v="7346666169"/>
    <x v="0"/>
    <x v="0"/>
  </r>
  <r>
    <s v="EMP1739"/>
    <s v="Bob"/>
    <s v="Brown"/>
    <x v="0"/>
    <x v="5"/>
    <x v="2"/>
    <x v="2"/>
    <x v="69"/>
    <n v="118585.5"/>
    <s v="bob.brown@example.com"/>
    <s v="7158796473"/>
    <x v="0"/>
    <x v="0"/>
  </r>
  <r>
    <s v="EMP1740"/>
    <s v="Bob"/>
    <s v="Davis"/>
    <x v="3"/>
    <x v="1"/>
    <x v="5"/>
    <x v="1"/>
    <x v="612"/>
    <n v="63049.22"/>
    <s v="bob.davis@example.com"/>
    <s v="803149981"/>
    <x v="3"/>
    <x v="0"/>
  </r>
  <r>
    <s v="EMP1741"/>
    <s v="Heidi"/>
    <s v="Miller"/>
    <x v="1"/>
    <x v="0"/>
    <x v="1"/>
    <x v="0"/>
    <x v="613"/>
    <n v="114558.91"/>
    <s v="heidi.miller@example.com"/>
    <s v="5080046357"/>
    <x v="0"/>
    <x v="1"/>
  </r>
  <r>
    <s v="EMP1742"/>
    <s v="Heidi"/>
    <s v="Johnson"/>
    <x v="2"/>
    <x v="0"/>
    <x v="4"/>
    <x v="0"/>
    <x v="614"/>
    <n v="97901.79"/>
    <s v="heidi.johnson@example.com"/>
    <s v="688285030"/>
    <x v="0"/>
    <x v="0"/>
  </r>
  <r>
    <s v="EMP1743"/>
    <s v="Eva"/>
    <s v="Jones"/>
    <x v="1"/>
    <x v="4"/>
    <x v="0"/>
    <x v="0"/>
    <x v="615"/>
    <n v="68037.56"/>
    <s v="eva.jones@example.com"/>
    <s v="7235137398"/>
    <x v="0"/>
    <x v="1"/>
  </r>
  <r>
    <s v="EMP1744"/>
    <s v="Alice"/>
    <s v="Williams"/>
    <x v="1"/>
    <x v="5"/>
    <x v="4"/>
    <x v="0"/>
    <x v="616"/>
    <n v="112802.27"/>
    <s v="alice.williams@example.com"/>
    <s v="63140351"/>
    <x v="1"/>
    <x v="1"/>
  </r>
  <r>
    <s v="EMP1745"/>
    <s v="Bob"/>
    <s v="Johnson"/>
    <x v="2"/>
    <x v="4"/>
    <x v="2"/>
    <x v="1"/>
    <x v="131"/>
    <n v="93786.72"/>
    <s v="bob.johnson@example.com"/>
    <s v="6356022938"/>
    <x v="3"/>
    <x v="1"/>
  </r>
  <r>
    <s v="EMP1746"/>
    <s v="David"/>
    <s v="Williams"/>
    <x v="1"/>
    <x v="2"/>
    <x v="3"/>
    <x v="2"/>
    <x v="238"/>
    <n v="73049.929999999993"/>
    <s v="david.williams@example.com"/>
    <s v="4694346065"/>
    <x v="2"/>
    <x v="1"/>
  </r>
  <r>
    <s v="EMP1747"/>
    <s v="David"/>
    <s v="Davis"/>
    <x v="1"/>
    <x v="4"/>
    <x v="5"/>
    <x v="1"/>
    <x v="617"/>
    <n v="64161.72"/>
    <s v="david.davis@example.com"/>
    <s v="6437490606"/>
    <x v="1"/>
    <x v="0"/>
  </r>
  <r>
    <s v="EMP1748"/>
    <s v="Charlie"/>
    <s v="Smith"/>
    <x v="2"/>
    <x v="2"/>
    <x v="2"/>
    <x v="1"/>
    <x v="618"/>
    <n v="72224.73"/>
    <s v="charlie.smith@example.com"/>
    <s v="2311127127"/>
    <x v="0"/>
    <x v="1"/>
  </r>
  <r>
    <s v="EMP1749"/>
    <s v="Bob"/>
    <s v="Johnson"/>
    <x v="1"/>
    <x v="5"/>
    <x v="4"/>
    <x v="1"/>
    <x v="619"/>
    <n v="103580.45"/>
    <s v="bob.johnson@example.com"/>
    <s v="5246484493"/>
    <x v="1"/>
    <x v="1"/>
  </r>
  <r>
    <s v="EMP1750"/>
    <s v="Grace"/>
    <s v="Garcia"/>
    <x v="2"/>
    <x v="5"/>
    <x v="3"/>
    <x v="1"/>
    <x v="605"/>
    <n v="112589.11"/>
    <s v="grace.garcia@example.com"/>
    <s v="1163187327"/>
    <x v="0"/>
    <x v="1"/>
  </r>
  <r>
    <s v="EMP1751"/>
    <s v="Eva"/>
    <s v="Jones"/>
    <x v="1"/>
    <x v="2"/>
    <x v="1"/>
    <x v="0"/>
    <x v="620"/>
    <n v="51833.88"/>
    <s v="eva.jones@example.com"/>
    <s v="771130620"/>
    <x v="0"/>
    <x v="0"/>
  </r>
  <r>
    <s v="EMP1752"/>
    <s v="Eva"/>
    <s v="Johnson"/>
    <x v="1"/>
    <x v="4"/>
    <x v="5"/>
    <x v="0"/>
    <x v="171"/>
    <n v="66252.78"/>
    <s v="eva.johnson@example.com"/>
    <s v="1369572789"/>
    <x v="1"/>
    <x v="0"/>
  </r>
  <r>
    <s v="EMP1753"/>
    <s v="Frank"/>
    <s v="Johnson"/>
    <x v="0"/>
    <x v="0"/>
    <x v="3"/>
    <x v="0"/>
    <x v="621"/>
    <n v="109229.68"/>
    <s v="frank.johnson@example.com"/>
    <s v="8335090253"/>
    <x v="3"/>
    <x v="0"/>
  </r>
  <r>
    <s v="EMP1754"/>
    <s v="Frank"/>
    <s v="Johnson"/>
    <x v="1"/>
    <x v="1"/>
    <x v="3"/>
    <x v="2"/>
    <x v="622"/>
    <n v="61465.05"/>
    <s v="frank.johnson@example.com"/>
    <s v="2573066247"/>
    <x v="0"/>
    <x v="1"/>
  </r>
  <r>
    <s v="EMP1755"/>
    <s v="Grace"/>
    <s v="Miller"/>
    <x v="0"/>
    <x v="5"/>
    <x v="3"/>
    <x v="0"/>
    <x v="623"/>
    <n v="96993.74"/>
    <s v="grace.miller@example.com"/>
    <s v="1323570712"/>
    <x v="3"/>
    <x v="1"/>
  </r>
  <r>
    <s v="EMP1756"/>
    <s v="David"/>
    <s v="Johnson"/>
    <x v="0"/>
    <x v="2"/>
    <x v="3"/>
    <x v="1"/>
    <x v="624"/>
    <n v="98150.39"/>
    <s v="david.johnson@example.com"/>
    <s v="9848228500"/>
    <x v="2"/>
    <x v="0"/>
  </r>
  <r>
    <s v="EMP1757"/>
    <s v="David"/>
    <s v="Williams"/>
    <x v="2"/>
    <x v="1"/>
    <x v="1"/>
    <x v="1"/>
    <x v="625"/>
    <n v="107703"/>
    <s v="david.williams@example.com"/>
    <s v="1688092549"/>
    <x v="0"/>
    <x v="1"/>
  </r>
  <r>
    <s v="EMP1758"/>
    <s v="Grace"/>
    <s v="Smith"/>
    <x v="1"/>
    <x v="0"/>
    <x v="5"/>
    <x v="1"/>
    <x v="626"/>
    <n v="86766.14"/>
    <s v="grace.smith@example.com"/>
    <s v="2130609068"/>
    <x v="3"/>
    <x v="0"/>
  </r>
  <r>
    <s v="EMP1759"/>
    <s v="Alice"/>
    <s v="Davis"/>
    <x v="1"/>
    <x v="3"/>
    <x v="3"/>
    <x v="2"/>
    <x v="273"/>
    <n v="111443.69"/>
    <s v="alice.davis@example.com"/>
    <s v="1309810795"/>
    <x v="3"/>
    <x v="0"/>
  </r>
  <r>
    <s v="EMP1760"/>
    <s v="David"/>
    <s v="Brown"/>
    <x v="1"/>
    <x v="4"/>
    <x v="3"/>
    <x v="1"/>
    <x v="189"/>
    <n v="89039.07"/>
    <s v="david.brown@example.com"/>
    <s v="4967379456"/>
    <x v="2"/>
    <x v="1"/>
  </r>
  <r>
    <s v="EMP1761"/>
    <s v="Alice"/>
    <s v="Johnson"/>
    <x v="1"/>
    <x v="5"/>
    <x v="3"/>
    <x v="2"/>
    <x v="627"/>
    <n v="71318.789999999994"/>
    <s v="alice.johnson@example.com"/>
    <s v="7278532425"/>
    <x v="3"/>
    <x v="1"/>
  </r>
  <r>
    <s v="EMP1762"/>
    <s v="Heidi"/>
    <s v="Jones"/>
    <x v="1"/>
    <x v="1"/>
    <x v="0"/>
    <x v="1"/>
    <x v="628"/>
    <n v="98296.71"/>
    <s v="heidi.jones@example.com"/>
    <s v="4250642075"/>
    <x v="3"/>
    <x v="1"/>
  </r>
  <r>
    <s v="EMP1763"/>
    <s v="Heidi"/>
    <s v="Johnson"/>
    <x v="2"/>
    <x v="3"/>
    <x v="2"/>
    <x v="1"/>
    <x v="629"/>
    <n v="62584"/>
    <s v="heidi.johnson@example.com"/>
    <s v="8362536666"/>
    <x v="2"/>
    <x v="1"/>
  </r>
  <r>
    <s v="EMP1764"/>
    <s v="Charlie"/>
    <s v="Jones"/>
    <x v="2"/>
    <x v="1"/>
    <x v="0"/>
    <x v="2"/>
    <x v="630"/>
    <n v="62521.5"/>
    <s v="charlie.jones@example.com"/>
    <s v="7767555627"/>
    <x v="0"/>
    <x v="0"/>
  </r>
  <r>
    <s v="EMP1765"/>
    <s v="David"/>
    <s v="Williams"/>
    <x v="2"/>
    <x v="3"/>
    <x v="0"/>
    <x v="2"/>
    <x v="631"/>
    <n v="95400.35"/>
    <s v="david.williams@example.com"/>
    <s v="3333939577"/>
    <x v="3"/>
    <x v="0"/>
  </r>
  <r>
    <s v="EMP1766"/>
    <s v="Charlie"/>
    <s v="Jones"/>
    <x v="0"/>
    <x v="3"/>
    <x v="1"/>
    <x v="1"/>
    <x v="632"/>
    <n v="94385.07"/>
    <s v="charlie.jones@example.com"/>
    <s v="6543627186"/>
    <x v="3"/>
    <x v="0"/>
  </r>
  <r>
    <s v="EMP1767"/>
    <s v="Grace"/>
    <s v="Garcia"/>
    <x v="1"/>
    <x v="4"/>
    <x v="4"/>
    <x v="2"/>
    <x v="305"/>
    <n v="76642.490000000005"/>
    <s v="grace.garcia@example.com"/>
    <s v="4960335825"/>
    <x v="3"/>
    <x v="0"/>
  </r>
  <r>
    <s v="EMP1768"/>
    <s v="Frank"/>
    <s v="Brown"/>
    <x v="1"/>
    <x v="0"/>
    <x v="4"/>
    <x v="0"/>
    <x v="633"/>
    <n v="60122.52"/>
    <s v="frank.brown@example.com"/>
    <s v="8627036923"/>
    <x v="1"/>
    <x v="0"/>
  </r>
  <r>
    <s v="EMP1769"/>
    <s v="Alice"/>
    <s v="Smith"/>
    <x v="2"/>
    <x v="5"/>
    <x v="0"/>
    <x v="1"/>
    <x v="16"/>
    <n v="117267.63"/>
    <s v="alice.smith@example.com"/>
    <s v="9269326572"/>
    <x v="2"/>
    <x v="1"/>
  </r>
  <r>
    <s v="EMP1770"/>
    <s v="Charlie"/>
    <s v="Jones"/>
    <x v="0"/>
    <x v="2"/>
    <x v="4"/>
    <x v="0"/>
    <x v="634"/>
    <m/>
    <s v="charlie.jones@example.com"/>
    <s v="2759980110"/>
    <x v="1"/>
    <x v="0"/>
  </r>
  <r>
    <s v="EMP1771"/>
    <s v="Heidi"/>
    <s v="Jones"/>
    <x v="2"/>
    <x v="4"/>
    <x v="1"/>
    <x v="1"/>
    <x v="635"/>
    <n v="84542.68"/>
    <s v="heidi.jones@example.com"/>
    <s v="5155322"/>
    <x v="2"/>
    <x v="0"/>
  </r>
  <r>
    <s v="EMP1772"/>
    <s v="Heidi"/>
    <s v="Smith"/>
    <x v="2"/>
    <x v="1"/>
    <x v="3"/>
    <x v="0"/>
    <x v="443"/>
    <n v="92007.15"/>
    <s v="heidi.smith@example.com"/>
    <s v="4159597751"/>
    <x v="0"/>
    <x v="0"/>
  </r>
  <r>
    <s v="EMP1773"/>
    <s v="Eva"/>
    <s v="Brown"/>
    <x v="1"/>
    <x v="0"/>
    <x v="5"/>
    <x v="0"/>
    <x v="137"/>
    <n v="62938.8"/>
    <s v="eva.brown@example.com"/>
    <s v="4418222617"/>
    <x v="0"/>
    <x v="1"/>
  </r>
  <r>
    <s v="EMP1774"/>
    <s v="Frank"/>
    <s v="Johnson"/>
    <x v="0"/>
    <x v="2"/>
    <x v="1"/>
    <x v="1"/>
    <x v="166"/>
    <n v="108661.01"/>
    <s v="frank.johnson@example.com"/>
    <s v="9628874311"/>
    <x v="3"/>
    <x v="1"/>
  </r>
  <r>
    <s v="EMP1775"/>
    <s v="Bob"/>
    <s v="Jones"/>
    <x v="0"/>
    <x v="3"/>
    <x v="3"/>
    <x v="0"/>
    <x v="636"/>
    <n v="97046.33"/>
    <s v="bob.jones@example.com"/>
    <s v="7102676719"/>
    <x v="2"/>
    <x v="1"/>
  </r>
  <r>
    <s v="EMP1776"/>
    <s v="Charlie"/>
    <s v="Smith"/>
    <x v="2"/>
    <x v="0"/>
    <x v="5"/>
    <x v="2"/>
    <x v="637"/>
    <n v="56518.84"/>
    <s v="charlie.smith@example.com"/>
    <s v="9579927078"/>
    <x v="0"/>
    <x v="1"/>
  </r>
  <r>
    <s v="EMP1777"/>
    <s v="Frank"/>
    <s v="Garcia"/>
    <x v="2"/>
    <x v="3"/>
    <x v="3"/>
    <x v="1"/>
    <x v="638"/>
    <n v="70498.289999999994"/>
    <s v="frank.garcia@example.com"/>
    <s v="5515122945"/>
    <x v="2"/>
    <x v="0"/>
  </r>
  <r>
    <s v="EMP1778"/>
    <s v="Eva"/>
    <s v="Garcia"/>
    <x v="3"/>
    <x v="4"/>
    <x v="3"/>
    <x v="1"/>
    <x v="416"/>
    <n v="98708.06"/>
    <s v="eva.garcia@example.com"/>
    <s v="2135415969"/>
    <x v="0"/>
    <x v="0"/>
  </r>
  <r>
    <s v="EMP1779"/>
    <s v="Bob"/>
    <s v="Williams"/>
    <x v="1"/>
    <x v="0"/>
    <x v="2"/>
    <x v="1"/>
    <x v="228"/>
    <n v="83856.41"/>
    <s v="bob.williams@example.com"/>
    <s v="9962543847"/>
    <x v="1"/>
    <x v="1"/>
  </r>
  <r>
    <s v="EMP1780"/>
    <s v="Eva"/>
    <s v="Smith"/>
    <x v="2"/>
    <x v="4"/>
    <x v="0"/>
    <x v="2"/>
    <x v="279"/>
    <n v="90259.99"/>
    <s v="eva.smith@example.com"/>
    <s v="752034475"/>
    <x v="0"/>
    <x v="1"/>
  </r>
  <r>
    <s v="EMP1781"/>
    <s v="Charlie"/>
    <s v="Williams"/>
    <x v="1"/>
    <x v="4"/>
    <x v="3"/>
    <x v="1"/>
    <x v="639"/>
    <n v="94230.03"/>
    <s v="charlie.williams@example.com"/>
    <s v="5047158028"/>
    <x v="1"/>
    <x v="0"/>
  </r>
  <r>
    <s v="EMP1782"/>
    <s v="Charlie"/>
    <s v="Garcia"/>
    <x v="1"/>
    <x v="2"/>
    <x v="2"/>
    <x v="2"/>
    <x v="516"/>
    <n v="50110.66"/>
    <s v="charlie.garcia@example.com"/>
    <s v="904637659"/>
    <x v="0"/>
    <x v="0"/>
  </r>
  <r>
    <s v="EMP1783"/>
    <s v="Bob"/>
    <s v="Brown"/>
    <x v="1"/>
    <x v="4"/>
    <x v="3"/>
    <x v="2"/>
    <x v="6"/>
    <n v="73365.460000000006"/>
    <s v="bob.brown@example.com"/>
    <s v="4655866524"/>
    <x v="3"/>
    <x v="1"/>
  </r>
  <r>
    <s v="EMP1784"/>
    <s v="David"/>
    <s v="Johnson"/>
    <x v="0"/>
    <x v="0"/>
    <x v="4"/>
    <x v="1"/>
    <x v="640"/>
    <n v="67809.23"/>
    <s v="david.johnson@example.com"/>
    <s v="4837441714"/>
    <x v="1"/>
    <x v="1"/>
  </r>
  <r>
    <s v="EMP1785"/>
    <s v="Eva"/>
    <s v="Smith"/>
    <x v="1"/>
    <x v="4"/>
    <x v="0"/>
    <x v="0"/>
    <x v="173"/>
    <n v="98008.51"/>
    <s v="eva.smith@example.com"/>
    <s v="8102131250"/>
    <x v="0"/>
    <x v="1"/>
  </r>
  <r>
    <s v="EMP1786"/>
    <s v="Alice"/>
    <s v="Davis"/>
    <x v="1"/>
    <x v="2"/>
    <x v="0"/>
    <x v="2"/>
    <x v="246"/>
    <n v="83537.58"/>
    <s v="alice.davis@example.com"/>
    <s v="2931100590"/>
    <x v="3"/>
    <x v="1"/>
  </r>
  <r>
    <s v="EMP1787"/>
    <s v="Alice"/>
    <s v="Garcia"/>
    <x v="1"/>
    <x v="1"/>
    <x v="4"/>
    <x v="1"/>
    <x v="547"/>
    <n v="112444.08"/>
    <s v="alice.garcia@example.com"/>
    <s v="2975191022"/>
    <x v="1"/>
    <x v="0"/>
  </r>
  <r>
    <s v="EMP1788"/>
    <s v="Frank"/>
    <s v="Garcia"/>
    <x v="2"/>
    <x v="1"/>
    <x v="2"/>
    <x v="0"/>
    <x v="470"/>
    <n v="86475.13"/>
    <s v="frank.garcia@example.com"/>
    <s v="1211063300"/>
    <x v="3"/>
    <x v="0"/>
  </r>
  <r>
    <s v="EMP1789"/>
    <s v="Frank"/>
    <s v="Davis"/>
    <x v="1"/>
    <x v="4"/>
    <x v="1"/>
    <x v="0"/>
    <x v="641"/>
    <n v="97984.53"/>
    <s v="frank.davis@example.com"/>
    <s v="6583737926"/>
    <x v="2"/>
    <x v="0"/>
  </r>
  <r>
    <s v="EMP1790"/>
    <s v="Frank"/>
    <s v="Miller"/>
    <x v="0"/>
    <x v="2"/>
    <x v="0"/>
    <x v="0"/>
    <x v="642"/>
    <n v="118853.31"/>
    <s v="frank.miller@example.com"/>
    <s v="4907280122"/>
    <x v="2"/>
    <x v="1"/>
  </r>
  <r>
    <s v="EMP1791"/>
    <s v="Charlie"/>
    <s v="Garcia"/>
    <x v="1"/>
    <x v="4"/>
    <x v="3"/>
    <x v="0"/>
    <x v="35"/>
    <n v="58179.12"/>
    <s v="charlie.garcia@example.com"/>
    <s v="4289311324"/>
    <x v="1"/>
    <x v="1"/>
  </r>
  <r>
    <s v="EMP1792"/>
    <s v="Eva"/>
    <s v="Jones"/>
    <x v="3"/>
    <x v="0"/>
    <x v="1"/>
    <x v="2"/>
    <x v="643"/>
    <n v="56075.839999999997"/>
    <s v="eva.jones@example.com"/>
    <s v="3269496842"/>
    <x v="0"/>
    <x v="0"/>
  </r>
  <r>
    <s v="EMP1793"/>
    <s v="Frank"/>
    <s v="Brown"/>
    <x v="2"/>
    <x v="5"/>
    <x v="4"/>
    <x v="1"/>
    <x v="644"/>
    <n v="62250.89"/>
    <s v="frank.brown@example.com"/>
    <s v="6453804420"/>
    <x v="1"/>
    <x v="0"/>
  </r>
  <r>
    <s v="EMP1794"/>
    <s v="Alice"/>
    <s v="Smith"/>
    <x v="1"/>
    <x v="3"/>
    <x v="3"/>
    <x v="1"/>
    <x v="630"/>
    <n v="105931.77"/>
    <s v="alice.smith@example.com"/>
    <s v="175096169"/>
    <x v="3"/>
    <x v="0"/>
  </r>
  <r>
    <s v="EMP1795"/>
    <s v="Charlie"/>
    <s v="Davis"/>
    <x v="1"/>
    <x v="5"/>
    <x v="3"/>
    <x v="1"/>
    <x v="645"/>
    <n v="86653.96"/>
    <s v="charlie.davis@example.com"/>
    <s v="1595919456"/>
    <x v="0"/>
    <x v="0"/>
  </r>
  <r>
    <s v="EMP1796"/>
    <s v="Charlie"/>
    <s v="Jones"/>
    <x v="0"/>
    <x v="4"/>
    <x v="2"/>
    <x v="0"/>
    <x v="538"/>
    <n v="100719.94"/>
    <s v="charlie.jones@example.com"/>
    <s v="5757475832"/>
    <x v="2"/>
    <x v="1"/>
  </r>
  <r>
    <s v="EMP1797"/>
    <s v="Bob"/>
    <s v="Davis"/>
    <x v="0"/>
    <x v="5"/>
    <x v="1"/>
    <x v="1"/>
    <x v="151"/>
    <n v="91600.13"/>
    <s v="bob.davis@example.com"/>
    <s v="9205677566"/>
    <x v="0"/>
    <x v="0"/>
  </r>
  <r>
    <s v="EMP1798"/>
    <s v="Heidi"/>
    <s v="Smith"/>
    <x v="0"/>
    <x v="3"/>
    <x v="5"/>
    <x v="1"/>
    <x v="646"/>
    <n v="71873.66"/>
    <s v="heidi.smith@example.com"/>
    <s v="7722660255"/>
    <x v="2"/>
    <x v="0"/>
  </r>
  <r>
    <s v="EMP1799"/>
    <s v="Eva"/>
    <s v="Williams"/>
    <x v="1"/>
    <x v="5"/>
    <x v="4"/>
    <x v="0"/>
    <x v="495"/>
    <n v="69365.47"/>
    <s v="eva.williams@example.com"/>
    <s v="2650622922"/>
    <x v="0"/>
    <x v="0"/>
  </r>
  <r>
    <s v="EMP1800"/>
    <s v="Heidi"/>
    <s v="Smith"/>
    <x v="0"/>
    <x v="5"/>
    <x v="4"/>
    <x v="0"/>
    <x v="490"/>
    <n v="58012.23"/>
    <s v="heidi.smith@example.com"/>
    <s v="1067245306"/>
    <x v="0"/>
    <x v="0"/>
  </r>
  <r>
    <s v="EMP1801"/>
    <s v="Bob"/>
    <s v="Miller"/>
    <x v="1"/>
    <x v="4"/>
    <x v="0"/>
    <x v="1"/>
    <x v="203"/>
    <n v="68973.649999999994"/>
    <s v="bob.miller@example.com"/>
    <s v="6248433796"/>
    <x v="0"/>
    <x v="0"/>
  </r>
  <r>
    <s v="EMP1802"/>
    <s v="Eva"/>
    <s v="Smith"/>
    <x v="1"/>
    <x v="2"/>
    <x v="4"/>
    <x v="0"/>
    <x v="437"/>
    <n v="92928.4"/>
    <s v="eva.smith@example.com"/>
    <s v="6627051156"/>
    <x v="3"/>
    <x v="0"/>
  </r>
  <r>
    <s v="EMP1803"/>
    <s v="Heidi"/>
    <s v="Smith"/>
    <x v="0"/>
    <x v="2"/>
    <x v="1"/>
    <x v="2"/>
    <x v="647"/>
    <n v="53531.92"/>
    <s v="heidi.smith@example.com"/>
    <s v="9423873669"/>
    <x v="3"/>
    <x v="0"/>
  </r>
  <r>
    <s v="EMP1804"/>
    <s v="Bob"/>
    <s v="Miller"/>
    <x v="2"/>
    <x v="1"/>
    <x v="4"/>
    <x v="1"/>
    <x v="648"/>
    <n v="112389.31"/>
    <s v="bob.miller@example.com"/>
    <s v="4254969191"/>
    <x v="1"/>
    <x v="1"/>
  </r>
  <r>
    <s v="EMP1805"/>
    <s v="Heidi"/>
    <s v="Brown"/>
    <x v="1"/>
    <x v="5"/>
    <x v="0"/>
    <x v="2"/>
    <x v="649"/>
    <n v="63870.3"/>
    <s v="heidi.brown@example.com"/>
    <s v="8455259709"/>
    <x v="1"/>
    <x v="1"/>
  </r>
  <r>
    <s v="EMP1806"/>
    <s v="Bob"/>
    <s v="Garcia"/>
    <x v="2"/>
    <x v="4"/>
    <x v="4"/>
    <x v="0"/>
    <x v="650"/>
    <n v="106164.53"/>
    <s v="bob.garcia@example.com"/>
    <s v="7563353573"/>
    <x v="2"/>
    <x v="1"/>
  </r>
  <r>
    <s v="EMP1807"/>
    <s v="Bob"/>
    <s v="Smith"/>
    <x v="2"/>
    <x v="5"/>
    <x v="2"/>
    <x v="1"/>
    <x v="353"/>
    <n v="103654.54"/>
    <s v="bob.smith@example.com"/>
    <s v="8595325938"/>
    <x v="3"/>
    <x v="1"/>
  </r>
  <r>
    <s v="EMP1808"/>
    <s v="David"/>
    <s v="Miller"/>
    <x v="1"/>
    <x v="4"/>
    <x v="0"/>
    <x v="2"/>
    <x v="651"/>
    <n v="62834.720000000001"/>
    <s v="david.miller@example.com"/>
    <s v="9337970580"/>
    <x v="2"/>
    <x v="0"/>
  </r>
  <r>
    <s v="EMP1809"/>
    <s v="Frank"/>
    <s v="Jones"/>
    <x v="3"/>
    <x v="1"/>
    <x v="3"/>
    <x v="0"/>
    <x v="652"/>
    <n v="83273.41"/>
    <s v="frank.jones@example.com"/>
    <s v="6295187793"/>
    <x v="1"/>
    <x v="1"/>
  </r>
  <r>
    <s v="EMP1810"/>
    <s v="Heidi"/>
    <s v="Williams"/>
    <x v="1"/>
    <x v="5"/>
    <x v="0"/>
    <x v="1"/>
    <x v="653"/>
    <n v="58917.58"/>
    <s v="heidi.williams@example.com"/>
    <s v="1763425072"/>
    <x v="2"/>
    <x v="1"/>
  </r>
  <r>
    <s v="EMP1811"/>
    <s v="Bob"/>
    <s v="Williams"/>
    <x v="3"/>
    <x v="4"/>
    <x v="2"/>
    <x v="0"/>
    <x v="14"/>
    <n v="71148.27"/>
    <s v="bob.williams@example.com"/>
    <s v="3055978244"/>
    <x v="1"/>
    <x v="0"/>
  </r>
  <r>
    <s v="EMP1812"/>
    <s v="Grace"/>
    <s v="Smith"/>
    <x v="1"/>
    <x v="4"/>
    <x v="4"/>
    <x v="1"/>
    <x v="654"/>
    <n v="118172.42"/>
    <s v="grace.smith@example.com"/>
    <s v="7598339913"/>
    <x v="3"/>
    <x v="0"/>
  </r>
  <r>
    <s v="EMP1813"/>
    <s v="Frank"/>
    <s v="Brown"/>
    <x v="1"/>
    <x v="0"/>
    <x v="5"/>
    <x v="2"/>
    <x v="496"/>
    <n v="118614.37"/>
    <s v="frank.brown@example.com"/>
    <s v="388436603"/>
    <x v="0"/>
    <x v="1"/>
  </r>
  <r>
    <s v="EMP1814"/>
    <s v="Frank"/>
    <s v="Brown"/>
    <x v="1"/>
    <x v="0"/>
    <x v="4"/>
    <x v="0"/>
    <x v="655"/>
    <n v="96872.36"/>
    <s v="frank.brown@example.com"/>
    <s v="4324006156"/>
    <x v="3"/>
    <x v="1"/>
  </r>
  <r>
    <s v="EMP1815"/>
    <s v="Heidi"/>
    <s v="Jones"/>
    <x v="0"/>
    <x v="4"/>
    <x v="5"/>
    <x v="2"/>
    <x v="656"/>
    <n v="88856.14"/>
    <s v="heidi.jones@example.com"/>
    <s v="2768297513"/>
    <x v="2"/>
    <x v="0"/>
  </r>
  <r>
    <s v="EMP1816"/>
    <s v="Charlie"/>
    <s v="Smith"/>
    <x v="3"/>
    <x v="1"/>
    <x v="1"/>
    <x v="1"/>
    <x v="52"/>
    <n v="97985.61"/>
    <s v="charlie.smith@example.com"/>
    <s v="7439742924"/>
    <x v="2"/>
    <x v="1"/>
  </r>
  <r>
    <s v="EMP1817"/>
    <s v="Grace"/>
    <s v="Williams"/>
    <x v="3"/>
    <x v="1"/>
    <x v="2"/>
    <x v="1"/>
    <x v="657"/>
    <n v="56337.31"/>
    <s v="grace.williams@example.com"/>
    <s v="105875255"/>
    <x v="3"/>
    <x v="0"/>
  </r>
  <r>
    <s v="EMP1818"/>
    <s v="Alice"/>
    <s v="Brown"/>
    <x v="1"/>
    <x v="0"/>
    <x v="4"/>
    <x v="2"/>
    <x v="658"/>
    <n v="70405.23"/>
    <s v="alice.brown@example.com"/>
    <s v="8065625903"/>
    <x v="3"/>
    <x v="0"/>
  </r>
  <r>
    <s v="EMP1819"/>
    <s v="Heidi"/>
    <s v="Smith"/>
    <x v="1"/>
    <x v="2"/>
    <x v="2"/>
    <x v="2"/>
    <x v="659"/>
    <n v="89919.35"/>
    <s v="heidi.smith@example.com"/>
    <s v="5990802710"/>
    <x v="1"/>
    <x v="0"/>
  </r>
  <r>
    <s v="EMP1820"/>
    <s v="Eva"/>
    <s v="Davis"/>
    <x v="2"/>
    <x v="0"/>
    <x v="0"/>
    <x v="0"/>
    <x v="493"/>
    <n v="50568.35"/>
    <s v="eva.davis@example.com"/>
    <s v="2218231554"/>
    <x v="2"/>
    <x v="0"/>
  </r>
  <r>
    <s v="EMP1821"/>
    <s v="Grace"/>
    <s v="Brown"/>
    <x v="1"/>
    <x v="5"/>
    <x v="1"/>
    <x v="2"/>
    <x v="660"/>
    <m/>
    <s v="grace.brown@example.com"/>
    <s v="1651768085"/>
    <x v="2"/>
    <x v="1"/>
  </r>
  <r>
    <s v="EMP1822"/>
    <s v="Frank"/>
    <s v="Miller"/>
    <x v="0"/>
    <x v="5"/>
    <x v="1"/>
    <x v="0"/>
    <x v="661"/>
    <n v="99155.53"/>
    <s v="frank.miller@example.com"/>
    <s v="6281372142"/>
    <x v="3"/>
    <x v="0"/>
  </r>
  <r>
    <s v="EMP1823"/>
    <s v="Frank"/>
    <s v="Davis"/>
    <x v="2"/>
    <x v="1"/>
    <x v="3"/>
    <x v="2"/>
    <x v="662"/>
    <n v="64785.13"/>
    <s v="frank.davis@example.com"/>
    <s v="3080037002"/>
    <x v="0"/>
    <x v="0"/>
  </r>
  <r>
    <s v="EMP1824"/>
    <s v="Charlie"/>
    <s v="Garcia"/>
    <x v="1"/>
    <x v="4"/>
    <x v="3"/>
    <x v="2"/>
    <x v="67"/>
    <n v="79206.48"/>
    <s v="charlie.garcia@example.com"/>
    <s v="3228556607"/>
    <x v="2"/>
    <x v="1"/>
  </r>
  <r>
    <s v="EMP1825"/>
    <s v="Charlie"/>
    <s v="Brown"/>
    <x v="1"/>
    <x v="3"/>
    <x v="1"/>
    <x v="1"/>
    <x v="663"/>
    <n v="60079.71"/>
    <s v="charlie.brown@example.com"/>
    <s v="4706810389"/>
    <x v="0"/>
    <x v="0"/>
  </r>
  <r>
    <s v="EMP1826"/>
    <s v="Grace"/>
    <s v="Williams"/>
    <x v="1"/>
    <x v="3"/>
    <x v="4"/>
    <x v="1"/>
    <x v="664"/>
    <n v="79109.88"/>
    <s v="grace.williams@example.com"/>
    <s v="3397051957"/>
    <x v="3"/>
    <x v="1"/>
  </r>
  <r>
    <s v="EMP1827"/>
    <s v="Grace"/>
    <s v="Johnson"/>
    <x v="1"/>
    <x v="2"/>
    <x v="3"/>
    <x v="1"/>
    <x v="665"/>
    <n v="88643.5"/>
    <s v="grace.johnson@example.com"/>
    <s v="2632809447"/>
    <x v="3"/>
    <x v="1"/>
  </r>
  <r>
    <s v="EMP1828"/>
    <s v="Frank"/>
    <s v="Davis"/>
    <x v="1"/>
    <x v="2"/>
    <x v="3"/>
    <x v="1"/>
    <x v="666"/>
    <n v="90455.7"/>
    <s v="frank.davis@example.com"/>
    <s v="5862394534"/>
    <x v="1"/>
    <x v="1"/>
  </r>
  <r>
    <s v="EMP1829"/>
    <s v="David"/>
    <s v="Garcia"/>
    <x v="1"/>
    <x v="5"/>
    <x v="3"/>
    <x v="1"/>
    <x v="667"/>
    <n v="75687.899999999994"/>
    <s v="david.garcia@example.com"/>
    <s v="4614707985"/>
    <x v="2"/>
    <x v="0"/>
  </r>
  <r>
    <s v="EMP1830"/>
    <s v="Heidi"/>
    <s v="Jones"/>
    <x v="3"/>
    <x v="3"/>
    <x v="5"/>
    <x v="2"/>
    <x v="91"/>
    <n v="55604.42"/>
    <s v="heidi.jones@example.com"/>
    <s v="3210613393"/>
    <x v="0"/>
    <x v="1"/>
  </r>
  <r>
    <s v="EMP1831"/>
    <s v="Eva"/>
    <s v="Jones"/>
    <x v="2"/>
    <x v="4"/>
    <x v="1"/>
    <x v="1"/>
    <x v="591"/>
    <n v="92704.94"/>
    <s v="eva.jones@example.com"/>
    <s v="3945703942"/>
    <x v="1"/>
    <x v="1"/>
  </r>
  <r>
    <s v="EMP1832"/>
    <s v="Bob"/>
    <s v="Williams"/>
    <x v="1"/>
    <x v="4"/>
    <x v="0"/>
    <x v="1"/>
    <x v="610"/>
    <n v="113250.97"/>
    <s v="bob.williams@example.com"/>
    <s v="8040325375"/>
    <x v="2"/>
    <x v="0"/>
  </r>
  <r>
    <s v="EMP1833"/>
    <s v="Alice"/>
    <s v="Brown"/>
    <x v="2"/>
    <x v="1"/>
    <x v="5"/>
    <x v="2"/>
    <x v="668"/>
    <n v="101367.02"/>
    <s v="alice.brown@example.com"/>
    <s v="5769277893"/>
    <x v="1"/>
    <x v="1"/>
  </r>
  <r>
    <s v="EMP1834"/>
    <s v="Eva"/>
    <s v="Smith"/>
    <x v="3"/>
    <x v="2"/>
    <x v="1"/>
    <x v="1"/>
    <x v="669"/>
    <n v="102459.77"/>
    <s v="eva.smith@example.com"/>
    <s v="3191009003"/>
    <x v="3"/>
    <x v="1"/>
  </r>
  <r>
    <s v="EMP1835"/>
    <s v="Eva"/>
    <s v="Brown"/>
    <x v="0"/>
    <x v="0"/>
    <x v="3"/>
    <x v="1"/>
    <x v="670"/>
    <n v="90100.2"/>
    <s v="eva.brown@example.com"/>
    <s v="476921052"/>
    <x v="2"/>
    <x v="1"/>
  </r>
  <r>
    <s v="EMP1836"/>
    <s v="Eva"/>
    <s v="Williams"/>
    <x v="1"/>
    <x v="3"/>
    <x v="0"/>
    <x v="2"/>
    <x v="671"/>
    <n v="58877.49"/>
    <s v="eva.williams@example.com"/>
    <s v="3651460400"/>
    <x v="1"/>
    <x v="1"/>
  </r>
  <r>
    <s v="EMP1837"/>
    <s v="Eva"/>
    <s v="Jones"/>
    <x v="3"/>
    <x v="2"/>
    <x v="5"/>
    <x v="2"/>
    <x v="672"/>
    <m/>
    <s v="eva.jones@example.com"/>
    <s v="4247310719"/>
    <x v="1"/>
    <x v="1"/>
  </r>
  <r>
    <s v="EMP1838"/>
    <s v="Bob"/>
    <s v="Brown"/>
    <x v="1"/>
    <x v="2"/>
    <x v="5"/>
    <x v="1"/>
    <x v="673"/>
    <n v="96140.89"/>
    <s v="bob.brown@example.com"/>
    <s v="1137984408"/>
    <x v="0"/>
    <x v="0"/>
  </r>
  <r>
    <s v="EMP1839"/>
    <s v="Charlie"/>
    <s v="Jones"/>
    <x v="3"/>
    <x v="0"/>
    <x v="4"/>
    <x v="2"/>
    <x v="674"/>
    <n v="105956.04"/>
    <s v="charlie.jones@example.com"/>
    <s v="7123166006"/>
    <x v="1"/>
    <x v="1"/>
  </r>
  <r>
    <s v="EMP1840"/>
    <s v="Frank"/>
    <s v="Davis"/>
    <x v="0"/>
    <x v="2"/>
    <x v="5"/>
    <x v="0"/>
    <x v="675"/>
    <n v="84716.38"/>
    <s v="frank.davis@example.com"/>
    <s v="6762090143"/>
    <x v="2"/>
    <x v="1"/>
  </r>
  <r>
    <s v="EMP1841"/>
    <s v="Grace"/>
    <s v="Garcia"/>
    <x v="1"/>
    <x v="0"/>
    <x v="3"/>
    <x v="1"/>
    <x v="388"/>
    <n v="61709.83"/>
    <s v="grace.garcia@example.com"/>
    <s v="7340433699"/>
    <x v="2"/>
    <x v="0"/>
  </r>
  <r>
    <s v="EMP1842"/>
    <s v="Frank"/>
    <s v="Smith"/>
    <x v="0"/>
    <x v="0"/>
    <x v="0"/>
    <x v="0"/>
    <x v="676"/>
    <n v="61732.03"/>
    <s v="frank.smith@example.com"/>
    <s v="9687304518"/>
    <x v="0"/>
    <x v="0"/>
  </r>
  <r>
    <s v="EMP1843"/>
    <s v="Eva"/>
    <s v="Davis"/>
    <x v="2"/>
    <x v="0"/>
    <x v="5"/>
    <x v="0"/>
    <x v="677"/>
    <n v="97845.7"/>
    <s v="eva.davis@example.com"/>
    <s v="5778255881"/>
    <x v="2"/>
    <x v="0"/>
  </r>
  <r>
    <s v="EMP1844"/>
    <s v="Eva"/>
    <s v="Jones"/>
    <x v="1"/>
    <x v="4"/>
    <x v="3"/>
    <x v="0"/>
    <x v="678"/>
    <n v="114905.58"/>
    <s v="eva.jones@example.com"/>
    <s v="5562965753"/>
    <x v="3"/>
    <x v="1"/>
  </r>
  <r>
    <s v="EMP1845"/>
    <s v="Frank"/>
    <s v="Jones"/>
    <x v="1"/>
    <x v="0"/>
    <x v="1"/>
    <x v="0"/>
    <x v="658"/>
    <n v="94619.69"/>
    <s v="frank.jones@example.com"/>
    <s v="2786561941"/>
    <x v="2"/>
    <x v="0"/>
  </r>
  <r>
    <s v="EMP1846"/>
    <s v="Grace"/>
    <s v="Johnson"/>
    <x v="1"/>
    <x v="0"/>
    <x v="0"/>
    <x v="2"/>
    <x v="679"/>
    <n v="68696.149999999994"/>
    <s v="grace.johnson@example.com"/>
    <s v="5577820581"/>
    <x v="2"/>
    <x v="1"/>
  </r>
  <r>
    <s v="EMP1847"/>
    <s v="Grace"/>
    <s v="Johnson"/>
    <x v="2"/>
    <x v="0"/>
    <x v="2"/>
    <x v="0"/>
    <x v="680"/>
    <n v="97032.29"/>
    <s v="grace.johnson@example.com"/>
    <s v="9582923615"/>
    <x v="1"/>
    <x v="1"/>
  </r>
  <r>
    <s v="EMP1848"/>
    <s v="Frank"/>
    <s v="Davis"/>
    <x v="1"/>
    <x v="5"/>
    <x v="5"/>
    <x v="0"/>
    <x v="246"/>
    <n v="50593.33"/>
    <s v="frank.davis@example.com"/>
    <s v="1880819047"/>
    <x v="1"/>
    <x v="0"/>
  </r>
  <r>
    <s v="EMP1849"/>
    <s v="Grace"/>
    <s v="Miller"/>
    <x v="0"/>
    <x v="4"/>
    <x v="1"/>
    <x v="1"/>
    <x v="440"/>
    <n v="74606.149999999994"/>
    <s v="grace.miller@example.com"/>
    <s v="2357155867"/>
    <x v="2"/>
    <x v="0"/>
  </r>
  <r>
    <s v="EMP1850"/>
    <s v="Eva"/>
    <s v="Davis"/>
    <x v="1"/>
    <x v="3"/>
    <x v="1"/>
    <x v="1"/>
    <x v="681"/>
    <n v="53981.73"/>
    <s v="eva.davis@example.com"/>
    <s v="6395613722"/>
    <x v="0"/>
    <x v="1"/>
  </r>
  <r>
    <s v="EMP1851"/>
    <s v="David"/>
    <s v="Johnson"/>
    <x v="1"/>
    <x v="0"/>
    <x v="1"/>
    <x v="1"/>
    <x v="682"/>
    <n v="56047.05"/>
    <s v="david.johnson@example.com"/>
    <s v="817214363"/>
    <x v="1"/>
    <x v="0"/>
  </r>
  <r>
    <s v="EMP1852"/>
    <s v="Grace"/>
    <s v="Jones"/>
    <x v="1"/>
    <x v="2"/>
    <x v="1"/>
    <x v="1"/>
    <x v="683"/>
    <n v="67733.5"/>
    <s v="grace.jones@example.com"/>
    <s v="3813000412"/>
    <x v="0"/>
    <x v="1"/>
  </r>
  <r>
    <s v="EMP1853"/>
    <s v="Bob"/>
    <s v="Williams"/>
    <x v="2"/>
    <x v="5"/>
    <x v="3"/>
    <x v="1"/>
    <x v="276"/>
    <n v="103891.64"/>
    <s v="bob.williams@example.com"/>
    <s v="2114716559"/>
    <x v="2"/>
    <x v="0"/>
  </r>
  <r>
    <s v="EMP1854"/>
    <s v="Charlie"/>
    <s v="Davis"/>
    <x v="0"/>
    <x v="5"/>
    <x v="1"/>
    <x v="2"/>
    <x v="449"/>
    <n v="73285.83"/>
    <s v="charlie.davis@example.com"/>
    <s v="9456534698"/>
    <x v="2"/>
    <x v="0"/>
  </r>
  <r>
    <s v="EMP1855"/>
    <s v="Eva"/>
    <s v="Jones"/>
    <x v="1"/>
    <x v="1"/>
    <x v="1"/>
    <x v="2"/>
    <x v="684"/>
    <n v="92721.13"/>
    <s v="eva.jones@example.com"/>
    <s v="7990707549"/>
    <x v="3"/>
    <x v="0"/>
  </r>
  <r>
    <s v="EMP1856"/>
    <s v="Heidi"/>
    <s v="Williams"/>
    <x v="0"/>
    <x v="2"/>
    <x v="5"/>
    <x v="2"/>
    <x v="309"/>
    <n v="92977.64"/>
    <s v="heidi.williams@example.com"/>
    <s v="4768169956"/>
    <x v="1"/>
    <x v="1"/>
  </r>
  <r>
    <s v="EMP1857"/>
    <s v="Heidi"/>
    <s v="Williams"/>
    <x v="3"/>
    <x v="3"/>
    <x v="1"/>
    <x v="0"/>
    <x v="685"/>
    <n v="89994.12"/>
    <s v="heidi.williams@example.com"/>
    <s v="607174810"/>
    <x v="2"/>
    <x v="0"/>
  </r>
  <r>
    <s v="EMP1858"/>
    <s v="Heidi"/>
    <s v="Johnson"/>
    <x v="0"/>
    <x v="1"/>
    <x v="4"/>
    <x v="1"/>
    <x v="344"/>
    <n v="50060.73"/>
    <s v="heidi.johnson@example.com"/>
    <s v="3176539704"/>
    <x v="3"/>
    <x v="1"/>
  </r>
  <r>
    <s v="EMP1859"/>
    <s v="Grace"/>
    <s v="Davis"/>
    <x v="3"/>
    <x v="2"/>
    <x v="2"/>
    <x v="2"/>
    <x v="686"/>
    <n v="90224.82"/>
    <s v="grace.davis@example.com"/>
    <s v="4873961028"/>
    <x v="1"/>
    <x v="1"/>
  </r>
  <r>
    <s v="EMP1860"/>
    <s v="Heidi"/>
    <s v="Brown"/>
    <x v="2"/>
    <x v="1"/>
    <x v="3"/>
    <x v="1"/>
    <x v="687"/>
    <n v="106859.3"/>
    <s v="heidi.brown@example.com"/>
    <s v="871827495"/>
    <x v="2"/>
    <x v="1"/>
  </r>
  <r>
    <s v="EMP1861"/>
    <s v="David"/>
    <s v="Smith"/>
    <x v="0"/>
    <x v="1"/>
    <x v="2"/>
    <x v="2"/>
    <x v="230"/>
    <n v="89707.07"/>
    <s v="david.smith@example.com"/>
    <s v="8049187273"/>
    <x v="2"/>
    <x v="1"/>
  </r>
  <r>
    <s v="EMP1862"/>
    <s v="Frank"/>
    <s v="Johnson"/>
    <x v="3"/>
    <x v="0"/>
    <x v="0"/>
    <x v="2"/>
    <x v="379"/>
    <n v="94259.08"/>
    <s v="frank.johnson@example.com"/>
    <s v="2049561212"/>
    <x v="1"/>
    <x v="0"/>
  </r>
  <r>
    <s v="EMP1863"/>
    <s v="Bob"/>
    <s v="Johnson"/>
    <x v="3"/>
    <x v="4"/>
    <x v="0"/>
    <x v="0"/>
    <x v="688"/>
    <n v="82174.75"/>
    <s v="bob.johnson@example.com"/>
    <s v="7730626041"/>
    <x v="1"/>
    <x v="1"/>
  </r>
  <r>
    <s v="EMP1864"/>
    <s v="David"/>
    <s v="Brown"/>
    <x v="1"/>
    <x v="4"/>
    <x v="1"/>
    <x v="2"/>
    <x v="219"/>
    <n v="63370.22"/>
    <s v="david.brown@example.com"/>
    <s v="3597371121"/>
    <x v="1"/>
    <x v="1"/>
  </r>
  <r>
    <s v="EMP1865"/>
    <s v="Bob"/>
    <s v="Smith"/>
    <x v="3"/>
    <x v="1"/>
    <x v="1"/>
    <x v="1"/>
    <x v="689"/>
    <n v="101472.69"/>
    <s v="bob.smith@example.com"/>
    <s v="2990775607"/>
    <x v="2"/>
    <x v="0"/>
  </r>
  <r>
    <s v="EMP1866"/>
    <s v="David"/>
    <s v="Jones"/>
    <x v="0"/>
    <x v="0"/>
    <x v="5"/>
    <x v="0"/>
    <x v="690"/>
    <n v="77213.73"/>
    <s v="david.jones@example.com"/>
    <s v="5816704685"/>
    <x v="2"/>
    <x v="1"/>
  </r>
  <r>
    <s v="EMP1867"/>
    <s v="Eva"/>
    <s v="Miller"/>
    <x v="2"/>
    <x v="4"/>
    <x v="3"/>
    <x v="0"/>
    <x v="114"/>
    <n v="73749.960000000006"/>
    <s v="eva.miller@example.com"/>
    <s v="1114576831"/>
    <x v="3"/>
    <x v="0"/>
  </r>
  <r>
    <s v="EMP1868"/>
    <s v="Alice"/>
    <s v="Davis"/>
    <x v="2"/>
    <x v="3"/>
    <x v="4"/>
    <x v="1"/>
    <x v="691"/>
    <n v="86618.37"/>
    <s v="alice.davis@example.com"/>
    <s v="1021923784"/>
    <x v="0"/>
    <x v="1"/>
  </r>
  <r>
    <s v="EMP1869"/>
    <s v="Charlie"/>
    <s v="Miller"/>
    <x v="1"/>
    <x v="2"/>
    <x v="1"/>
    <x v="0"/>
    <x v="550"/>
    <n v="59911.33"/>
    <s v="charlie.miller@example.com"/>
    <s v="8471296179"/>
    <x v="1"/>
    <x v="0"/>
  </r>
  <r>
    <s v="EMP1870"/>
    <s v="Heidi"/>
    <s v="Jones"/>
    <x v="1"/>
    <x v="3"/>
    <x v="4"/>
    <x v="1"/>
    <x v="302"/>
    <n v="59137.64"/>
    <s v="heidi.jones@example.com"/>
    <s v="3324260507"/>
    <x v="2"/>
    <x v="1"/>
  </r>
  <r>
    <s v="EMP1871"/>
    <s v="Alice"/>
    <s v="Garcia"/>
    <x v="3"/>
    <x v="3"/>
    <x v="3"/>
    <x v="1"/>
    <x v="473"/>
    <n v="108474.65"/>
    <s v="alice.garcia@example.com"/>
    <s v="184980424"/>
    <x v="2"/>
    <x v="0"/>
  </r>
  <r>
    <s v="EMP1872"/>
    <s v="Bob"/>
    <s v="Johnson"/>
    <x v="0"/>
    <x v="1"/>
    <x v="5"/>
    <x v="1"/>
    <x v="174"/>
    <n v="54417.71"/>
    <s v="bob.johnson@example.com"/>
    <s v="3733777311"/>
    <x v="1"/>
    <x v="1"/>
  </r>
  <r>
    <s v="EMP1873"/>
    <s v="Frank"/>
    <s v="Smith"/>
    <x v="2"/>
    <x v="5"/>
    <x v="1"/>
    <x v="1"/>
    <x v="692"/>
    <n v="88211.94"/>
    <s v="frank.smith@example.com"/>
    <s v="6881228216"/>
    <x v="0"/>
    <x v="1"/>
  </r>
  <r>
    <s v="EMP1874"/>
    <s v="David"/>
    <s v="Johnson"/>
    <x v="0"/>
    <x v="4"/>
    <x v="4"/>
    <x v="2"/>
    <x v="213"/>
    <n v="58452.18"/>
    <s v="david.johnson@example.com"/>
    <s v="8192365345"/>
    <x v="1"/>
    <x v="0"/>
  </r>
  <r>
    <s v="EMP1875"/>
    <s v="Grace"/>
    <s v="Williams"/>
    <x v="1"/>
    <x v="0"/>
    <x v="0"/>
    <x v="1"/>
    <x v="235"/>
    <n v="80706.28"/>
    <s v="grace.williams@example.com"/>
    <s v="605603566"/>
    <x v="0"/>
    <x v="0"/>
  </r>
  <r>
    <s v="EMP1876"/>
    <s v="Alice"/>
    <s v="Johnson"/>
    <x v="1"/>
    <x v="3"/>
    <x v="2"/>
    <x v="1"/>
    <x v="170"/>
    <m/>
    <s v="alice.johnson@example.com"/>
    <s v="9327986238"/>
    <x v="2"/>
    <x v="0"/>
  </r>
  <r>
    <s v="EMP1877"/>
    <s v="Heidi"/>
    <s v="Johnson"/>
    <x v="0"/>
    <x v="3"/>
    <x v="1"/>
    <x v="0"/>
    <x v="693"/>
    <n v="99471.89"/>
    <s v="heidi.johnson@example.com"/>
    <s v="8471690617"/>
    <x v="0"/>
    <x v="0"/>
  </r>
  <r>
    <s v="EMP1878"/>
    <s v="Eva"/>
    <s v="Jones"/>
    <x v="2"/>
    <x v="0"/>
    <x v="3"/>
    <x v="1"/>
    <x v="694"/>
    <n v="64431.22"/>
    <s v="eva.jones@example.com"/>
    <s v="1205464753"/>
    <x v="3"/>
    <x v="1"/>
  </r>
  <r>
    <s v="EMP1879"/>
    <s v="Heidi"/>
    <s v="Jones"/>
    <x v="2"/>
    <x v="2"/>
    <x v="4"/>
    <x v="1"/>
    <x v="631"/>
    <n v="52633.48"/>
    <s v="heidi.jones@example.com"/>
    <s v="8954787697"/>
    <x v="2"/>
    <x v="1"/>
  </r>
  <r>
    <s v="EMP1880"/>
    <s v="Heidi"/>
    <s v="Jones"/>
    <x v="1"/>
    <x v="3"/>
    <x v="2"/>
    <x v="2"/>
    <x v="695"/>
    <n v="79315.009999999995"/>
    <s v="heidi.jones@example.com"/>
    <s v="9992751757"/>
    <x v="3"/>
    <x v="0"/>
  </r>
  <r>
    <s v="EMP1881"/>
    <s v="David"/>
    <s v="Miller"/>
    <x v="0"/>
    <x v="4"/>
    <x v="1"/>
    <x v="1"/>
    <x v="696"/>
    <n v="110391.17"/>
    <s v="david.miller@example.com"/>
    <s v="8914444982"/>
    <x v="1"/>
    <x v="1"/>
  </r>
  <r>
    <s v="EMP1882"/>
    <s v="David"/>
    <s v="Williams"/>
    <x v="2"/>
    <x v="0"/>
    <x v="2"/>
    <x v="0"/>
    <x v="697"/>
    <n v="53714.83"/>
    <s v="david.williams@example.com"/>
    <s v="5539354357"/>
    <x v="1"/>
    <x v="0"/>
  </r>
  <r>
    <s v="EMP1883"/>
    <s v="Charlie"/>
    <s v="Garcia"/>
    <x v="2"/>
    <x v="1"/>
    <x v="4"/>
    <x v="0"/>
    <x v="698"/>
    <n v="114587.11"/>
    <s v="charlie.garcia@example.com"/>
    <s v="6449639242"/>
    <x v="1"/>
    <x v="0"/>
  </r>
  <r>
    <s v="EMP1884"/>
    <s v="Frank"/>
    <s v="Garcia"/>
    <x v="3"/>
    <x v="2"/>
    <x v="3"/>
    <x v="2"/>
    <x v="699"/>
    <n v="93177.35"/>
    <s v="frank.garcia@example.com"/>
    <s v="5885379820"/>
    <x v="0"/>
    <x v="1"/>
  </r>
  <r>
    <s v="EMP1885"/>
    <s v="Heidi"/>
    <s v="Jones"/>
    <x v="0"/>
    <x v="3"/>
    <x v="2"/>
    <x v="0"/>
    <x v="350"/>
    <n v="62312.13"/>
    <s v="heidi.jones@example.com"/>
    <s v="4339527535"/>
    <x v="2"/>
    <x v="1"/>
  </r>
  <r>
    <s v="EMP1886"/>
    <s v="Heidi"/>
    <s v="Smith"/>
    <x v="1"/>
    <x v="3"/>
    <x v="1"/>
    <x v="0"/>
    <x v="700"/>
    <n v="81137.460000000006"/>
    <s v="heidi.smith@example.com"/>
    <s v="7497852490"/>
    <x v="1"/>
    <x v="1"/>
  </r>
  <r>
    <s v="EMP1887"/>
    <s v="Grace"/>
    <s v="Miller"/>
    <x v="1"/>
    <x v="0"/>
    <x v="2"/>
    <x v="2"/>
    <x v="701"/>
    <n v="104528.27"/>
    <s v="grace.miller@example.com"/>
    <s v="4168601346"/>
    <x v="1"/>
    <x v="1"/>
  </r>
  <r>
    <s v="EMP1888"/>
    <s v="Bob"/>
    <s v="Brown"/>
    <x v="1"/>
    <x v="0"/>
    <x v="3"/>
    <x v="0"/>
    <x v="286"/>
    <n v="112395.56"/>
    <s v="bob.brown@example.com"/>
    <s v="7894896339"/>
    <x v="2"/>
    <x v="1"/>
  </r>
  <r>
    <s v="EMP1889"/>
    <s v="Heidi"/>
    <s v="Smith"/>
    <x v="0"/>
    <x v="1"/>
    <x v="4"/>
    <x v="0"/>
    <x v="702"/>
    <n v="81849.36"/>
    <s v="heidi.smith@example.com"/>
    <s v="6791766511"/>
    <x v="1"/>
    <x v="1"/>
  </r>
  <r>
    <s v="EMP1890"/>
    <s v="Charlie"/>
    <s v="Davis"/>
    <x v="2"/>
    <x v="0"/>
    <x v="4"/>
    <x v="1"/>
    <x v="404"/>
    <n v="118288.91"/>
    <s v="charlie.davis@example.com"/>
    <s v="2150014187"/>
    <x v="3"/>
    <x v="1"/>
  </r>
  <r>
    <s v="EMP1891"/>
    <s v="Charlie"/>
    <s v="Davis"/>
    <x v="0"/>
    <x v="0"/>
    <x v="5"/>
    <x v="0"/>
    <x v="332"/>
    <n v="59555.1"/>
    <s v="charlie.davis@example.com"/>
    <s v="4216309000"/>
    <x v="2"/>
    <x v="0"/>
  </r>
  <r>
    <s v="EMP1892"/>
    <s v="Heidi"/>
    <s v="Smith"/>
    <x v="2"/>
    <x v="2"/>
    <x v="0"/>
    <x v="0"/>
    <x v="519"/>
    <n v="70661.31"/>
    <s v="heidi.smith@example.com"/>
    <s v="5944633398"/>
    <x v="2"/>
    <x v="0"/>
  </r>
  <r>
    <s v="EMP1893"/>
    <s v="Charlie"/>
    <s v="Jones"/>
    <x v="1"/>
    <x v="4"/>
    <x v="4"/>
    <x v="0"/>
    <x v="369"/>
    <n v="109988.16"/>
    <s v="charlie.jones@example.com"/>
    <s v="9485320894"/>
    <x v="2"/>
    <x v="0"/>
  </r>
  <r>
    <s v="EMP1894"/>
    <s v="David"/>
    <s v="Brown"/>
    <x v="1"/>
    <x v="1"/>
    <x v="3"/>
    <x v="2"/>
    <x v="703"/>
    <n v="101101.24"/>
    <s v="david.brown@example.com"/>
    <s v="3263890218"/>
    <x v="3"/>
    <x v="0"/>
  </r>
  <r>
    <s v="EMP1895"/>
    <s v="David"/>
    <s v="Brown"/>
    <x v="1"/>
    <x v="5"/>
    <x v="3"/>
    <x v="1"/>
    <x v="704"/>
    <n v="112427.58"/>
    <s v="david.brown@example.com"/>
    <s v="9471136336"/>
    <x v="2"/>
    <x v="0"/>
  </r>
  <r>
    <s v="EMP1896"/>
    <s v="Charlie"/>
    <s v="Miller"/>
    <x v="1"/>
    <x v="3"/>
    <x v="3"/>
    <x v="0"/>
    <x v="78"/>
    <n v="119389.15"/>
    <s v="charlie.miller@example.com"/>
    <s v="9223410345"/>
    <x v="3"/>
    <x v="1"/>
  </r>
  <r>
    <s v="EMP1897"/>
    <s v="Alice"/>
    <s v="Brown"/>
    <x v="2"/>
    <x v="4"/>
    <x v="3"/>
    <x v="2"/>
    <x v="705"/>
    <n v="105861.23"/>
    <s v="alice.brown@example.com"/>
    <s v="9967331166"/>
    <x v="2"/>
    <x v="0"/>
  </r>
  <r>
    <s v="EMP1898"/>
    <s v="Heidi"/>
    <s v="Davis"/>
    <x v="2"/>
    <x v="2"/>
    <x v="1"/>
    <x v="1"/>
    <x v="215"/>
    <n v="50869.61"/>
    <s v="heidi.davis@example.com"/>
    <s v="7269608436"/>
    <x v="0"/>
    <x v="0"/>
  </r>
  <r>
    <s v="EMP1899"/>
    <s v="David"/>
    <s v="Williams"/>
    <x v="1"/>
    <x v="5"/>
    <x v="0"/>
    <x v="0"/>
    <x v="513"/>
    <m/>
    <s v="david.williams@example.com"/>
    <s v="6855078966"/>
    <x v="1"/>
    <x v="0"/>
  </r>
  <r>
    <s v="EMP1900"/>
    <s v="Eva"/>
    <s v="Jones"/>
    <x v="1"/>
    <x v="0"/>
    <x v="3"/>
    <x v="1"/>
    <x v="140"/>
    <n v="90856.21"/>
    <s v="eva.jones@example.com"/>
    <s v="9352196262"/>
    <x v="0"/>
    <x v="0"/>
  </r>
  <r>
    <s v="EMP1901"/>
    <s v="Heidi"/>
    <s v="Brown"/>
    <x v="1"/>
    <x v="0"/>
    <x v="3"/>
    <x v="0"/>
    <x v="155"/>
    <n v="111008.63"/>
    <s v="heidi.brown@example.com"/>
    <s v="3556434368"/>
    <x v="1"/>
    <x v="0"/>
  </r>
  <r>
    <s v="EMP1902"/>
    <s v="Alice"/>
    <s v="Miller"/>
    <x v="0"/>
    <x v="1"/>
    <x v="2"/>
    <x v="2"/>
    <x v="65"/>
    <n v="52289.99"/>
    <s v="alice.miller@example.com"/>
    <s v="7093170694"/>
    <x v="3"/>
    <x v="0"/>
  </r>
  <r>
    <s v="EMP1903"/>
    <s v="Eva"/>
    <s v="Davis"/>
    <x v="1"/>
    <x v="4"/>
    <x v="5"/>
    <x v="0"/>
    <x v="706"/>
    <n v="97926.56"/>
    <s v="eva.davis@example.com"/>
    <s v="5607676163"/>
    <x v="0"/>
    <x v="0"/>
  </r>
  <r>
    <s v="EMP1904"/>
    <s v="Frank"/>
    <s v="Williams"/>
    <x v="0"/>
    <x v="4"/>
    <x v="2"/>
    <x v="2"/>
    <x v="707"/>
    <n v="53609.38"/>
    <s v="frank.williams@example.com"/>
    <s v="5345472238"/>
    <x v="2"/>
    <x v="1"/>
  </r>
  <r>
    <s v="EMP1905"/>
    <s v="Heidi"/>
    <s v="Johnson"/>
    <x v="1"/>
    <x v="3"/>
    <x v="0"/>
    <x v="2"/>
    <x v="268"/>
    <n v="95372.09"/>
    <s v="heidi.johnson@example.com"/>
    <s v="8983065030"/>
    <x v="1"/>
    <x v="1"/>
  </r>
  <r>
    <s v="EMP1906"/>
    <s v="David"/>
    <s v="Johnson"/>
    <x v="1"/>
    <x v="5"/>
    <x v="4"/>
    <x v="1"/>
    <x v="527"/>
    <n v="95432.69"/>
    <s v="david.johnson@example.com"/>
    <s v="2198041846"/>
    <x v="1"/>
    <x v="0"/>
  </r>
  <r>
    <s v="EMP1907"/>
    <s v="David"/>
    <s v="Williams"/>
    <x v="1"/>
    <x v="5"/>
    <x v="0"/>
    <x v="2"/>
    <x v="708"/>
    <n v="97615.87"/>
    <s v="david.williams@example.com"/>
    <s v="2426423641"/>
    <x v="0"/>
    <x v="1"/>
  </r>
  <r>
    <s v="EMP1908"/>
    <s v="Bob"/>
    <s v="Davis"/>
    <x v="3"/>
    <x v="5"/>
    <x v="3"/>
    <x v="2"/>
    <x v="374"/>
    <n v="86867.78"/>
    <s v="bob.davis@example.com"/>
    <s v="8131909247"/>
    <x v="3"/>
    <x v="1"/>
  </r>
  <r>
    <s v="EMP1909"/>
    <s v="Eva"/>
    <s v="Miller"/>
    <x v="2"/>
    <x v="4"/>
    <x v="0"/>
    <x v="1"/>
    <x v="709"/>
    <n v="106615.71"/>
    <s v="eva.miller@example.com"/>
    <s v="7623039110"/>
    <x v="0"/>
    <x v="1"/>
  </r>
  <r>
    <s v="EMP1910"/>
    <s v="Bob"/>
    <s v="Williams"/>
    <x v="1"/>
    <x v="1"/>
    <x v="1"/>
    <x v="0"/>
    <x v="710"/>
    <n v="112856.21"/>
    <s v="bob.williams@example.com"/>
    <s v="4281785227"/>
    <x v="3"/>
    <x v="1"/>
  </r>
  <r>
    <s v="EMP1911"/>
    <s v="Bob"/>
    <s v="Jones"/>
    <x v="0"/>
    <x v="2"/>
    <x v="0"/>
    <x v="0"/>
    <x v="587"/>
    <n v="60356.78"/>
    <s v="bob.jones@example.com"/>
    <s v="2305248087"/>
    <x v="3"/>
    <x v="0"/>
  </r>
  <r>
    <s v="EMP1912"/>
    <s v="David"/>
    <s v="Jones"/>
    <x v="1"/>
    <x v="0"/>
    <x v="1"/>
    <x v="2"/>
    <x v="711"/>
    <n v="117870.22"/>
    <s v="david.jones@example.com"/>
    <s v="622072238"/>
    <x v="1"/>
    <x v="1"/>
  </r>
  <r>
    <s v="EMP1913"/>
    <s v="Charlie"/>
    <s v="Johnson"/>
    <x v="2"/>
    <x v="5"/>
    <x v="3"/>
    <x v="2"/>
    <x v="712"/>
    <n v="95127.91"/>
    <s v="charlie.johnson@example.com"/>
    <s v="5947372131"/>
    <x v="0"/>
    <x v="1"/>
  </r>
  <r>
    <s v="EMP1914"/>
    <s v="Bob"/>
    <s v="Brown"/>
    <x v="0"/>
    <x v="2"/>
    <x v="5"/>
    <x v="1"/>
    <x v="713"/>
    <n v="78818.42"/>
    <s v="bob.brown@example.com"/>
    <s v="9016204786"/>
    <x v="0"/>
    <x v="1"/>
  </r>
  <r>
    <s v="EMP1915"/>
    <s v="Frank"/>
    <s v="Miller"/>
    <x v="2"/>
    <x v="4"/>
    <x v="2"/>
    <x v="1"/>
    <x v="714"/>
    <n v="108933.55"/>
    <s v="frank.miller@example.com"/>
    <s v="6886878598"/>
    <x v="3"/>
    <x v="0"/>
  </r>
  <r>
    <s v="EMP1916"/>
    <s v="Eva"/>
    <s v="Johnson"/>
    <x v="1"/>
    <x v="2"/>
    <x v="0"/>
    <x v="0"/>
    <x v="191"/>
    <n v="68200.52"/>
    <s v="eva.johnson@example.com"/>
    <s v="6486287202"/>
    <x v="0"/>
    <x v="0"/>
  </r>
  <r>
    <s v="EMP1917"/>
    <s v="Eva"/>
    <s v="Brown"/>
    <x v="0"/>
    <x v="2"/>
    <x v="0"/>
    <x v="2"/>
    <x v="715"/>
    <n v="116934.97"/>
    <s v="eva.brown@example.com"/>
    <s v="1954196663"/>
    <x v="2"/>
    <x v="0"/>
  </r>
  <r>
    <s v="EMP1918"/>
    <s v="Charlie"/>
    <s v="Brown"/>
    <x v="1"/>
    <x v="5"/>
    <x v="4"/>
    <x v="0"/>
    <x v="403"/>
    <n v="99567.78"/>
    <s v="charlie.brown@example.com"/>
    <s v="5057303626"/>
    <x v="2"/>
    <x v="0"/>
  </r>
  <r>
    <s v="EMP1919"/>
    <s v="Charlie"/>
    <s v="Garcia"/>
    <x v="1"/>
    <x v="2"/>
    <x v="1"/>
    <x v="0"/>
    <x v="716"/>
    <n v="90216.76"/>
    <s v="charlie.garcia@example.com"/>
    <s v="9246320373"/>
    <x v="0"/>
    <x v="0"/>
  </r>
  <r>
    <s v="EMP1920"/>
    <s v="Frank"/>
    <s v="Jones"/>
    <x v="1"/>
    <x v="2"/>
    <x v="5"/>
    <x v="1"/>
    <x v="717"/>
    <n v="96588.73"/>
    <s v="frank.jones@example.com"/>
    <s v="7677537259"/>
    <x v="0"/>
    <x v="0"/>
  </r>
  <r>
    <s v="EMP1921"/>
    <s v="Charlie"/>
    <s v="Davis"/>
    <x v="3"/>
    <x v="1"/>
    <x v="5"/>
    <x v="0"/>
    <x v="237"/>
    <n v="71109.179999999993"/>
    <s v="charlie.davis@example.com"/>
    <s v="3214505765"/>
    <x v="3"/>
    <x v="0"/>
  </r>
  <r>
    <s v="EMP1922"/>
    <s v="Grace"/>
    <s v="Smith"/>
    <x v="2"/>
    <x v="2"/>
    <x v="3"/>
    <x v="2"/>
    <x v="551"/>
    <n v="50300.6"/>
    <s v="grace.smith@example.com"/>
    <s v="1945887070"/>
    <x v="2"/>
    <x v="1"/>
  </r>
  <r>
    <s v="EMP1923"/>
    <s v="Frank"/>
    <s v="Davis"/>
    <x v="3"/>
    <x v="1"/>
    <x v="0"/>
    <x v="1"/>
    <x v="47"/>
    <n v="60295.839999999997"/>
    <s v="frank.davis@example.com"/>
    <s v="5534820127"/>
    <x v="2"/>
    <x v="1"/>
  </r>
  <r>
    <s v="EMP1924"/>
    <s v="Heidi"/>
    <s v="Smith"/>
    <x v="3"/>
    <x v="0"/>
    <x v="1"/>
    <x v="1"/>
    <x v="718"/>
    <n v="113012.21"/>
    <s v="heidi.smith@example.com"/>
    <s v="4008385075"/>
    <x v="1"/>
    <x v="1"/>
  </r>
  <r>
    <s v="EMP1925"/>
    <s v="Bob"/>
    <s v="Williams"/>
    <x v="3"/>
    <x v="3"/>
    <x v="3"/>
    <x v="1"/>
    <x v="688"/>
    <n v="65425.54"/>
    <s v="bob.williams@example.com"/>
    <s v="5975954507"/>
    <x v="3"/>
    <x v="0"/>
  </r>
  <r>
    <s v="EMP1926"/>
    <s v="Frank"/>
    <s v="Jones"/>
    <x v="0"/>
    <x v="4"/>
    <x v="2"/>
    <x v="0"/>
    <x v="133"/>
    <n v="86850.37"/>
    <s v="frank.jones@example.com"/>
    <s v="9177680897"/>
    <x v="1"/>
    <x v="0"/>
  </r>
  <r>
    <s v="EMP1927"/>
    <s v="Eva"/>
    <s v="Brown"/>
    <x v="1"/>
    <x v="3"/>
    <x v="1"/>
    <x v="1"/>
    <x v="719"/>
    <n v="81182.070000000007"/>
    <s v="eva.brown@example.com"/>
    <s v="1265742230"/>
    <x v="2"/>
    <x v="0"/>
  </r>
  <r>
    <s v="EMP1928"/>
    <s v="Bob"/>
    <s v="Miller"/>
    <x v="1"/>
    <x v="1"/>
    <x v="4"/>
    <x v="2"/>
    <x v="720"/>
    <n v="92222.03"/>
    <s v="bob.miller@example.com"/>
    <s v="9646300401"/>
    <x v="3"/>
    <x v="0"/>
  </r>
  <r>
    <s v="EMP1929"/>
    <s v="Alice"/>
    <s v="Smith"/>
    <x v="3"/>
    <x v="1"/>
    <x v="4"/>
    <x v="1"/>
    <x v="721"/>
    <n v="79934.83"/>
    <s v="alice.smith@example.com"/>
    <s v="3693626893"/>
    <x v="0"/>
    <x v="0"/>
  </r>
  <r>
    <s v="EMP1930"/>
    <s v="Alice"/>
    <s v="Davis"/>
    <x v="3"/>
    <x v="5"/>
    <x v="0"/>
    <x v="2"/>
    <x v="722"/>
    <n v="111201.12"/>
    <s v="alice.davis@example.com"/>
    <s v="3012047136"/>
    <x v="3"/>
    <x v="1"/>
  </r>
  <r>
    <s v="EMP1931"/>
    <s v="Heidi"/>
    <s v="Brown"/>
    <x v="2"/>
    <x v="1"/>
    <x v="0"/>
    <x v="0"/>
    <x v="664"/>
    <n v="100960.05"/>
    <s v="heidi.brown@example.com"/>
    <s v="2711759573"/>
    <x v="0"/>
    <x v="1"/>
  </r>
  <r>
    <s v="EMP1932"/>
    <s v="Grace"/>
    <s v="Smith"/>
    <x v="1"/>
    <x v="4"/>
    <x v="5"/>
    <x v="0"/>
    <x v="723"/>
    <n v="64544.87"/>
    <s v="grace.smith@example.com"/>
    <s v="9885582983"/>
    <x v="0"/>
    <x v="0"/>
  </r>
  <r>
    <s v="EMP1933"/>
    <s v="Frank"/>
    <s v="Smith"/>
    <x v="0"/>
    <x v="4"/>
    <x v="3"/>
    <x v="0"/>
    <x v="724"/>
    <n v="78662.240000000005"/>
    <s v="frank.smith@example.com"/>
    <s v="9330674583"/>
    <x v="3"/>
    <x v="0"/>
  </r>
  <r>
    <s v="EMP1934"/>
    <s v="Grace"/>
    <s v="Garcia"/>
    <x v="1"/>
    <x v="4"/>
    <x v="3"/>
    <x v="1"/>
    <x v="725"/>
    <n v="102867.06"/>
    <s v="grace.garcia@example.com"/>
    <s v="7609441282"/>
    <x v="0"/>
    <x v="0"/>
  </r>
  <r>
    <s v="EMP1935"/>
    <s v="Charlie"/>
    <s v="Smith"/>
    <x v="2"/>
    <x v="5"/>
    <x v="5"/>
    <x v="2"/>
    <x v="552"/>
    <n v="107595.95"/>
    <s v="charlie.smith@example.com"/>
    <s v="3372188565"/>
    <x v="1"/>
    <x v="0"/>
  </r>
  <r>
    <s v="EMP1936"/>
    <s v="Eva"/>
    <s v="Miller"/>
    <x v="2"/>
    <x v="4"/>
    <x v="2"/>
    <x v="2"/>
    <x v="726"/>
    <m/>
    <s v="eva.miller@example.com"/>
    <s v="6954132970"/>
    <x v="2"/>
    <x v="1"/>
  </r>
  <r>
    <s v="EMP1937"/>
    <s v="Eva"/>
    <s v="Jones"/>
    <x v="3"/>
    <x v="0"/>
    <x v="2"/>
    <x v="2"/>
    <x v="727"/>
    <n v="95766.91"/>
    <s v="eva.jones@example.com"/>
    <s v="5066626704"/>
    <x v="0"/>
    <x v="0"/>
  </r>
  <r>
    <s v="EMP1938"/>
    <s v="Grace"/>
    <s v="Miller"/>
    <x v="1"/>
    <x v="1"/>
    <x v="2"/>
    <x v="1"/>
    <x v="728"/>
    <n v="51990.98"/>
    <s v="grace.miller@example.com"/>
    <s v="5143776935"/>
    <x v="1"/>
    <x v="0"/>
  </r>
  <r>
    <s v="EMP1939"/>
    <s v="Heidi"/>
    <s v="Johnson"/>
    <x v="0"/>
    <x v="4"/>
    <x v="2"/>
    <x v="2"/>
    <x v="584"/>
    <n v="83634.009999999995"/>
    <s v="heidi.johnson@example.com"/>
    <s v="6343925294"/>
    <x v="0"/>
    <x v="0"/>
  </r>
  <r>
    <s v="EMP1940"/>
    <s v="Eva"/>
    <s v="Brown"/>
    <x v="2"/>
    <x v="0"/>
    <x v="1"/>
    <x v="2"/>
    <x v="729"/>
    <m/>
    <s v="eva.brown@example.com"/>
    <s v="9611110285"/>
    <x v="2"/>
    <x v="0"/>
  </r>
  <r>
    <s v="EMP1941"/>
    <s v="Eva"/>
    <s v="Jones"/>
    <x v="1"/>
    <x v="4"/>
    <x v="1"/>
    <x v="0"/>
    <x v="448"/>
    <n v="82273.08"/>
    <s v="eva.jones@example.com"/>
    <s v="7120072023"/>
    <x v="1"/>
    <x v="1"/>
  </r>
  <r>
    <s v="EMP1942"/>
    <s v="Frank"/>
    <s v="Garcia"/>
    <x v="1"/>
    <x v="3"/>
    <x v="0"/>
    <x v="2"/>
    <x v="533"/>
    <n v="94537.3"/>
    <s v="frank.garcia@example.com"/>
    <s v="5591024509"/>
    <x v="2"/>
    <x v="0"/>
  </r>
  <r>
    <s v="EMP1943"/>
    <s v="Alice"/>
    <s v="Jones"/>
    <x v="3"/>
    <x v="5"/>
    <x v="5"/>
    <x v="1"/>
    <x v="318"/>
    <n v="85970.65"/>
    <s v="alice.jones@example.com"/>
    <s v="9109032670"/>
    <x v="2"/>
    <x v="0"/>
  </r>
  <r>
    <s v="EMP1944"/>
    <s v="Charlie"/>
    <s v="Jones"/>
    <x v="0"/>
    <x v="4"/>
    <x v="4"/>
    <x v="1"/>
    <x v="730"/>
    <n v="111071.02"/>
    <s v="charlie.jones@example.com"/>
    <s v="4949819420"/>
    <x v="1"/>
    <x v="1"/>
  </r>
  <r>
    <s v="EMP1945"/>
    <s v="Eva"/>
    <s v="Davis"/>
    <x v="3"/>
    <x v="0"/>
    <x v="2"/>
    <x v="1"/>
    <x v="248"/>
    <n v="56708.34"/>
    <s v="eva.davis@example.com"/>
    <s v="7942817933"/>
    <x v="1"/>
    <x v="1"/>
  </r>
  <r>
    <s v="EMP1946"/>
    <s v="Charlie"/>
    <s v="Jones"/>
    <x v="0"/>
    <x v="2"/>
    <x v="5"/>
    <x v="2"/>
    <x v="382"/>
    <n v="104516.55"/>
    <s v="charlie.jones@example.com"/>
    <s v="652775843"/>
    <x v="1"/>
    <x v="1"/>
  </r>
  <r>
    <s v="EMP1947"/>
    <s v="Charlie"/>
    <s v="Garcia"/>
    <x v="0"/>
    <x v="2"/>
    <x v="4"/>
    <x v="1"/>
    <x v="414"/>
    <n v="108210.15"/>
    <s v="charlie.garcia@example.com"/>
    <s v="6634533721"/>
    <x v="3"/>
    <x v="0"/>
  </r>
  <r>
    <s v="EMP1948"/>
    <s v="Bob"/>
    <s v="Miller"/>
    <x v="2"/>
    <x v="1"/>
    <x v="1"/>
    <x v="0"/>
    <x v="731"/>
    <m/>
    <s v="bob.miller@example.com"/>
    <s v="109121721"/>
    <x v="1"/>
    <x v="0"/>
  </r>
  <r>
    <s v="EMP1949"/>
    <s v="Frank"/>
    <s v="Jones"/>
    <x v="3"/>
    <x v="0"/>
    <x v="0"/>
    <x v="0"/>
    <x v="480"/>
    <n v="80935.649999999994"/>
    <s v="frank.jones@example.com"/>
    <s v="1455937660"/>
    <x v="1"/>
    <x v="1"/>
  </r>
  <r>
    <s v="EMP1950"/>
    <s v="Frank"/>
    <s v="Williams"/>
    <x v="1"/>
    <x v="0"/>
    <x v="0"/>
    <x v="0"/>
    <x v="453"/>
    <n v="107020.19"/>
    <s v="frank.williams@example.com"/>
    <s v="8943705262"/>
    <x v="1"/>
    <x v="1"/>
  </r>
  <r>
    <s v="EMP1951"/>
    <s v="Charlie"/>
    <s v="Brown"/>
    <x v="1"/>
    <x v="5"/>
    <x v="4"/>
    <x v="0"/>
    <x v="154"/>
    <n v="118677.67"/>
    <s v="charlie.brown@example.com"/>
    <s v="5100462775"/>
    <x v="1"/>
    <x v="1"/>
  </r>
  <r>
    <s v="EMP1952"/>
    <s v="Bob"/>
    <s v="Jones"/>
    <x v="0"/>
    <x v="3"/>
    <x v="3"/>
    <x v="2"/>
    <x v="396"/>
    <n v="63744.57"/>
    <s v="bob.jones@example.com"/>
    <s v="5725659201"/>
    <x v="0"/>
    <x v="1"/>
  </r>
  <r>
    <s v="EMP1953"/>
    <s v="Alice"/>
    <s v="Brown"/>
    <x v="2"/>
    <x v="3"/>
    <x v="0"/>
    <x v="0"/>
    <x v="732"/>
    <m/>
    <s v="alice.brown@example.com"/>
    <s v="4617520237"/>
    <x v="3"/>
    <x v="1"/>
  </r>
  <r>
    <s v="EMP1954"/>
    <s v="Bob"/>
    <s v="Williams"/>
    <x v="0"/>
    <x v="4"/>
    <x v="4"/>
    <x v="1"/>
    <x v="733"/>
    <n v="62934.73"/>
    <s v="bob.williams@example.com"/>
    <s v="9743260054"/>
    <x v="2"/>
    <x v="1"/>
  </r>
  <r>
    <s v="EMP1955"/>
    <s v="Bob"/>
    <s v="Williams"/>
    <x v="1"/>
    <x v="0"/>
    <x v="0"/>
    <x v="1"/>
    <x v="695"/>
    <n v="74654.23"/>
    <s v="bob.williams@example.com"/>
    <s v="9550178331"/>
    <x v="1"/>
    <x v="0"/>
  </r>
  <r>
    <s v="EMP1956"/>
    <s v="David"/>
    <s v="Brown"/>
    <x v="1"/>
    <x v="4"/>
    <x v="1"/>
    <x v="0"/>
    <x v="734"/>
    <m/>
    <s v="david.brown@example.com"/>
    <s v="5848689992"/>
    <x v="0"/>
    <x v="0"/>
  </r>
  <r>
    <s v="EMP1957"/>
    <s v="David"/>
    <s v="Smith"/>
    <x v="1"/>
    <x v="5"/>
    <x v="4"/>
    <x v="1"/>
    <x v="735"/>
    <n v="118150.59"/>
    <s v="david.smith@example.com"/>
    <s v="6079848703"/>
    <x v="0"/>
    <x v="0"/>
  </r>
  <r>
    <s v="EMP1958"/>
    <s v="David"/>
    <s v="Johnson"/>
    <x v="1"/>
    <x v="0"/>
    <x v="3"/>
    <x v="2"/>
    <x v="736"/>
    <n v="91256.639999999999"/>
    <s v="david.johnson@example.com"/>
    <s v="5069176798"/>
    <x v="0"/>
    <x v="1"/>
  </r>
  <r>
    <s v="EMP1959"/>
    <s v="Bob"/>
    <s v="Davis"/>
    <x v="1"/>
    <x v="5"/>
    <x v="3"/>
    <x v="2"/>
    <x v="596"/>
    <n v="85997.57"/>
    <s v="bob.davis@example.com"/>
    <s v="3593744038"/>
    <x v="2"/>
    <x v="1"/>
  </r>
  <r>
    <s v="EMP1960"/>
    <s v="Frank"/>
    <s v="Smith"/>
    <x v="0"/>
    <x v="1"/>
    <x v="1"/>
    <x v="1"/>
    <x v="737"/>
    <n v="84707.12"/>
    <s v="frank.smith@example.com"/>
    <s v="4640830372"/>
    <x v="1"/>
    <x v="1"/>
  </r>
  <r>
    <s v="EMP1961"/>
    <s v="Eva"/>
    <s v="Smith"/>
    <x v="1"/>
    <x v="0"/>
    <x v="1"/>
    <x v="0"/>
    <x v="252"/>
    <n v="84559.9"/>
    <s v="eva.smith@example.com"/>
    <s v="6060148859"/>
    <x v="3"/>
    <x v="1"/>
  </r>
  <r>
    <s v="EMP1962"/>
    <s v="Heidi"/>
    <s v="Miller"/>
    <x v="1"/>
    <x v="0"/>
    <x v="0"/>
    <x v="1"/>
    <x v="688"/>
    <n v="81076.91"/>
    <s v="heidi.miller@example.com"/>
    <s v="8490793883"/>
    <x v="3"/>
    <x v="1"/>
  </r>
  <r>
    <s v="EMP1963"/>
    <s v="Eva"/>
    <s v="Davis"/>
    <x v="2"/>
    <x v="2"/>
    <x v="1"/>
    <x v="2"/>
    <x v="738"/>
    <m/>
    <s v="eva.davis@example.com"/>
    <s v="1368528305"/>
    <x v="0"/>
    <x v="1"/>
  </r>
  <r>
    <s v="EMP1964"/>
    <s v="Heidi"/>
    <s v="Davis"/>
    <x v="0"/>
    <x v="1"/>
    <x v="3"/>
    <x v="1"/>
    <x v="739"/>
    <n v="97356.31"/>
    <s v="heidi.davis@example.com"/>
    <s v="1537012423"/>
    <x v="2"/>
    <x v="0"/>
  </r>
  <r>
    <s v="EMP1965"/>
    <s v="Grace"/>
    <s v="Smith"/>
    <x v="2"/>
    <x v="0"/>
    <x v="5"/>
    <x v="0"/>
    <x v="300"/>
    <n v="114770.32"/>
    <s v="grace.smith@example.com"/>
    <s v="4626325143"/>
    <x v="2"/>
    <x v="0"/>
  </r>
  <r>
    <s v="EMP1966"/>
    <s v="Bob"/>
    <s v="Jones"/>
    <x v="3"/>
    <x v="2"/>
    <x v="0"/>
    <x v="0"/>
    <x v="35"/>
    <n v="109082.07"/>
    <s v="bob.jones@example.com"/>
    <s v="8811210313"/>
    <x v="2"/>
    <x v="1"/>
  </r>
  <r>
    <s v="EMP1967"/>
    <s v="David"/>
    <s v="Miller"/>
    <x v="2"/>
    <x v="0"/>
    <x v="3"/>
    <x v="2"/>
    <x v="740"/>
    <n v="99944.57"/>
    <s v="david.miller@example.com"/>
    <s v="2175188780"/>
    <x v="3"/>
    <x v="0"/>
  </r>
  <r>
    <s v="EMP1968"/>
    <s v="Eva"/>
    <s v="Miller"/>
    <x v="2"/>
    <x v="5"/>
    <x v="3"/>
    <x v="1"/>
    <x v="534"/>
    <n v="116509.72"/>
    <s v="eva.miller@example.com"/>
    <s v="7941515262"/>
    <x v="0"/>
    <x v="1"/>
  </r>
  <r>
    <s v="EMP1969"/>
    <s v="Eva"/>
    <s v="Williams"/>
    <x v="1"/>
    <x v="1"/>
    <x v="1"/>
    <x v="0"/>
    <x v="236"/>
    <n v="84253.9"/>
    <s v="eva.williams@example.com"/>
    <s v="8409112251"/>
    <x v="1"/>
    <x v="0"/>
  </r>
  <r>
    <s v="EMP1970"/>
    <s v="Charlie"/>
    <s v="Garcia"/>
    <x v="0"/>
    <x v="3"/>
    <x v="2"/>
    <x v="0"/>
    <x v="741"/>
    <n v="54776.01"/>
    <s v="charlie.garcia@example.com"/>
    <s v="8837505660"/>
    <x v="3"/>
    <x v="1"/>
  </r>
  <r>
    <s v="EMP1971"/>
    <s v="Charlie"/>
    <s v="Davis"/>
    <x v="2"/>
    <x v="4"/>
    <x v="2"/>
    <x v="2"/>
    <x v="742"/>
    <n v="71192.679999999993"/>
    <s v="charlie.davis@example.com"/>
    <s v="8632397912"/>
    <x v="0"/>
    <x v="1"/>
  </r>
  <r>
    <s v="EMP1972"/>
    <s v="Bob"/>
    <s v="Smith"/>
    <x v="1"/>
    <x v="1"/>
    <x v="3"/>
    <x v="0"/>
    <x v="743"/>
    <n v="96346.53"/>
    <s v="bob.smith@example.com"/>
    <s v="7876553006"/>
    <x v="0"/>
    <x v="0"/>
  </r>
  <r>
    <s v="EMP1973"/>
    <s v="Eva"/>
    <s v="Williams"/>
    <x v="1"/>
    <x v="5"/>
    <x v="5"/>
    <x v="1"/>
    <x v="744"/>
    <n v="116680.63"/>
    <s v="eva.williams@example.com"/>
    <s v="3095055604"/>
    <x v="1"/>
    <x v="0"/>
  </r>
  <r>
    <s v="EMP1974"/>
    <s v="Grace"/>
    <s v="Brown"/>
    <x v="0"/>
    <x v="1"/>
    <x v="3"/>
    <x v="2"/>
    <x v="745"/>
    <n v="76343.56"/>
    <s v="grace.brown@example.com"/>
    <s v="7121988191"/>
    <x v="1"/>
    <x v="1"/>
  </r>
  <r>
    <s v="EMP1975"/>
    <s v="Alice"/>
    <s v="Johnson"/>
    <x v="1"/>
    <x v="4"/>
    <x v="2"/>
    <x v="2"/>
    <x v="627"/>
    <n v="99424.14"/>
    <s v="alice.johnson@example.com"/>
    <s v="7788519052"/>
    <x v="1"/>
    <x v="1"/>
  </r>
  <r>
    <s v="EMP1976"/>
    <s v="Charlie"/>
    <s v="Garcia"/>
    <x v="3"/>
    <x v="0"/>
    <x v="3"/>
    <x v="2"/>
    <x v="746"/>
    <n v="57656.74"/>
    <s v="charlie.garcia@example.com"/>
    <s v="4864010423"/>
    <x v="2"/>
    <x v="0"/>
  </r>
  <r>
    <s v="EMP1977"/>
    <s v="Heidi"/>
    <s v="Garcia"/>
    <x v="2"/>
    <x v="4"/>
    <x v="4"/>
    <x v="1"/>
    <x v="314"/>
    <n v="77396.94"/>
    <s v="heidi.garcia@example.com"/>
    <s v="6245618516"/>
    <x v="1"/>
    <x v="0"/>
  </r>
  <r>
    <s v="EMP1978"/>
    <s v="Grace"/>
    <s v="Garcia"/>
    <x v="1"/>
    <x v="0"/>
    <x v="0"/>
    <x v="2"/>
    <x v="747"/>
    <n v="54299.68"/>
    <s v="grace.garcia@example.com"/>
    <s v="4460045211"/>
    <x v="0"/>
    <x v="1"/>
  </r>
  <r>
    <s v="EMP1979"/>
    <s v="Charlie"/>
    <s v="Miller"/>
    <x v="3"/>
    <x v="5"/>
    <x v="2"/>
    <x v="1"/>
    <x v="748"/>
    <n v="103563.58"/>
    <s v="charlie.miller@example.com"/>
    <s v="8991511454"/>
    <x v="1"/>
    <x v="0"/>
  </r>
  <r>
    <s v="EMP1980"/>
    <s v="Grace"/>
    <s v="Brown"/>
    <x v="0"/>
    <x v="1"/>
    <x v="0"/>
    <x v="2"/>
    <x v="369"/>
    <n v="74588.850000000006"/>
    <s v="grace.brown@example.com"/>
    <s v="1293913043"/>
    <x v="0"/>
    <x v="1"/>
  </r>
  <r>
    <s v="EMP1981"/>
    <s v="David"/>
    <s v="Garcia"/>
    <x v="1"/>
    <x v="0"/>
    <x v="0"/>
    <x v="1"/>
    <x v="749"/>
    <n v="113727.23"/>
    <s v="david.garcia@example.com"/>
    <s v="8818984840"/>
    <x v="3"/>
    <x v="1"/>
  </r>
  <r>
    <s v="EMP1982"/>
    <s v="Eva"/>
    <s v="Brown"/>
    <x v="0"/>
    <x v="5"/>
    <x v="4"/>
    <x v="0"/>
    <x v="750"/>
    <n v="72828.179999999993"/>
    <s v="eva.brown@example.com"/>
    <s v="6046154020"/>
    <x v="2"/>
    <x v="1"/>
  </r>
  <r>
    <s v="EMP1983"/>
    <s v="Grace"/>
    <s v="Jones"/>
    <x v="1"/>
    <x v="4"/>
    <x v="3"/>
    <x v="2"/>
    <x v="442"/>
    <n v="98717.09"/>
    <s v="grace.jones@example.com"/>
    <s v="1901707567"/>
    <x v="3"/>
    <x v="1"/>
  </r>
  <r>
    <s v="EMP1984"/>
    <s v="Frank"/>
    <s v="Garcia"/>
    <x v="2"/>
    <x v="4"/>
    <x v="3"/>
    <x v="2"/>
    <x v="231"/>
    <n v="56840.800000000003"/>
    <s v="frank.garcia@example.com"/>
    <s v="1429831521"/>
    <x v="3"/>
    <x v="0"/>
  </r>
  <r>
    <s v="EMP1985"/>
    <s v="David"/>
    <s v="Johnson"/>
    <x v="3"/>
    <x v="1"/>
    <x v="5"/>
    <x v="1"/>
    <x v="751"/>
    <n v="61663.91"/>
    <s v="david.johnson@example.com"/>
    <s v="9107322835"/>
    <x v="0"/>
    <x v="0"/>
  </r>
  <r>
    <s v="EMP1986"/>
    <s v="Grace"/>
    <s v="Brown"/>
    <x v="1"/>
    <x v="1"/>
    <x v="2"/>
    <x v="0"/>
    <x v="752"/>
    <n v="109523.4"/>
    <s v="grace.brown@example.com"/>
    <s v="849378305"/>
    <x v="3"/>
    <x v="0"/>
  </r>
  <r>
    <s v="EMP1987"/>
    <s v="Eva"/>
    <s v="Brown"/>
    <x v="0"/>
    <x v="5"/>
    <x v="5"/>
    <x v="2"/>
    <x v="134"/>
    <n v="65812.02"/>
    <s v="eva.brown@example.com"/>
    <s v="3963845268"/>
    <x v="0"/>
    <x v="0"/>
  </r>
  <r>
    <s v="EMP1988"/>
    <s v="Bob"/>
    <s v="Johnson"/>
    <x v="1"/>
    <x v="3"/>
    <x v="5"/>
    <x v="2"/>
    <x v="753"/>
    <n v="54708.88"/>
    <s v="bob.johnson@example.com"/>
    <s v="6944391648"/>
    <x v="1"/>
    <x v="0"/>
  </r>
  <r>
    <s v="EMP1989"/>
    <s v="Heidi"/>
    <s v="Garcia"/>
    <x v="2"/>
    <x v="2"/>
    <x v="0"/>
    <x v="0"/>
    <x v="447"/>
    <n v="107661.73"/>
    <s v="heidi.garcia@example.com"/>
    <s v="7016934291"/>
    <x v="1"/>
    <x v="0"/>
  </r>
  <r>
    <s v="EMP1990"/>
    <s v="Eva"/>
    <s v="Johnson"/>
    <x v="2"/>
    <x v="0"/>
    <x v="5"/>
    <x v="2"/>
    <x v="733"/>
    <n v="79002"/>
    <s v="eva.johnson@example.com"/>
    <s v="9132033015"/>
    <x v="0"/>
    <x v="0"/>
  </r>
  <r>
    <s v="EMP1991"/>
    <s v="Heidi"/>
    <s v="Brown"/>
    <x v="1"/>
    <x v="2"/>
    <x v="1"/>
    <x v="1"/>
    <x v="754"/>
    <n v="86135.69"/>
    <s v="heidi.brown@example.com"/>
    <s v="2341903105"/>
    <x v="1"/>
    <x v="1"/>
  </r>
  <r>
    <s v="EMP1992"/>
    <s v="Heidi"/>
    <s v="Johnson"/>
    <x v="1"/>
    <x v="0"/>
    <x v="2"/>
    <x v="2"/>
    <x v="755"/>
    <n v="115601.4"/>
    <s v="heidi.johnson@example.com"/>
    <s v="1537221555"/>
    <x v="2"/>
    <x v="0"/>
  </r>
  <r>
    <s v="EMP1993"/>
    <s v="Grace"/>
    <s v="Brown"/>
    <x v="1"/>
    <x v="0"/>
    <x v="2"/>
    <x v="0"/>
    <x v="756"/>
    <n v="64045.36"/>
    <s v="grace.brown@example.com"/>
    <s v="6847323652"/>
    <x v="3"/>
    <x v="0"/>
  </r>
  <r>
    <s v="EMP1994"/>
    <s v="David"/>
    <s v="Brown"/>
    <x v="1"/>
    <x v="0"/>
    <x v="2"/>
    <x v="2"/>
    <x v="757"/>
    <n v="80477.210000000006"/>
    <s v="david.brown@example.com"/>
    <s v="3774604066"/>
    <x v="2"/>
    <x v="1"/>
  </r>
  <r>
    <s v="EMP1995"/>
    <s v="Bob"/>
    <s v="Jones"/>
    <x v="1"/>
    <x v="1"/>
    <x v="0"/>
    <x v="2"/>
    <x v="758"/>
    <n v="61240.9"/>
    <s v="bob.jones@example.com"/>
    <s v="2007843613"/>
    <x v="3"/>
    <x v="0"/>
  </r>
  <r>
    <s v="EMP1996"/>
    <s v="David"/>
    <s v="Smith"/>
    <x v="2"/>
    <x v="2"/>
    <x v="1"/>
    <x v="0"/>
    <x v="759"/>
    <n v="51939.29"/>
    <s v="david.smith@example.com"/>
    <s v="2442607818"/>
    <x v="1"/>
    <x v="0"/>
  </r>
  <r>
    <s v="EMP1997"/>
    <s v="Eva"/>
    <s v="Brown"/>
    <x v="2"/>
    <x v="1"/>
    <x v="5"/>
    <x v="2"/>
    <x v="573"/>
    <n v="95284.54"/>
    <s v="eva.brown@example.com"/>
    <s v="7543734763"/>
    <x v="2"/>
    <x v="1"/>
  </r>
  <r>
    <s v="EMP1998"/>
    <s v="Charlie"/>
    <s v="Garcia"/>
    <x v="3"/>
    <x v="2"/>
    <x v="1"/>
    <x v="2"/>
    <x v="155"/>
    <n v="106247.67"/>
    <s v="charlie.garcia@example.com"/>
    <s v="2737203762"/>
    <x v="1"/>
    <x v="0"/>
  </r>
  <r>
    <s v="EMP1999"/>
    <s v="Charlie"/>
    <s v="Williams"/>
    <x v="0"/>
    <x v="0"/>
    <x v="3"/>
    <x v="0"/>
    <x v="379"/>
    <n v="110170.88"/>
    <s v="charlie.williams@example.com"/>
    <s v="8821458413"/>
    <x v="3"/>
    <x v="0"/>
  </r>
  <r>
    <s v="EMP2000"/>
    <s v="Charlie"/>
    <s v="Miller"/>
    <x v="0"/>
    <x v="5"/>
    <x v="2"/>
    <x v="1"/>
    <x v="14"/>
    <n v="52615.44"/>
    <s v="charlie.miller@example.com"/>
    <s v="8460191343"/>
    <x v="0"/>
    <x v="0"/>
  </r>
  <r>
    <s v="EMP2001"/>
    <s v="Eva"/>
    <s v="Davis"/>
    <x v="1"/>
    <x v="0"/>
    <x v="5"/>
    <x v="2"/>
    <x v="610"/>
    <n v="82547.259999999995"/>
    <s v="eva.davis@example.com"/>
    <s v="3899827801"/>
    <x v="0"/>
    <x v="1"/>
  </r>
  <r>
    <s v="EMP2002"/>
    <s v="Bob"/>
    <s v="Smith"/>
    <x v="3"/>
    <x v="1"/>
    <x v="5"/>
    <x v="1"/>
    <x v="612"/>
    <n v="63049.22"/>
    <s v="bob.smith@example.com"/>
    <s v="586950731"/>
    <x v="2"/>
    <x v="0"/>
  </r>
  <r>
    <s v="EMP2003"/>
    <s v="Frank"/>
    <s v="Smith"/>
    <x v="3"/>
    <x v="5"/>
    <x v="0"/>
    <x v="1"/>
    <x v="482"/>
    <n v="115229.12"/>
    <s v="frank.smith@example.com"/>
    <s v="1464493698"/>
    <x v="1"/>
    <x v="0"/>
  </r>
  <r>
    <s v="EMP2004"/>
    <s v="Grace"/>
    <s v="Smith"/>
    <x v="0"/>
    <x v="0"/>
    <x v="5"/>
    <x v="1"/>
    <x v="356"/>
    <n v="60687.63"/>
    <s v="grace.smith@example.com"/>
    <s v="9516793349"/>
    <x v="1"/>
    <x v="1"/>
  </r>
  <r>
    <s v="EMP2005"/>
    <s v="Frank"/>
    <s v="Jones"/>
    <x v="1"/>
    <x v="1"/>
    <x v="5"/>
    <x v="2"/>
    <x v="572"/>
    <n v="67492.73"/>
    <s v="frank.jones@example.com"/>
    <s v="5573857367"/>
    <x v="2"/>
    <x v="0"/>
  </r>
  <r>
    <s v="EMP2006"/>
    <s v="Grace"/>
    <s v="Brown"/>
    <x v="1"/>
    <x v="5"/>
    <x v="5"/>
    <x v="2"/>
    <x v="281"/>
    <n v="77821.789999999994"/>
    <s v="grace.brown@example.com"/>
    <s v="119236036"/>
    <x v="0"/>
    <x v="1"/>
  </r>
  <r>
    <s v="EMP2007"/>
    <s v="Charlie"/>
    <s v="Jones"/>
    <x v="3"/>
    <x v="0"/>
    <x v="1"/>
    <x v="0"/>
    <x v="457"/>
    <n v="69146.95"/>
    <s v="charlie.jones@example.com"/>
    <s v="6811872332"/>
    <x v="3"/>
    <x v="1"/>
  </r>
  <r>
    <s v="EMP2008"/>
    <s v="Grace"/>
    <s v="Brown"/>
    <x v="3"/>
    <x v="2"/>
    <x v="2"/>
    <x v="2"/>
    <x v="686"/>
    <n v="90224.82"/>
    <s v="grace.brown@example.com"/>
    <s v="5104096148"/>
    <x v="2"/>
    <x v="0"/>
  </r>
  <r>
    <s v="EMP2009"/>
    <s v="David"/>
    <s v="Garcia"/>
    <x v="1"/>
    <x v="1"/>
    <x v="5"/>
    <x v="1"/>
    <x v="107"/>
    <n v="62603.98"/>
    <s v="david.garcia@example.com"/>
    <s v="7315391148"/>
    <x v="3"/>
    <x v="1"/>
  </r>
  <r>
    <s v="EMP2010"/>
    <s v="Bob"/>
    <s v="Jones"/>
    <x v="3"/>
    <x v="4"/>
    <x v="2"/>
    <x v="0"/>
    <x v="14"/>
    <n v="71148.27"/>
    <s v="bob.jones@example.com"/>
    <s v="8307482072"/>
    <x v="0"/>
    <x v="1"/>
  </r>
  <r>
    <s v="EMP2011"/>
    <s v="David"/>
    <s v="Jones"/>
    <x v="2"/>
    <x v="2"/>
    <x v="0"/>
    <x v="2"/>
    <x v="73"/>
    <n v="52031.74"/>
    <s v="david.jones@example.com"/>
    <s v="6511893939"/>
    <x v="1"/>
    <x v="0"/>
  </r>
  <r>
    <s v="EMP2012"/>
    <s v="Grace"/>
    <s v="Miller"/>
    <x v="3"/>
    <x v="0"/>
    <x v="3"/>
    <x v="2"/>
    <x v="543"/>
    <m/>
    <s v="grace.miller@example.com"/>
    <s v="6557820189"/>
    <x v="0"/>
    <x v="1"/>
  </r>
  <r>
    <s v="EMP2013"/>
    <s v="Eva"/>
    <s v="Williams"/>
    <x v="1"/>
    <x v="5"/>
    <x v="5"/>
    <x v="1"/>
    <x v="744"/>
    <n v="116680.63"/>
    <s v="eva.williams@example.com"/>
    <s v="4322302332"/>
    <x v="2"/>
    <x v="1"/>
  </r>
  <r>
    <s v="EMP2014"/>
    <s v="Grace"/>
    <s v="Jones"/>
    <x v="1"/>
    <x v="1"/>
    <x v="2"/>
    <x v="1"/>
    <x v="728"/>
    <n v="51990.98"/>
    <s v="grace.jones@example.com"/>
    <s v="2470739200"/>
    <x v="1"/>
    <x v="0"/>
  </r>
  <r>
    <s v="EMP2015"/>
    <s v="David"/>
    <s v="Miller"/>
    <x v="1"/>
    <x v="5"/>
    <x v="0"/>
    <x v="0"/>
    <x v="513"/>
    <m/>
    <s v="david.miller@example.com"/>
    <s v="3546212759"/>
    <x v="2"/>
    <x v="0"/>
  </r>
  <r>
    <s v="EMP2016"/>
    <s v="David"/>
    <s v="Johnson"/>
    <x v="1"/>
    <x v="3"/>
    <x v="1"/>
    <x v="2"/>
    <x v="55"/>
    <n v="100215.06"/>
    <s v="david.johnson@example.com"/>
    <s v="2508261122"/>
    <x v="2"/>
    <x v="0"/>
  </r>
  <r>
    <s v="EMP2017"/>
    <s v="Charlie"/>
    <s v="Williams"/>
    <x v="2"/>
    <x v="1"/>
    <x v="4"/>
    <x v="0"/>
    <x v="698"/>
    <n v="114587.11"/>
    <s v="charlie.williams@example.com"/>
    <s v="1261632487"/>
    <x v="0"/>
    <x v="1"/>
  </r>
  <r>
    <s v="EMP2018"/>
    <s v="Alice"/>
    <s v="Garcia"/>
    <x v="1"/>
    <x v="5"/>
    <x v="3"/>
    <x v="2"/>
    <x v="627"/>
    <n v="71318.789999999994"/>
    <s v="alice.garcia@example.com"/>
    <s v="8995729892"/>
    <x v="2"/>
    <x v="0"/>
  </r>
  <r>
    <s v="EMP2019"/>
    <s v="Heidi"/>
    <s v="Jones"/>
    <x v="1"/>
    <x v="0"/>
    <x v="5"/>
    <x v="1"/>
    <x v="301"/>
    <n v="77764.240000000005"/>
    <s v="heidi.jones@example.com"/>
    <s v="762974549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BBE390-7AB4-4854-B51C-AD4C52B051B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17:K23" firstHeaderRow="1" firstDataRow="1" firstDataCol="1"/>
  <pivotFields count="16">
    <pivotField dataField="1" showAll="0"/>
    <pivotField showAll="0"/>
    <pivotField showAll="0"/>
    <pivotField showAll="0"/>
    <pivotField showAll="0">
      <items count="7">
        <item x="2"/>
        <item x="3"/>
        <item x="0"/>
        <item x="1"/>
        <item x="5"/>
        <item x="4"/>
        <item t="default"/>
      </items>
    </pivotField>
    <pivotField showAll="0">
      <items count="7">
        <item x="0"/>
        <item x="3"/>
        <item x="5"/>
        <item x="2"/>
        <item x="4"/>
        <item x="1"/>
        <item t="default"/>
      </items>
    </pivotField>
    <pivotField showAll="0">
      <items count="4">
        <item x="0"/>
        <item x="2"/>
        <item x="1"/>
        <item t="default"/>
      </items>
    </pivotField>
    <pivotField axis="axisRow" numFmtId="164" showAll="0">
      <items count="761">
        <item x="571"/>
        <item x="619"/>
        <item x="424"/>
        <item x="408"/>
        <item x="693"/>
        <item x="348"/>
        <item x="724"/>
        <item x="666"/>
        <item x="368"/>
        <item x="90"/>
        <item x="143"/>
        <item x="703"/>
        <item x="19"/>
        <item x="663"/>
        <item x="387"/>
        <item x="113"/>
        <item x="682"/>
        <item x="24"/>
        <item x="136"/>
        <item x="528"/>
        <item x="61"/>
        <item x="630"/>
        <item x="81"/>
        <item x="748"/>
        <item x="6"/>
        <item x="570"/>
        <item x="235"/>
        <item x="637"/>
        <item x="114"/>
        <item x="406"/>
        <item x="189"/>
        <item x="78"/>
        <item x="187"/>
        <item x="552"/>
        <item x="396"/>
        <item x="125"/>
        <item x="158"/>
        <item x="399"/>
        <item x="147"/>
        <item x="188"/>
        <item x="602"/>
        <item x="298"/>
        <item x="676"/>
        <item x="610"/>
        <item x="202"/>
        <item x="554"/>
        <item x="628"/>
        <item x="377"/>
        <item x="379"/>
        <item x="314"/>
        <item x="297"/>
        <item x="33"/>
        <item x="25"/>
        <item x="657"/>
        <item x="180"/>
        <item x="163"/>
        <item x="484"/>
        <item x="230"/>
        <item x="737"/>
        <item x="673"/>
        <item x="652"/>
        <item x="732"/>
        <item x="500"/>
        <item x="84"/>
        <item x="685"/>
        <item x="515"/>
        <item x="185"/>
        <item x="744"/>
        <item x="318"/>
        <item x="206"/>
        <item x="578"/>
        <item x="423"/>
        <item x="671"/>
        <item x="749"/>
        <item x="100"/>
        <item x="228"/>
        <item x="612"/>
        <item x="354"/>
        <item x="196"/>
        <item x="681"/>
        <item x="251"/>
        <item x="378"/>
        <item x="567"/>
        <item x="589"/>
        <item x="319"/>
        <item x="338"/>
        <item x="471"/>
        <item x="422"/>
        <item x="568"/>
        <item x="205"/>
        <item x="463"/>
        <item x="43"/>
        <item x="622"/>
        <item x="742"/>
        <item x="629"/>
        <item x="527"/>
        <item x="173"/>
        <item x="106"/>
        <item x="119"/>
        <item x="481"/>
        <item x="735"/>
        <item x="290"/>
        <item x="308"/>
        <item x="213"/>
        <item x="80"/>
        <item x="79"/>
        <item x="694"/>
        <item x="21"/>
        <item x="176"/>
        <item x="458"/>
        <item x="154"/>
        <item x="395"/>
        <item x="462"/>
        <item x="282"/>
        <item x="324"/>
        <item x="345"/>
        <item x="137"/>
        <item x="446"/>
        <item x="5"/>
        <item x="1"/>
        <item x="52"/>
        <item x="13"/>
        <item x="146"/>
        <item x="351"/>
        <item x="142"/>
        <item x="193"/>
        <item x="359"/>
        <item x="723"/>
        <item x="393"/>
        <item x="442"/>
        <item x="398"/>
        <item x="576"/>
        <item x="342"/>
        <item x="727"/>
        <item x="288"/>
        <item x="551"/>
        <item x="410"/>
        <item x="618"/>
        <item x="654"/>
        <item x="222"/>
        <item x="420"/>
        <item x="636"/>
        <item x="63"/>
        <item x="717"/>
        <item x="638"/>
        <item x="27"/>
        <item x="670"/>
        <item x="473"/>
        <item x="347"/>
        <item x="524"/>
        <item x="268"/>
        <item x="522"/>
        <item x="122"/>
        <item x="467"/>
        <item x="241"/>
        <item x="620"/>
        <item x="405"/>
        <item x="604"/>
        <item x="759"/>
        <item x="271"/>
        <item x="516"/>
        <item x="317"/>
        <item x="62"/>
        <item x="0"/>
        <item x="415"/>
        <item x="755"/>
        <item x="162"/>
        <item x="252"/>
        <item x="455"/>
        <item x="733"/>
        <item x="684"/>
        <item x="468"/>
        <item x="242"/>
        <item x="301"/>
        <item x="538"/>
        <item x="258"/>
        <item x="333"/>
        <item x="352"/>
        <item x="87"/>
        <item x="59"/>
        <item x="596"/>
        <item x="153"/>
        <item x="95"/>
        <item x="309"/>
        <item x="174"/>
        <item x="414"/>
        <item x="145"/>
        <item x="483"/>
        <item x="704"/>
        <item x="726"/>
        <item x="521"/>
        <item x="433"/>
        <item x="192"/>
        <item x="135"/>
        <item x="532"/>
        <item x="701"/>
        <item x="94"/>
        <item x="69"/>
        <item x="390"/>
        <item x="566"/>
        <item x="674"/>
        <item x="485"/>
        <item x="416"/>
        <item x="265"/>
        <item x="435"/>
        <item x="659"/>
        <item x="37"/>
        <item x="152"/>
        <item x="728"/>
        <item x="260"/>
        <item x="613"/>
        <item x="29"/>
        <item x="438"/>
        <item x="30"/>
        <item x="546"/>
        <item x="236"/>
        <item x="15"/>
        <item x="508"/>
        <item x="44"/>
        <item x="392"/>
        <item x="39"/>
        <item x="402"/>
        <item x="234"/>
        <item x="557"/>
        <item x="679"/>
        <item x="32"/>
        <item x="597"/>
        <item x="55"/>
        <item x="753"/>
        <item x="490"/>
        <item x="672"/>
        <item x="697"/>
        <item x="332"/>
        <item x="357"/>
        <item x="640"/>
        <item x="20"/>
        <item x="343"/>
        <item x="678"/>
        <item x="389"/>
        <item x="97"/>
        <item x="132"/>
        <item x="743"/>
        <item x="419"/>
        <item x="340"/>
        <item x="553"/>
        <item x="22"/>
        <item x="504"/>
        <item x="264"/>
        <item x="495"/>
        <item x="51"/>
        <item x="108"/>
        <item x="607"/>
        <item x="139"/>
        <item x="199"/>
        <item x="194"/>
        <item x="437"/>
        <item x="582"/>
        <item x="89"/>
        <item x="334"/>
        <item x="141"/>
        <item x="58"/>
        <item x="275"/>
        <item x="716"/>
        <item x="407"/>
        <item x="203"/>
        <item x="331"/>
        <item x="448"/>
        <item x="747"/>
        <item x="730"/>
        <item x="581"/>
        <item x="274"/>
        <item x="523"/>
        <item x="583"/>
        <item x="656"/>
        <item x="375"/>
        <item x="172"/>
        <item x="644"/>
        <item x="233"/>
        <item x="48"/>
        <item x="614"/>
        <item x="699"/>
        <item x="270"/>
        <item x="713"/>
        <item x="253"/>
        <item x="76"/>
        <item x="486"/>
        <item x="212"/>
        <item x="642"/>
        <item x="751"/>
        <item x="3"/>
        <item x="616"/>
        <item x="683"/>
        <item x="117"/>
        <item x="720"/>
        <item x="695"/>
        <item x="337"/>
        <item x="417"/>
        <item x="383"/>
        <item x="722"/>
        <item x="547"/>
        <item x="306"/>
        <item x="280"/>
        <item x="190"/>
        <item x="517"/>
        <item x="247"/>
        <item x="167"/>
        <item x="254"/>
        <item x="224"/>
        <item x="144"/>
        <item x="510"/>
        <item x="382"/>
        <item x="440"/>
        <item x="227"/>
        <item x="412"/>
        <item x="677"/>
        <item x="327"/>
        <item x="511"/>
        <item x="49"/>
        <item x="459"/>
        <item x="53"/>
        <item x="594"/>
        <item x="362"/>
        <item x="23"/>
        <item x="210"/>
        <item x="711"/>
        <item x="661"/>
        <item x="200"/>
        <item x="293"/>
        <item x="651"/>
        <item x="287"/>
        <item x="572"/>
        <item x="330"/>
        <item x="232"/>
        <item x="99"/>
        <item x="404"/>
        <item x="409"/>
        <item x="220"/>
        <item x="9"/>
        <item x="56"/>
        <item x="285"/>
        <item x="385"/>
        <item x="369"/>
        <item x="595"/>
        <item x="257"/>
        <item x="643"/>
        <item x="4"/>
        <item x="326"/>
        <item x="304"/>
        <item x="367"/>
        <item x="756"/>
        <item x="560"/>
        <item x="573"/>
        <item x="284"/>
        <item x="665"/>
        <item x="93"/>
        <item x="46"/>
        <item x="218"/>
        <item x="449"/>
        <item x="277"/>
        <item x="494"/>
        <item x="216"/>
        <item x="689"/>
        <item x="40"/>
        <item x="291"/>
        <item x="476"/>
        <item x="464"/>
        <item x="321"/>
        <item x="454"/>
        <item x="718"/>
        <item x="488"/>
        <item x="608"/>
        <item x="161"/>
        <item x="457"/>
        <item x="7"/>
        <item x="160"/>
        <item x="544"/>
        <item x="124"/>
        <item x="715"/>
        <item x="363"/>
        <item x="127"/>
        <item x="38"/>
        <item x="444"/>
        <item x="259"/>
        <item x="178"/>
        <item x="323"/>
        <item x="286"/>
        <item x="92"/>
        <item x="335"/>
        <item x="245"/>
        <item x="184"/>
        <item x="98"/>
        <item x="579"/>
        <item x="111"/>
        <item x="531"/>
        <item x="381"/>
        <item x="316"/>
        <item x="96"/>
        <item x="170"/>
        <item x="533"/>
        <item x="328"/>
        <item x="632"/>
        <item x="256"/>
        <item x="540"/>
        <item x="73"/>
        <item x="307"/>
        <item x="690"/>
        <item x="624"/>
        <item x="197"/>
        <item x="577"/>
        <item x="372"/>
        <item x="217"/>
        <item x="585"/>
        <item x="374"/>
        <item x="526"/>
        <item x="621"/>
        <item x="34"/>
        <item x="708"/>
        <item x="487"/>
        <item x="439"/>
        <item x="696"/>
        <item x="710"/>
        <item x="312"/>
        <item x="126"/>
        <item x="563"/>
        <item x="598"/>
        <item x="729"/>
        <item x="243"/>
        <item x="542"/>
        <item x="525"/>
        <item x="64"/>
        <item x="248"/>
        <item x="686"/>
        <item x="177"/>
        <item x="391"/>
        <item x="349"/>
        <item x="279"/>
        <item x="209"/>
        <item x="609"/>
        <item x="714"/>
        <item x="65"/>
        <item x="658"/>
        <item x="237"/>
        <item x="74"/>
        <item x="305"/>
        <item x="229"/>
        <item x="70"/>
        <item x="262"/>
        <item x="150"/>
        <item x="662"/>
        <item x="418"/>
        <item x="556"/>
        <item x="660"/>
        <item x="355"/>
        <item x="394"/>
        <item x="207"/>
        <item x="36"/>
        <item x="702"/>
        <item x="26"/>
        <item x="130"/>
        <item x="499"/>
        <item x="482"/>
        <item x="545"/>
        <item x="226"/>
        <item x="530"/>
        <item x="626"/>
        <item x="310"/>
        <item x="35"/>
        <item x="434"/>
        <item x="88"/>
        <item x="599"/>
        <item x="558"/>
        <item x="432"/>
        <item x="231"/>
        <item x="413"/>
        <item x="549"/>
        <item x="668"/>
        <item x="653"/>
        <item x="692"/>
        <item x="667"/>
        <item x="641"/>
        <item x="166"/>
        <item x="520"/>
        <item x="315"/>
        <item x="329"/>
        <item x="344"/>
        <item x="11"/>
        <item x="698"/>
        <item x="195"/>
        <item x="539"/>
        <item x="543"/>
        <item x="164"/>
        <item x="565"/>
        <item x="430"/>
        <item x="179"/>
        <item x="370"/>
        <item x="590"/>
        <item x="474"/>
        <item x="384"/>
        <item x="82"/>
        <item x="157"/>
        <item x="350"/>
        <item x="584"/>
        <item x="648"/>
        <item x="249"/>
        <item x="615"/>
        <item x="478"/>
        <item x="489"/>
        <item x="443"/>
        <item x="491"/>
        <item x="534"/>
        <item x="42"/>
        <item x="238"/>
        <item x="562"/>
        <item x="361"/>
        <item x="171"/>
        <item x="475"/>
        <item x="294"/>
        <item x="479"/>
        <item x="450"/>
        <item x="466"/>
        <item x="208"/>
        <item x="356"/>
        <item x="606"/>
        <item x="634"/>
        <item x="128"/>
        <item x="750"/>
        <item x="426"/>
        <item x="346"/>
        <item x="299"/>
        <item x="54"/>
        <item x="2"/>
        <item x="465"/>
        <item x="400"/>
        <item x="564"/>
        <item x="60"/>
        <item x="497"/>
        <item x="85"/>
        <item x="138"/>
        <item x="575"/>
        <item x="388"/>
        <item x="493"/>
        <item x="669"/>
        <item x="115"/>
        <item x="8"/>
        <item x="371"/>
        <item x="267"/>
        <item x="758"/>
        <item x="507"/>
        <item x="513"/>
        <item x="302"/>
        <item x="225"/>
        <item x="492"/>
        <item x="86"/>
        <item x="447"/>
        <item x="603"/>
        <item x="266"/>
        <item x="325"/>
        <item x="725"/>
        <item x="133"/>
        <item x="246"/>
        <item x="103"/>
        <item x="219"/>
        <item x="445"/>
        <item x="655"/>
        <item x="501"/>
        <item x="47"/>
        <item x="691"/>
        <item x="276"/>
        <item x="102"/>
        <item x="503"/>
        <item x="739"/>
        <item x="509"/>
        <item x="469"/>
        <item x="168"/>
        <item x="647"/>
        <item x="198"/>
        <item x="57"/>
        <item x="738"/>
        <item x="358"/>
        <item x="366"/>
        <item x="281"/>
        <item x="183"/>
        <item x="498"/>
        <item x="397"/>
        <item x="559"/>
        <item x="28"/>
        <item x="754"/>
        <item x="149"/>
        <item x="91"/>
        <item x="631"/>
        <item x="709"/>
        <item x="411"/>
        <item x="341"/>
        <item x="587"/>
        <item x="535"/>
        <item x="736"/>
        <item x="121"/>
        <item x="255"/>
        <item x="380"/>
        <item x="104"/>
        <item x="365"/>
        <item x="421"/>
        <item x="261"/>
        <item x="118"/>
        <item x="353"/>
        <item x="159"/>
        <item x="322"/>
        <item x="68"/>
        <item x="706"/>
        <item x="649"/>
        <item x="700"/>
        <item x="283"/>
        <item x="586"/>
        <item x="514"/>
        <item x="460"/>
        <item x="263"/>
        <item x="639"/>
        <item x="537"/>
        <item x="505"/>
        <item x="151"/>
        <item x="518"/>
        <item x="625"/>
        <item x="550"/>
        <item x="272"/>
        <item x="712"/>
        <item x="472"/>
        <item x="436"/>
        <item x="300"/>
        <item x="156"/>
        <item x="623"/>
        <item x="320"/>
        <item x="731"/>
        <item x="41"/>
        <item x="548"/>
        <item x="77"/>
        <item x="461"/>
        <item x="425"/>
        <item x="215"/>
        <item x="296"/>
        <item x="250"/>
        <item x="116"/>
        <item x="278"/>
        <item x="453"/>
        <item x="191"/>
        <item x="593"/>
        <item x="386"/>
        <item x="186"/>
        <item x="746"/>
        <item x="175"/>
        <item x="740"/>
        <item x="289"/>
        <item x="401"/>
        <item x="477"/>
        <item x="16"/>
        <item x="580"/>
        <item x="239"/>
        <item x="339"/>
        <item x="601"/>
        <item x="12"/>
        <item x="182"/>
        <item x="155"/>
        <item x="134"/>
        <item x="734"/>
        <item x="120"/>
        <item x="719"/>
        <item x="31"/>
        <item x="223"/>
        <item x="456"/>
        <item x="687"/>
        <item x="496"/>
        <item x="295"/>
        <item x="646"/>
        <item x="10"/>
        <item x="470"/>
        <item x="506"/>
        <item x="360"/>
        <item x="83"/>
        <item x="617"/>
        <item x="428"/>
        <item x="101"/>
        <item x="50"/>
        <item x="541"/>
        <item x="123"/>
        <item x="452"/>
        <item x="574"/>
        <item x="705"/>
        <item x="336"/>
        <item x="650"/>
        <item x="311"/>
        <item x="244"/>
        <item x="112"/>
        <item x="181"/>
        <item x="292"/>
        <item x="480"/>
        <item x="303"/>
        <item x="555"/>
        <item x="221"/>
        <item x="664"/>
        <item x="110"/>
        <item x="502"/>
        <item x="600"/>
        <item x="273"/>
        <item x="204"/>
        <item x="741"/>
        <item x="66"/>
        <item x="512"/>
        <item x="605"/>
        <item x="201"/>
        <item x="403"/>
        <item x="67"/>
        <item x="752"/>
        <item x="688"/>
        <item x="18"/>
        <item x="757"/>
        <item x="376"/>
        <item x="211"/>
        <item x="140"/>
        <item x="169"/>
        <item x="14"/>
        <item x="592"/>
        <item x="75"/>
        <item x="427"/>
        <item x="72"/>
        <item x="721"/>
        <item x="71"/>
        <item x="441"/>
        <item x="313"/>
        <item x="561"/>
        <item x="536"/>
        <item x="105"/>
        <item x="569"/>
        <item x="129"/>
        <item x="588"/>
        <item x="373"/>
        <item x="107"/>
        <item x="429"/>
        <item x="675"/>
        <item x="611"/>
        <item x="431"/>
        <item x="633"/>
        <item x="269"/>
        <item x="131"/>
        <item x="645"/>
        <item x="364"/>
        <item x="17"/>
        <item x="451"/>
        <item x="680"/>
        <item x="745"/>
        <item x="165"/>
        <item x="635"/>
        <item x="45"/>
        <item x="627"/>
        <item x="148"/>
        <item x="214"/>
        <item x="519"/>
        <item x="707"/>
        <item x="240"/>
        <item x="109"/>
        <item x="591"/>
        <item x="529"/>
        <item t="default"/>
      </items>
    </pivotField>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4">
    <field x="15"/>
    <field x="14"/>
    <field x="13"/>
    <field x="7"/>
  </rowFields>
  <rowItems count="6">
    <i>
      <x v="1"/>
    </i>
    <i>
      <x v="2"/>
    </i>
    <i>
      <x v="3"/>
    </i>
    <i>
      <x v="4"/>
    </i>
    <i>
      <x v="5"/>
    </i>
    <i t="grand">
      <x/>
    </i>
  </rowItems>
  <colItems count="1">
    <i/>
  </colItems>
  <dataFields count="1">
    <dataField name="Count of Employee_ID" fld="0" subtotal="count" baseField="0" baseItem="0"/>
  </dataFields>
  <formats count="6">
    <format dxfId="48">
      <pivotArea type="all" dataOnly="0" outline="0" fieldPosition="0"/>
    </format>
    <format dxfId="47">
      <pivotArea outline="0" collapsedLevelsAreSubtotals="1" fieldPosition="0"/>
    </format>
    <format dxfId="46">
      <pivotArea field="15" type="button" dataOnly="0" labelOnly="1" outline="0" axis="axisRow" fieldPosition="0"/>
    </format>
    <format dxfId="45">
      <pivotArea dataOnly="0" labelOnly="1" fieldPosition="0">
        <references count="1">
          <reference field="15" count="5">
            <x v="1"/>
            <x v="2"/>
            <x v="3"/>
            <x v="4"/>
            <x v="5"/>
          </reference>
        </references>
      </pivotArea>
    </format>
    <format dxfId="44">
      <pivotArea dataOnly="0" labelOnly="1" grandRow="1" outline="0" fieldPosition="0"/>
    </format>
    <format dxfId="4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DA0117-45DE-4C41-9E5A-6A7AB73220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16">
    <pivotField showAll="0"/>
    <pivotField showAll="0"/>
    <pivotField showAll="0"/>
    <pivotField dataField="1" showAll="0">
      <items count="5">
        <item x="0"/>
        <item x="1"/>
        <item x="3"/>
        <item x="2"/>
        <item t="default"/>
      </items>
    </pivotField>
    <pivotField showAll="0">
      <items count="7">
        <item x="2"/>
        <item x="3"/>
        <item x="0"/>
        <item x="1"/>
        <item x="5"/>
        <item x="4"/>
        <item t="default"/>
      </items>
    </pivotField>
    <pivotField showAll="0">
      <items count="7">
        <item x="0"/>
        <item x="3"/>
        <item x="5"/>
        <item x="2"/>
        <item x="4"/>
        <item x="1"/>
        <item t="default"/>
      </items>
    </pivotField>
    <pivotField showAll="0">
      <items count="4">
        <item x="0"/>
        <item x="2"/>
        <item x="1"/>
        <item t="default"/>
      </items>
    </pivotField>
    <pivotField numFmtId="164" showAll="0">
      <items count="761">
        <item x="571"/>
        <item x="619"/>
        <item x="424"/>
        <item x="408"/>
        <item x="693"/>
        <item x="348"/>
        <item x="724"/>
        <item x="666"/>
        <item x="368"/>
        <item x="90"/>
        <item x="143"/>
        <item x="703"/>
        <item x="19"/>
        <item x="663"/>
        <item x="387"/>
        <item x="113"/>
        <item x="682"/>
        <item x="24"/>
        <item x="136"/>
        <item x="528"/>
        <item x="61"/>
        <item x="630"/>
        <item x="81"/>
        <item x="748"/>
        <item x="6"/>
        <item x="570"/>
        <item x="235"/>
        <item x="637"/>
        <item x="114"/>
        <item x="406"/>
        <item x="189"/>
        <item x="78"/>
        <item x="187"/>
        <item x="552"/>
        <item x="396"/>
        <item x="125"/>
        <item x="158"/>
        <item x="399"/>
        <item x="147"/>
        <item x="188"/>
        <item x="602"/>
        <item x="298"/>
        <item x="676"/>
        <item x="610"/>
        <item x="202"/>
        <item x="554"/>
        <item x="628"/>
        <item x="377"/>
        <item x="379"/>
        <item x="314"/>
        <item x="297"/>
        <item x="33"/>
        <item x="25"/>
        <item x="657"/>
        <item x="180"/>
        <item x="163"/>
        <item x="484"/>
        <item x="230"/>
        <item x="737"/>
        <item x="673"/>
        <item x="652"/>
        <item x="732"/>
        <item x="500"/>
        <item x="84"/>
        <item x="685"/>
        <item x="515"/>
        <item x="185"/>
        <item x="744"/>
        <item x="318"/>
        <item x="206"/>
        <item x="578"/>
        <item x="423"/>
        <item x="671"/>
        <item x="749"/>
        <item x="100"/>
        <item x="228"/>
        <item x="612"/>
        <item x="354"/>
        <item x="196"/>
        <item x="681"/>
        <item x="251"/>
        <item x="378"/>
        <item x="567"/>
        <item x="589"/>
        <item x="319"/>
        <item x="338"/>
        <item x="471"/>
        <item x="422"/>
        <item x="568"/>
        <item x="205"/>
        <item x="463"/>
        <item x="43"/>
        <item x="622"/>
        <item x="742"/>
        <item x="629"/>
        <item x="527"/>
        <item x="173"/>
        <item x="106"/>
        <item x="119"/>
        <item x="481"/>
        <item x="735"/>
        <item x="290"/>
        <item x="308"/>
        <item x="213"/>
        <item x="80"/>
        <item x="79"/>
        <item x="694"/>
        <item x="21"/>
        <item x="176"/>
        <item x="458"/>
        <item x="154"/>
        <item x="395"/>
        <item x="462"/>
        <item x="282"/>
        <item x="324"/>
        <item x="345"/>
        <item x="137"/>
        <item x="446"/>
        <item x="5"/>
        <item x="1"/>
        <item x="52"/>
        <item x="13"/>
        <item x="146"/>
        <item x="351"/>
        <item x="142"/>
        <item x="193"/>
        <item x="359"/>
        <item x="723"/>
        <item x="393"/>
        <item x="442"/>
        <item x="398"/>
        <item x="576"/>
        <item x="342"/>
        <item x="727"/>
        <item x="288"/>
        <item x="551"/>
        <item x="410"/>
        <item x="618"/>
        <item x="654"/>
        <item x="222"/>
        <item x="420"/>
        <item x="636"/>
        <item x="63"/>
        <item x="717"/>
        <item x="638"/>
        <item x="27"/>
        <item x="670"/>
        <item x="473"/>
        <item x="347"/>
        <item x="524"/>
        <item x="268"/>
        <item x="522"/>
        <item x="122"/>
        <item x="467"/>
        <item x="241"/>
        <item x="620"/>
        <item x="405"/>
        <item x="604"/>
        <item x="759"/>
        <item x="271"/>
        <item x="516"/>
        <item x="317"/>
        <item x="62"/>
        <item x="0"/>
        <item x="415"/>
        <item x="755"/>
        <item x="162"/>
        <item x="252"/>
        <item x="455"/>
        <item x="733"/>
        <item x="684"/>
        <item x="468"/>
        <item x="242"/>
        <item x="301"/>
        <item x="538"/>
        <item x="258"/>
        <item x="333"/>
        <item x="352"/>
        <item x="87"/>
        <item x="59"/>
        <item x="596"/>
        <item x="153"/>
        <item x="95"/>
        <item x="309"/>
        <item x="174"/>
        <item x="414"/>
        <item x="145"/>
        <item x="483"/>
        <item x="704"/>
        <item x="726"/>
        <item x="521"/>
        <item x="433"/>
        <item x="192"/>
        <item x="135"/>
        <item x="532"/>
        <item x="701"/>
        <item x="94"/>
        <item x="69"/>
        <item x="390"/>
        <item x="566"/>
        <item x="674"/>
        <item x="485"/>
        <item x="416"/>
        <item x="265"/>
        <item x="435"/>
        <item x="659"/>
        <item x="37"/>
        <item x="152"/>
        <item x="728"/>
        <item x="260"/>
        <item x="613"/>
        <item x="29"/>
        <item x="438"/>
        <item x="30"/>
        <item x="546"/>
        <item x="236"/>
        <item x="15"/>
        <item x="508"/>
        <item x="44"/>
        <item x="392"/>
        <item x="39"/>
        <item x="402"/>
        <item x="234"/>
        <item x="557"/>
        <item x="679"/>
        <item x="32"/>
        <item x="597"/>
        <item x="55"/>
        <item x="753"/>
        <item x="490"/>
        <item x="672"/>
        <item x="697"/>
        <item x="332"/>
        <item x="357"/>
        <item x="640"/>
        <item x="20"/>
        <item x="343"/>
        <item x="678"/>
        <item x="389"/>
        <item x="97"/>
        <item x="132"/>
        <item x="743"/>
        <item x="419"/>
        <item x="340"/>
        <item x="553"/>
        <item x="22"/>
        <item x="504"/>
        <item x="264"/>
        <item x="495"/>
        <item x="51"/>
        <item x="108"/>
        <item x="607"/>
        <item x="139"/>
        <item x="199"/>
        <item x="194"/>
        <item x="437"/>
        <item x="582"/>
        <item x="89"/>
        <item x="334"/>
        <item x="141"/>
        <item x="58"/>
        <item x="275"/>
        <item x="716"/>
        <item x="407"/>
        <item x="203"/>
        <item x="331"/>
        <item x="448"/>
        <item x="747"/>
        <item x="730"/>
        <item x="581"/>
        <item x="274"/>
        <item x="523"/>
        <item x="583"/>
        <item x="656"/>
        <item x="375"/>
        <item x="172"/>
        <item x="644"/>
        <item x="233"/>
        <item x="48"/>
        <item x="614"/>
        <item x="699"/>
        <item x="270"/>
        <item x="713"/>
        <item x="253"/>
        <item x="76"/>
        <item x="486"/>
        <item x="212"/>
        <item x="642"/>
        <item x="751"/>
        <item x="3"/>
        <item x="616"/>
        <item x="683"/>
        <item x="117"/>
        <item x="720"/>
        <item x="695"/>
        <item x="337"/>
        <item x="417"/>
        <item x="383"/>
        <item x="722"/>
        <item x="547"/>
        <item x="306"/>
        <item x="280"/>
        <item x="190"/>
        <item x="517"/>
        <item x="247"/>
        <item x="167"/>
        <item x="254"/>
        <item x="224"/>
        <item x="144"/>
        <item x="510"/>
        <item x="382"/>
        <item x="440"/>
        <item x="227"/>
        <item x="412"/>
        <item x="677"/>
        <item x="327"/>
        <item x="511"/>
        <item x="49"/>
        <item x="459"/>
        <item x="53"/>
        <item x="594"/>
        <item x="362"/>
        <item x="23"/>
        <item x="210"/>
        <item x="711"/>
        <item x="661"/>
        <item x="200"/>
        <item x="293"/>
        <item x="651"/>
        <item x="287"/>
        <item x="572"/>
        <item x="330"/>
        <item x="232"/>
        <item x="99"/>
        <item x="404"/>
        <item x="409"/>
        <item x="220"/>
        <item x="9"/>
        <item x="56"/>
        <item x="285"/>
        <item x="385"/>
        <item x="369"/>
        <item x="595"/>
        <item x="257"/>
        <item x="643"/>
        <item x="4"/>
        <item x="326"/>
        <item x="304"/>
        <item x="367"/>
        <item x="756"/>
        <item x="560"/>
        <item x="573"/>
        <item x="284"/>
        <item x="665"/>
        <item x="93"/>
        <item x="46"/>
        <item x="218"/>
        <item x="449"/>
        <item x="277"/>
        <item x="494"/>
        <item x="216"/>
        <item x="689"/>
        <item x="40"/>
        <item x="291"/>
        <item x="476"/>
        <item x="464"/>
        <item x="321"/>
        <item x="454"/>
        <item x="718"/>
        <item x="488"/>
        <item x="608"/>
        <item x="161"/>
        <item x="457"/>
        <item x="7"/>
        <item x="160"/>
        <item x="544"/>
        <item x="124"/>
        <item x="715"/>
        <item x="363"/>
        <item x="127"/>
        <item x="38"/>
        <item x="444"/>
        <item x="259"/>
        <item x="178"/>
        <item x="323"/>
        <item x="286"/>
        <item x="92"/>
        <item x="335"/>
        <item x="245"/>
        <item x="184"/>
        <item x="98"/>
        <item x="579"/>
        <item x="111"/>
        <item x="531"/>
        <item x="381"/>
        <item x="316"/>
        <item x="96"/>
        <item x="170"/>
        <item x="533"/>
        <item x="328"/>
        <item x="632"/>
        <item x="256"/>
        <item x="540"/>
        <item x="73"/>
        <item x="307"/>
        <item x="690"/>
        <item x="624"/>
        <item x="197"/>
        <item x="577"/>
        <item x="372"/>
        <item x="217"/>
        <item x="585"/>
        <item x="374"/>
        <item x="526"/>
        <item x="621"/>
        <item x="34"/>
        <item x="708"/>
        <item x="487"/>
        <item x="439"/>
        <item x="696"/>
        <item x="710"/>
        <item x="312"/>
        <item x="126"/>
        <item x="563"/>
        <item x="598"/>
        <item x="729"/>
        <item x="243"/>
        <item x="542"/>
        <item x="525"/>
        <item x="64"/>
        <item x="248"/>
        <item x="686"/>
        <item x="177"/>
        <item x="391"/>
        <item x="349"/>
        <item x="279"/>
        <item x="209"/>
        <item x="609"/>
        <item x="714"/>
        <item x="65"/>
        <item x="658"/>
        <item x="237"/>
        <item x="74"/>
        <item x="305"/>
        <item x="229"/>
        <item x="70"/>
        <item x="262"/>
        <item x="150"/>
        <item x="662"/>
        <item x="418"/>
        <item x="556"/>
        <item x="660"/>
        <item x="355"/>
        <item x="394"/>
        <item x="207"/>
        <item x="36"/>
        <item x="702"/>
        <item x="26"/>
        <item x="130"/>
        <item x="499"/>
        <item x="482"/>
        <item x="545"/>
        <item x="226"/>
        <item x="530"/>
        <item x="626"/>
        <item x="310"/>
        <item x="35"/>
        <item x="434"/>
        <item x="88"/>
        <item x="599"/>
        <item x="558"/>
        <item x="432"/>
        <item x="231"/>
        <item x="413"/>
        <item x="549"/>
        <item x="668"/>
        <item x="653"/>
        <item x="692"/>
        <item x="667"/>
        <item x="641"/>
        <item x="166"/>
        <item x="520"/>
        <item x="315"/>
        <item x="329"/>
        <item x="344"/>
        <item x="11"/>
        <item x="698"/>
        <item x="195"/>
        <item x="539"/>
        <item x="543"/>
        <item x="164"/>
        <item x="565"/>
        <item x="430"/>
        <item x="179"/>
        <item x="370"/>
        <item x="590"/>
        <item x="474"/>
        <item x="384"/>
        <item x="82"/>
        <item x="157"/>
        <item x="350"/>
        <item x="584"/>
        <item x="648"/>
        <item x="249"/>
        <item x="615"/>
        <item x="478"/>
        <item x="489"/>
        <item x="443"/>
        <item x="491"/>
        <item x="534"/>
        <item x="42"/>
        <item x="238"/>
        <item x="562"/>
        <item x="361"/>
        <item x="171"/>
        <item x="475"/>
        <item x="294"/>
        <item x="479"/>
        <item x="450"/>
        <item x="466"/>
        <item x="208"/>
        <item x="356"/>
        <item x="606"/>
        <item x="634"/>
        <item x="128"/>
        <item x="750"/>
        <item x="426"/>
        <item x="346"/>
        <item x="299"/>
        <item x="54"/>
        <item x="2"/>
        <item x="465"/>
        <item x="400"/>
        <item x="564"/>
        <item x="60"/>
        <item x="497"/>
        <item x="85"/>
        <item x="138"/>
        <item x="575"/>
        <item x="388"/>
        <item x="493"/>
        <item x="669"/>
        <item x="115"/>
        <item x="8"/>
        <item x="371"/>
        <item x="267"/>
        <item x="758"/>
        <item x="507"/>
        <item x="513"/>
        <item x="302"/>
        <item x="225"/>
        <item x="492"/>
        <item x="86"/>
        <item x="447"/>
        <item x="603"/>
        <item x="266"/>
        <item x="325"/>
        <item x="725"/>
        <item x="133"/>
        <item x="246"/>
        <item x="103"/>
        <item x="219"/>
        <item x="445"/>
        <item x="655"/>
        <item x="501"/>
        <item x="47"/>
        <item x="691"/>
        <item x="276"/>
        <item x="102"/>
        <item x="503"/>
        <item x="739"/>
        <item x="509"/>
        <item x="469"/>
        <item x="168"/>
        <item x="647"/>
        <item x="198"/>
        <item x="57"/>
        <item x="738"/>
        <item x="358"/>
        <item x="366"/>
        <item x="281"/>
        <item x="183"/>
        <item x="498"/>
        <item x="397"/>
        <item x="559"/>
        <item x="28"/>
        <item x="754"/>
        <item x="149"/>
        <item x="91"/>
        <item x="631"/>
        <item x="709"/>
        <item x="411"/>
        <item x="341"/>
        <item x="587"/>
        <item x="535"/>
        <item x="736"/>
        <item x="121"/>
        <item x="255"/>
        <item x="380"/>
        <item x="104"/>
        <item x="365"/>
        <item x="421"/>
        <item x="261"/>
        <item x="118"/>
        <item x="353"/>
        <item x="159"/>
        <item x="322"/>
        <item x="68"/>
        <item x="706"/>
        <item x="649"/>
        <item x="700"/>
        <item x="283"/>
        <item x="586"/>
        <item x="514"/>
        <item x="460"/>
        <item x="263"/>
        <item x="639"/>
        <item x="537"/>
        <item x="505"/>
        <item x="151"/>
        <item x="518"/>
        <item x="625"/>
        <item x="550"/>
        <item x="272"/>
        <item x="712"/>
        <item x="472"/>
        <item x="436"/>
        <item x="300"/>
        <item x="156"/>
        <item x="623"/>
        <item x="320"/>
        <item x="731"/>
        <item x="41"/>
        <item x="548"/>
        <item x="77"/>
        <item x="461"/>
        <item x="425"/>
        <item x="215"/>
        <item x="296"/>
        <item x="250"/>
        <item x="116"/>
        <item x="278"/>
        <item x="453"/>
        <item x="191"/>
        <item x="593"/>
        <item x="386"/>
        <item x="186"/>
        <item x="746"/>
        <item x="175"/>
        <item x="740"/>
        <item x="289"/>
        <item x="401"/>
        <item x="477"/>
        <item x="16"/>
        <item x="580"/>
        <item x="239"/>
        <item x="339"/>
        <item x="601"/>
        <item x="12"/>
        <item x="182"/>
        <item x="155"/>
        <item x="134"/>
        <item x="734"/>
        <item x="120"/>
        <item x="719"/>
        <item x="31"/>
        <item x="223"/>
        <item x="456"/>
        <item x="687"/>
        <item x="496"/>
        <item x="295"/>
        <item x="646"/>
        <item x="10"/>
        <item x="470"/>
        <item x="506"/>
        <item x="360"/>
        <item x="83"/>
        <item x="617"/>
        <item x="428"/>
        <item x="101"/>
        <item x="50"/>
        <item x="541"/>
        <item x="123"/>
        <item x="452"/>
        <item x="574"/>
        <item x="705"/>
        <item x="336"/>
        <item x="650"/>
        <item x="311"/>
        <item x="244"/>
        <item x="112"/>
        <item x="181"/>
        <item x="292"/>
        <item x="480"/>
        <item x="303"/>
        <item x="555"/>
        <item x="221"/>
        <item x="664"/>
        <item x="110"/>
        <item x="502"/>
        <item x="600"/>
        <item x="273"/>
        <item x="204"/>
        <item x="741"/>
        <item x="66"/>
        <item x="512"/>
        <item x="605"/>
        <item x="201"/>
        <item x="403"/>
        <item x="67"/>
        <item x="752"/>
        <item x="688"/>
        <item x="18"/>
        <item x="757"/>
        <item x="376"/>
        <item x="211"/>
        <item x="140"/>
        <item x="169"/>
        <item x="14"/>
        <item x="592"/>
        <item x="75"/>
        <item x="427"/>
        <item x="72"/>
        <item x="721"/>
        <item x="71"/>
        <item x="441"/>
        <item x="313"/>
        <item x="561"/>
        <item x="536"/>
        <item x="105"/>
        <item x="569"/>
        <item x="129"/>
        <item x="588"/>
        <item x="373"/>
        <item x="107"/>
        <item x="429"/>
        <item x="675"/>
        <item x="611"/>
        <item x="431"/>
        <item x="633"/>
        <item x="269"/>
        <item x="131"/>
        <item x="645"/>
        <item x="364"/>
        <item x="17"/>
        <item x="451"/>
        <item x="680"/>
        <item x="745"/>
        <item x="165"/>
        <item x="635"/>
        <item x="45"/>
        <item x="627"/>
        <item x="148"/>
        <item x="214"/>
        <item x="519"/>
        <item x="707"/>
        <item x="240"/>
        <item x="109"/>
        <item x="591"/>
        <item x="529"/>
        <item t="default"/>
      </items>
    </pivotField>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Average of Age" fld="3" subtotal="average" baseField="0" baseItem="0" numFmtId="1"/>
  </dataFields>
  <formats count="14">
    <format dxfId="62">
      <pivotArea type="all" dataOnly="0" outline="0" fieldPosition="0"/>
    </format>
    <format dxfId="61">
      <pivotArea outline="0" collapsedLevelsAreSubtotals="1" fieldPosition="0"/>
    </format>
    <format dxfId="60">
      <pivotArea field="6" type="button" dataOnly="0" labelOnly="1" outline="0"/>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6" type="button" dataOnly="0" labelOnly="1" outline="0"/>
    </format>
    <format dxfId="54">
      <pivotArea dataOnly="0" labelOnly="1" grandRow="1" outline="0" fieldPosition="0"/>
    </format>
    <format dxfId="53">
      <pivotArea outline="0" collapsedLevelsAreSubtotals="1"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46ECE0-A00C-43B7-BEAD-617D7EA79BB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16">
    <pivotField showAll="0"/>
    <pivotField showAll="0"/>
    <pivotField showAll="0"/>
    <pivotField showAll="0"/>
    <pivotField showAll="0">
      <items count="7">
        <item x="2"/>
        <item x="3"/>
        <item x="0"/>
        <item x="1"/>
        <item x="5"/>
        <item x="4"/>
        <item t="default"/>
      </items>
    </pivotField>
    <pivotField showAll="0">
      <items count="7">
        <item x="0"/>
        <item x="3"/>
        <item x="5"/>
        <item x="2"/>
        <item x="4"/>
        <item x="1"/>
        <item t="default"/>
      </items>
    </pivotField>
    <pivotField showAll="0">
      <items count="4">
        <item x="0"/>
        <item x="2"/>
        <item x="1"/>
        <item t="default"/>
      </items>
    </pivotField>
    <pivotField numFmtId="164" showAll="0">
      <items count="761">
        <item x="571"/>
        <item x="619"/>
        <item x="424"/>
        <item x="408"/>
        <item x="693"/>
        <item x="348"/>
        <item x="724"/>
        <item x="666"/>
        <item x="368"/>
        <item x="90"/>
        <item x="143"/>
        <item x="703"/>
        <item x="19"/>
        <item x="663"/>
        <item x="387"/>
        <item x="113"/>
        <item x="682"/>
        <item x="24"/>
        <item x="136"/>
        <item x="528"/>
        <item x="61"/>
        <item x="630"/>
        <item x="81"/>
        <item x="748"/>
        <item x="6"/>
        <item x="570"/>
        <item x="235"/>
        <item x="637"/>
        <item x="114"/>
        <item x="406"/>
        <item x="189"/>
        <item x="78"/>
        <item x="187"/>
        <item x="552"/>
        <item x="396"/>
        <item x="125"/>
        <item x="158"/>
        <item x="399"/>
        <item x="147"/>
        <item x="188"/>
        <item x="602"/>
        <item x="298"/>
        <item x="676"/>
        <item x="610"/>
        <item x="202"/>
        <item x="554"/>
        <item x="628"/>
        <item x="377"/>
        <item x="379"/>
        <item x="314"/>
        <item x="297"/>
        <item x="33"/>
        <item x="25"/>
        <item x="657"/>
        <item x="180"/>
        <item x="163"/>
        <item x="484"/>
        <item x="230"/>
        <item x="737"/>
        <item x="673"/>
        <item x="652"/>
        <item x="732"/>
        <item x="500"/>
        <item x="84"/>
        <item x="685"/>
        <item x="515"/>
        <item x="185"/>
        <item x="744"/>
        <item x="318"/>
        <item x="206"/>
        <item x="578"/>
        <item x="423"/>
        <item x="671"/>
        <item x="749"/>
        <item x="100"/>
        <item x="228"/>
        <item x="612"/>
        <item x="354"/>
        <item x="196"/>
        <item x="681"/>
        <item x="251"/>
        <item x="378"/>
        <item x="567"/>
        <item x="589"/>
        <item x="319"/>
        <item x="338"/>
        <item x="471"/>
        <item x="422"/>
        <item x="568"/>
        <item x="205"/>
        <item x="463"/>
        <item x="43"/>
        <item x="622"/>
        <item x="742"/>
        <item x="629"/>
        <item x="527"/>
        <item x="173"/>
        <item x="106"/>
        <item x="119"/>
        <item x="481"/>
        <item x="735"/>
        <item x="290"/>
        <item x="308"/>
        <item x="213"/>
        <item x="80"/>
        <item x="79"/>
        <item x="694"/>
        <item x="21"/>
        <item x="176"/>
        <item x="458"/>
        <item x="154"/>
        <item x="395"/>
        <item x="462"/>
        <item x="282"/>
        <item x="324"/>
        <item x="345"/>
        <item x="137"/>
        <item x="446"/>
        <item x="5"/>
        <item x="1"/>
        <item x="52"/>
        <item x="13"/>
        <item x="146"/>
        <item x="351"/>
        <item x="142"/>
        <item x="193"/>
        <item x="359"/>
        <item x="723"/>
        <item x="393"/>
        <item x="442"/>
        <item x="398"/>
        <item x="576"/>
        <item x="342"/>
        <item x="727"/>
        <item x="288"/>
        <item x="551"/>
        <item x="410"/>
        <item x="618"/>
        <item x="654"/>
        <item x="222"/>
        <item x="420"/>
        <item x="636"/>
        <item x="63"/>
        <item x="717"/>
        <item x="638"/>
        <item x="27"/>
        <item x="670"/>
        <item x="473"/>
        <item x="347"/>
        <item x="524"/>
        <item x="268"/>
        <item x="522"/>
        <item x="122"/>
        <item x="467"/>
        <item x="241"/>
        <item x="620"/>
        <item x="405"/>
        <item x="604"/>
        <item x="759"/>
        <item x="271"/>
        <item x="516"/>
        <item x="317"/>
        <item x="62"/>
        <item x="0"/>
        <item x="415"/>
        <item x="755"/>
        <item x="162"/>
        <item x="252"/>
        <item x="455"/>
        <item x="733"/>
        <item x="684"/>
        <item x="468"/>
        <item x="242"/>
        <item x="301"/>
        <item x="538"/>
        <item x="258"/>
        <item x="333"/>
        <item x="352"/>
        <item x="87"/>
        <item x="59"/>
        <item x="596"/>
        <item x="153"/>
        <item x="95"/>
        <item x="309"/>
        <item x="174"/>
        <item x="414"/>
        <item x="145"/>
        <item x="483"/>
        <item x="704"/>
        <item x="726"/>
        <item x="521"/>
        <item x="433"/>
        <item x="192"/>
        <item x="135"/>
        <item x="532"/>
        <item x="701"/>
        <item x="94"/>
        <item x="69"/>
        <item x="390"/>
        <item x="566"/>
        <item x="674"/>
        <item x="485"/>
        <item x="416"/>
        <item x="265"/>
        <item x="435"/>
        <item x="659"/>
        <item x="37"/>
        <item x="152"/>
        <item x="728"/>
        <item x="260"/>
        <item x="613"/>
        <item x="29"/>
        <item x="438"/>
        <item x="30"/>
        <item x="546"/>
        <item x="236"/>
        <item x="15"/>
        <item x="508"/>
        <item x="44"/>
        <item x="392"/>
        <item x="39"/>
        <item x="402"/>
        <item x="234"/>
        <item x="557"/>
        <item x="679"/>
        <item x="32"/>
        <item x="597"/>
        <item x="55"/>
        <item x="753"/>
        <item x="490"/>
        <item x="672"/>
        <item x="697"/>
        <item x="332"/>
        <item x="357"/>
        <item x="640"/>
        <item x="20"/>
        <item x="343"/>
        <item x="678"/>
        <item x="389"/>
        <item x="97"/>
        <item x="132"/>
        <item x="743"/>
        <item x="419"/>
        <item x="340"/>
        <item x="553"/>
        <item x="22"/>
        <item x="504"/>
        <item x="264"/>
        <item x="495"/>
        <item x="51"/>
        <item x="108"/>
        <item x="607"/>
        <item x="139"/>
        <item x="199"/>
        <item x="194"/>
        <item x="437"/>
        <item x="582"/>
        <item x="89"/>
        <item x="334"/>
        <item x="141"/>
        <item x="58"/>
        <item x="275"/>
        <item x="716"/>
        <item x="407"/>
        <item x="203"/>
        <item x="331"/>
        <item x="448"/>
        <item x="747"/>
        <item x="730"/>
        <item x="581"/>
        <item x="274"/>
        <item x="523"/>
        <item x="583"/>
        <item x="656"/>
        <item x="375"/>
        <item x="172"/>
        <item x="644"/>
        <item x="233"/>
        <item x="48"/>
        <item x="614"/>
        <item x="699"/>
        <item x="270"/>
        <item x="713"/>
        <item x="253"/>
        <item x="76"/>
        <item x="486"/>
        <item x="212"/>
        <item x="642"/>
        <item x="751"/>
        <item x="3"/>
        <item x="616"/>
        <item x="683"/>
        <item x="117"/>
        <item x="720"/>
        <item x="695"/>
        <item x="337"/>
        <item x="417"/>
        <item x="383"/>
        <item x="722"/>
        <item x="547"/>
        <item x="306"/>
        <item x="280"/>
        <item x="190"/>
        <item x="517"/>
        <item x="247"/>
        <item x="167"/>
        <item x="254"/>
        <item x="224"/>
        <item x="144"/>
        <item x="510"/>
        <item x="382"/>
        <item x="440"/>
        <item x="227"/>
        <item x="412"/>
        <item x="677"/>
        <item x="327"/>
        <item x="511"/>
        <item x="49"/>
        <item x="459"/>
        <item x="53"/>
        <item x="594"/>
        <item x="362"/>
        <item x="23"/>
        <item x="210"/>
        <item x="711"/>
        <item x="661"/>
        <item x="200"/>
        <item x="293"/>
        <item x="651"/>
        <item x="287"/>
        <item x="572"/>
        <item x="330"/>
        <item x="232"/>
        <item x="99"/>
        <item x="404"/>
        <item x="409"/>
        <item x="220"/>
        <item x="9"/>
        <item x="56"/>
        <item x="285"/>
        <item x="385"/>
        <item x="369"/>
        <item x="595"/>
        <item x="257"/>
        <item x="643"/>
        <item x="4"/>
        <item x="326"/>
        <item x="304"/>
        <item x="367"/>
        <item x="756"/>
        <item x="560"/>
        <item x="573"/>
        <item x="284"/>
        <item x="665"/>
        <item x="93"/>
        <item x="46"/>
        <item x="218"/>
        <item x="449"/>
        <item x="277"/>
        <item x="494"/>
        <item x="216"/>
        <item x="689"/>
        <item x="40"/>
        <item x="291"/>
        <item x="476"/>
        <item x="464"/>
        <item x="321"/>
        <item x="454"/>
        <item x="718"/>
        <item x="488"/>
        <item x="608"/>
        <item x="161"/>
        <item x="457"/>
        <item x="7"/>
        <item x="160"/>
        <item x="544"/>
        <item x="124"/>
        <item x="715"/>
        <item x="363"/>
        <item x="127"/>
        <item x="38"/>
        <item x="444"/>
        <item x="259"/>
        <item x="178"/>
        <item x="323"/>
        <item x="286"/>
        <item x="92"/>
        <item x="335"/>
        <item x="245"/>
        <item x="184"/>
        <item x="98"/>
        <item x="579"/>
        <item x="111"/>
        <item x="531"/>
        <item x="381"/>
        <item x="316"/>
        <item x="96"/>
        <item x="170"/>
        <item x="533"/>
        <item x="328"/>
        <item x="632"/>
        <item x="256"/>
        <item x="540"/>
        <item x="73"/>
        <item x="307"/>
        <item x="690"/>
        <item x="624"/>
        <item x="197"/>
        <item x="577"/>
        <item x="372"/>
        <item x="217"/>
        <item x="585"/>
        <item x="374"/>
        <item x="526"/>
        <item x="621"/>
        <item x="34"/>
        <item x="708"/>
        <item x="487"/>
        <item x="439"/>
        <item x="696"/>
        <item x="710"/>
        <item x="312"/>
        <item x="126"/>
        <item x="563"/>
        <item x="598"/>
        <item x="729"/>
        <item x="243"/>
        <item x="542"/>
        <item x="525"/>
        <item x="64"/>
        <item x="248"/>
        <item x="686"/>
        <item x="177"/>
        <item x="391"/>
        <item x="349"/>
        <item x="279"/>
        <item x="209"/>
        <item x="609"/>
        <item x="714"/>
        <item x="65"/>
        <item x="658"/>
        <item x="237"/>
        <item x="74"/>
        <item x="305"/>
        <item x="229"/>
        <item x="70"/>
        <item x="262"/>
        <item x="150"/>
        <item x="662"/>
        <item x="418"/>
        <item x="556"/>
        <item x="660"/>
        <item x="355"/>
        <item x="394"/>
        <item x="207"/>
        <item x="36"/>
        <item x="702"/>
        <item x="26"/>
        <item x="130"/>
        <item x="499"/>
        <item x="482"/>
        <item x="545"/>
        <item x="226"/>
        <item x="530"/>
        <item x="626"/>
        <item x="310"/>
        <item x="35"/>
        <item x="434"/>
        <item x="88"/>
        <item x="599"/>
        <item x="558"/>
        <item x="432"/>
        <item x="231"/>
        <item x="413"/>
        <item x="549"/>
        <item x="668"/>
        <item x="653"/>
        <item x="692"/>
        <item x="667"/>
        <item x="641"/>
        <item x="166"/>
        <item x="520"/>
        <item x="315"/>
        <item x="329"/>
        <item x="344"/>
        <item x="11"/>
        <item x="698"/>
        <item x="195"/>
        <item x="539"/>
        <item x="543"/>
        <item x="164"/>
        <item x="565"/>
        <item x="430"/>
        <item x="179"/>
        <item x="370"/>
        <item x="590"/>
        <item x="474"/>
        <item x="384"/>
        <item x="82"/>
        <item x="157"/>
        <item x="350"/>
        <item x="584"/>
        <item x="648"/>
        <item x="249"/>
        <item x="615"/>
        <item x="478"/>
        <item x="489"/>
        <item x="443"/>
        <item x="491"/>
        <item x="534"/>
        <item x="42"/>
        <item x="238"/>
        <item x="562"/>
        <item x="361"/>
        <item x="171"/>
        <item x="475"/>
        <item x="294"/>
        <item x="479"/>
        <item x="450"/>
        <item x="466"/>
        <item x="208"/>
        <item x="356"/>
        <item x="606"/>
        <item x="634"/>
        <item x="128"/>
        <item x="750"/>
        <item x="426"/>
        <item x="346"/>
        <item x="299"/>
        <item x="54"/>
        <item x="2"/>
        <item x="465"/>
        <item x="400"/>
        <item x="564"/>
        <item x="60"/>
        <item x="497"/>
        <item x="85"/>
        <item x="138"/>
        <item x="575"/>
        <item x="388"/>
        <item x="493"/>
        <item x="669"/>
        <item x="115"/>
        <item x="8"/>
        <item x="371"/>
        <item x="267"/>
        <item x="758"/>
        <item x="507"/>
        <item x="513"/>
        <item x="302"/>
        <item x="225"/>
        <item x="492"/>
        <item x="86"/>
        <item x="447"/>
        <item x="603"/>
        <item x="266"/>
        <item x="325"/>
        <item x="725"/>
        <item x="133"/>
        <item x="246"/>
        <item x="103"/>
        <item x="219"/>
        <item x="445"/>
        <item x="655"/>
        <item x="501"/>
        <item x="47"/>
        <item x="691"/>
        <item x="276"/>
        <item x="102"/>
        <item x="503"/>
        <item x="739"/>
        <item x="509"/>
        <item x="469"/>
        <item x="168"/>
        <item x="647"/>
        <item x="198"/>
        <item x="57"/>
        <item x="738"/>
        <item x="358"/>
        <item x="366"/>
        <item x="281"/>
        <item x="183"/>
        <item x="498"/>
        <item x="397"/>
        <item x="559"/>
        <item x="28"/>
        <item x="754"/>
        <item x="149"/>
        <item x="91"/>
        <item x="631"/>
        <item x="709"/>
        <item x="411"/>
        <item x="341"/>
        <item x="587"/>
        <item x="535"/>
        <item x="736"/>
        <item x="121"/>
        <item x="255"/>
        <item x="380"/>
        <item x="104"/>
        <item x="365"/>
        <item x="421"/>
        <item x="261"/>
        <item x="118"/>
        <item x="353"/>
        <item x="159"/>
        <item x="322"/>
        <item x="68"/>
        <item x="706"/>
        <item x="649"/>
        <item x="700"/>
        <item x="283"/>
        <item x="586"/>
        <item x="514"/>
        <item x="460"/>
        <item x="263"/>
        <item x="639"/>
        <item x="537"/>
        <item x="505"/>
        <item x="151"/>
        <item x="518"/>
        <item x="625"/>
        <item x="550"/>
        <item x="272"/>
        <item x="712"/>
        <item x="472"/>
        <item x="436"/>
        <item x="300"/>
        <item x="156"/>
        <item x="623"/>
        <item x="320"/>
        <item x="731"/>
        <item x="41"/>
        <item x="548"/>
        <item x="77"/>
        <item x="461"/>
        <item x="425"/>
        <item x="215"/>
        <item x="296"/>
        <item x="250"/>
        <item x="116"/>
        <item x="278"/>
        <item x="453"/>
        <item x="191"/>
        <item x="593"/>
        <item x="386"/>
        <item x="186"/>
        <item x="746"/>
        <item x="175"/>
        <item x="740"/>
        <item x="289"/>
        <item x="401"/>
        <item x="477"/>
        <item x="16"/>
        <item x="580"/>
        <item x="239"/>
        <item x="339"/>
        <item x="601"/>
        <item x="12"/>
        <item x="182"/>
        <item x="155"/>
        <item x="134"/>
        <item x="734"/>
        <item x="120"/>
        <item x="719"/>
        <item x="31"/>
        <item x="223"/>
        <item x="456"/>
        <item x="687"/>
        <item x="496"/>
        <item x="295"/>
        <item x="646"/>
        <item x="10"/>
        <item x="470"/>
        <item x="506"/>
        <item x="360"/>
        <item x="83"/>
        <item x="617"/>
        <item x="428"/>
        <item x="101"/>
        <item x="50"/>
        <item x="541"/>
        <item x="123"/>
        <item x="452"/>
        <item x="574"/>
        <item x="705"/>
        <item x="336"/>
        <item x="650"/>
        <item x="311"/>
        <item x="244"/>
        <item x="112"/>
        <item x="181"/>
        <item x="292"/>
        <item x="480"/>
        <item x="303"/>
        <item x="555"/>
        <item x="221"/>
        <item x="664"/>
        <item x="110"/>
        <item x="502"/>
        <item x="600"/>
        <item x="273"/>
        <item x="204"/>
        <item x="741"/>
        <item x="66"/>
        <item x="512"/>
        <item x="605"/>
        <item x="201"/>
        <item x="403"/>
        <item x="67"/>
        <item x="752"/>
        <item x="688"/>
        <item x="18"/>
        <item x="757"/>
        <item x="376"/>
        <item x="211"/>
        <item x="140"/>
        <item x="169"/>
        <item x="14"/>
        <item x="592"/>
        <item x="75"/>
        <item x="427"/>
        <item x="72"/>
        <item x="721"/>
        <item x="71"/>
        <item x="441"/>
        <item x="313"/>
        <item x="561"/>
        <item x="536"/>
        <item x="105"/>
        <item x="569"/>
        <item x="129"/>
        <item x="588"/>
        <item x="373"/>
        <item x="107"/>
        <item x="429"/>
        <item x="675"/>
        <item x="611"/>
        <item x="431"/>
        <item x="633"/>
        <item x="269"/>
        <item x="131"/>
        <item x="645"/>
        <item x="364"/>
        <item x="17"/>
        <item x="451"/>
        <item x="680"/>
        <item x="745"/>
        <item x="165"/>
        <item x="635"/>
        <item x="45"/>
        <item x="627"/>
        <item x="148"/>
        <item x="214"/>
        <item x="519"/>
        <item x="707"/>
        <item x="240"/>
        <item x="109"/>
        <item x="591"/>
        <item x="529"/>
        <item t="default"/>
      </items>
    </pivotField>
    <pivotField dataField="1"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Sum of Salary" fld="8" baseField="0" baseItem="0" numFmtId="166"/>
  </dataFields>
  <formats count="7">
    <format dxfId="69">
      <pivotArea type="all" dataOnly="0" outline="0" fieldPosition="0"/>
    </format>
    <format dxfId="68">
      <pivotArea outline="0" collapsedLevelsAreSubtotals="1" fieldPosition="0"/>
    </format>
    <format dxfId="67">
      <pivotArea dataOnly="0" labelOnly="1" outline="0" axis="axisValues"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D5384D-C819-4472-BBB6-112FD3E0AF7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F17:G24" firstHeaderRow="1" firstDataRow="1" firstDataCol="1"/>
  <pivotFields count="16">
    <pivotField dataField="1" showAll="0"/>
    <pivotField showAll="0"/>
    <pivotField showAll="0"/>
    <pivotField showAll="0"/>
    <pivotField axis="axisRow" showAll="0" sortType="descending">
      <items count="7">
        <item x="2"/>
        <item x="3"/>
        <item x="0"/>
        <item x="1"/>
        <item x="5"/>
        <item x="4"/>
        <item t="default"/>
      </items>
      <autoSortScope>
        <pivotArea dataOnly="0" outline="0" fieldPosition="0">
          <references count="1">
            <reference field="4294967294" count="1" selected="0">
              <x v="0"/>
            </reference>
          </references>
        </pivotArea>
      </autoSortScope>
    </pivotField>
    <pivotField showAll="0">
      <items count="7">
        <item x="0"/>
        <item x="3"/>
        <item x="5"/>
        <item x="2"/>
        <item x="4"/>
        <item x="1"/>
        <item t="default"/>
      </items>
    </pivotField>
    <pivotField showAll="0">
      <items count="4">
        <item x="0"/>
        <item x="2"/>
        <item x="1"/>
        <item t="default"/>
      </items>
    </pivotField>
    <pivotField numFmtId="164" showAll="0">
      <items count="761">
        <item x="571"/>
        <item x="619"/>
        <item x="424"/>
        <item x="408"/>
        <item x="693"/>
        <item x="348"/>
        <item x="724"/>
        <item x="666"/>
        <item x="368"/>
        <item x="90"/>
        <item x="143"/>
        <item x="703"/>
        <item x="19"/>
        <item x="663"/>
        <item x="387"/>
        <item x="113"/>
        <item x="682"/>
        <item x="24"/>
        <item x="136"/>
        <item x="528"/>
        <item x="61"/>
        <item x="630"/>
        <item x="81"/>
        <item x="748"/>
        <item x="6"/>
        <item x="570"/>
        <item x="235"/>
        <item x="637"/>
        <item x="114"/>
        <item x="406"/>
        <item x="189"/>
        <item x="78"/>
        <item x="187"/>
        <item x="552"/>
        <item x="396"/>
        <item x="125"/>
        <item x="158"/>
        <item x="399"/>
        <item x="147"/>
        <item x="188"/>
        <item x="602"/>
        <item x="298"/>
        <item x="676"/>
        <item x="610"/>
        <item x="202"/>
        <item x="554"/>
        <item x="628"/>
        <item x="377"/>
        <item x="379"/>
        <item x="314"/>
        <item x="297"/>
        <item x="33"/>
        <item x="25"/>
        <item x="657"/>
        <item x="180"/>
        <item x="163"/>
        <item x="484"/>
        <item x="230"/>
        <item x="737"/>
        <item x="673"/>
        <item x="652"/>
        <item x="732"/>
        <item x="500"/>
        <item x="84"/>
        <item x="685"/>
        <item x="515"/>
        <item x="185"/>
        <item x="744"/>
        <item x="318"/>
        <item x="206"/>
        <item x="578"/>
        <item x="423"/>
        <item x="671"/>
        <item x="749"/>
        <item x="100"/>
        <item x="228"/>
        <item x="612"/>
        <item x="354"/>
        <item x="196"/>
        <item x="681"/>
        <item x="251"/>
        <item x="378"/>
        <item x="567"/>
        <item x="589"/>
        <item x="319"/>
        <item x="338"/>
        <item x="471"/>
        <item x="422"/>
        <item x="568"/>
        <item x="205"/>
        <item x="463"/>
        <item x="43"/>
        <item x="622"/>
        <item x="742"/>
        <item x="629"/>
        <item x="527"/>
        <item x="173"/>
        <item x="106"/>
        <item x="119"/>
        <item x="481"/>
        <item x="735"/>
        <item x="290"/>
        <item x="308"/>
        <item x="213"/>
        <item x="80"/>
        <item x="79"/>
        <item x="694"/>
        <item x="21"/>
        <item x="176"/>
        <item x="458"/>
        <item x="154"/>
        <item x="395"/>
        <item x="462"/>
        <item x="282"/>
        <item x="324"/>
        <item x="345"/>
        <item x="137"/>
        <item x="446"/>
        <item x="5"/>
        <item x="1"/>
        <item x="52"/>
        <item x="13"/>
        <item x="146"/>
        <item x="351"/>
        <item x="142"/>
        <item x="193"/>
        <item x="359"/>
        <item x="723"/>
        <item x="393"/>
        <item x="442"/>
        <item x="398"/>
        <item x="576"/>
        <item x="342"/>
        <item x="727"/>
        <item x="288"/>
        <item x="551"/>
        <item x="410"/>
        <item x="618"/>
        <item x="654"/>
        <item x="222"/>
        <item x="420"/>
        <item x="636"/>
        <item x="63"/>
        <item x="717"/>
        <item x="638"/>
        <item x="27"/>
        <item x="670"/>
        <item x="473"/>
        <item x="347"/>
        <item x="524"/>
        <item x="268"/>
        <item x="522"/>
        <item x="122"/>
        <item x="467"/>
        <item x="241"/>
        <item x="620"/>
        <item x="405"/>
        <item x="604"/>
        <item x="759"/>
        <item x="271"/>
        <item x="516"/>
        <item x="317"/>
        <item x="62"/>
        <item x="0"/>
        <item x="415"/>
        <item x="755"/>
        <item x="162"/>
        <item x="252"/>
        <item x="455"/>
        <item x="733"/>
        <item x="684"/>
        <item x="468"/>
        <item x="242"/>
        <item x="301"/>
        <item x="538"/>
        <item x="258"/>
        <item x="333"/>
        <item x="352"/>
        <item x="87"/>
        <item x="59"/>
        <item x="596"/>
        <item x="153"/>
        <item x="95"/>
        <item x="309"/>
        <item x="174"/>
        <item x="414"/>
        <item x="145"/>
        <item x="483"/>
        <item x="704"/>
        <item x="726"/>
        <item x="521"/>
        <item x="433"/>
        <item x="192"/>
        <item x="135"/>
        <item x="532"/>
        <item x="701"/>
        <item x="94"/>
        <item x="69"/>
        <item x="390"/>
        <item x="566"/>
        <item x="674"/>
        <item x="485"/>
        <item x="416"/>
        <item x="265"/>
        <item x="435"/>
        <item x="659"/>
        <item x="37"/>
        <item x="152"/>
        <item x="728"/>
        <item x="260"/>
        <item x="613"/>
        <item x="29"/>
        <item x="438"/>
        <item x="30"/>
        <item x="546"/>
        <item x="236"/>
        <item x="15"/>
        <item x="508"/>
        <item x="44"/>
        <item x="392"/>
        <item x="39"/>
        <item x="402"/>
        <item x="234"/>
        <item x="557"/>
        <item x="679"/>
        <item x="32"/>
        <item x="597"/>
        <item x="55"/>
        <item x="753"/>
        <item x="490"/>
        <item x="672"/>
        <item x="697"/>
        <item x="332"/>
        <item x="357"/>
        <item x="640"/>
        <item x="20"/>
        <item x="343"/>
        <item x="678"/>
        <item x="389"/>
        <item x="97"/>
        <item x="132"/>
        <item x="743"/>
        <item x="419"/>
        <item x="340"/>
        <item x="553"/>
        <item x="22"/>
        <item x="504"/>
        <item x="264"/>
        <item x="495"/>
        <item x="51"/>
        <item x="108"/>
        <item x="607"/>
        <item x="139"/>
        <item x="199"/>
        <item x="194"/>
        <item x="437"/>
        <item x="582"/>
        <item x="89"/>
        <item x="334"/>
        <item x="141"/>
        <item x="58"/>
        <item x="275"/>
        <item x="716"/>
        <item x="407"/>
        <item x="203"/>
        <item x="331"/>
        <item x="448"/>
        <item x="747"/>
        <item x="730"/>
        <item x="581"/>
        <item x="274"/>
        <item x="523"/>
        <item x="583"/>
        <item x="656"/>
        <item x="375"/>
        <item x="172"/>
        <item x="644"/>
        <item x="233"/>
        <item x="48"/>
        <item x="614"/>
        <item x="699"/>
        <item x="270"/>
        <item x="713"/>
        <item x="253"/>
        <item x="76"/>
        <item x="486"/>
        <item x="212"/>
        <item x="642"/>
        <item x="751"/>
        <item x="3"/>
        <item x="616"/>
        <item x="683"/>
        <item x="117"/>
        <item x="720"/>
        <item x="695"/>
        <item x="337"/>
        <item x="417"/>
        <item x="383"/>
        <item x="722"/>
        <item x="547"/>
        <item x="306"/>
        <item x="280"/>
        <item x="190"/>
        <item x="517"/>
        <item x="247"/>
        <item x="167"/>
        <item x="254"/>
        <item x="224"/>
        <item x="144"/>
        <item x="510"/>
        <item x="382"/>
        <item x="440"/>
        <item x="227"/>
        <item x="412"/>
        <item x="677"/>
        <item x="327"/>
        <item x="511"/>
        <item x="49"/>
        <item x="459"/>
        <item x="53"/>
        <item x="594"/>
        <item x="362"/>
        <item x="23"/>
        <item x="210"/>
        <item x="711"/>
        <item x="661"/>
        <item x="200"/>
        <item x="293"/>
        <item x="651"/>
        <item x="287"/>
        <item x="572"/>
        <item x="330"/>
        <item x="232"/>
        <item x="99"/>
        <item x="404"/>
        <item x="409"/>
        <item x="220"/>
        <item x="9"/>
        <item x="56"/>
        <item x="285"/>
        <item x="385"/>
        <item x="369"/>
        <item x="595"/>
        <item x="257"/>
        <item x="643"/>
        <item x="4"/>
        <item x="326"/>
        <item x="304"/>
        <item x="367"/>
        <item x="756"/>
        <item x="560"/>
        <item x="573"/>
        <item x="284"/>
        <item x="665"/>
        <item x="93"/>
        <item x="46"/>
        <item x="218"/>
        <item x="449"/>
        <item x="277"/>
        <item x="494"/>
        <item x="216"/>
        <item x="689"/>
        <item x="40"/>
        <item x="291"/>
        <item x="476"/>
        <item x="464"/>
        <item x="321"/>
        <item x="454"/>
        <item x="718"/>
        <item x="488"/>
        <item x="608"/>
        <item x="161"/>
        <item x="457"/>
        <item x="7"/>
        <item x="160"/>
        <item x="544"/>
        <item x="124"/>
        <item x="715"/>
        <item x="363"/>
        <item x="127"/>
        <item x="38"/>
        <item x="444"/>
        <item x="259"/>
        <item x="178"/>
        <item x="323"/>
        <item x="286"/>
        <item x="92"/>
        <item x="335"/>
        <item x="245"/>
        <item x="184"/>
        <item x="98"/>
        <item x="579"/>
        <item x="111"/>
        <item x="531"/>
        <item x="381"/>
        <item x="316"/>
        <item x="96"/>
        <item x="170"/>
        <item x="533"/>
        <item x="328"/>
        <item x="632"/>
        <item x="256"/>
        <item x="540"/>
        <item x="73"/>
        <item x="307"/>
        <item x="690"/>
        <item x="624"/>
        <item x="197"/>
        <item x="577"/>
        <item x="372"/>
        <item x="217"/>
        <item x="585"/>
        <item x="374"/>
        <item x="526"/>
        <item x="621"/>
        <item x="34"/>
        <item x="708"/>
        <item x="487"/>
        <item x="439"/>
        <item x="696"/>
        <item x="710"/>
        <item x="312"/>
        <item x="126"/>
        <item x="563"/>
        <item x="598"/>
        <item x="729"/>
        <item x="243"/>
        <item x="542"/>
        <item x="525"/>
        <item x="64"/>
        <item x="248"/>
        <item x="686"/>
        <item x="177"/>
        <item x="391"/>
        <item x="349"/>
        <item x="279"/>
        <item x="209"/>
        <item x="609"/>
        <item x="714"/>
        <item x="65"/>
        <item x="658"/>
        <item x="237"/>
        <item x="74"/>
        <item x="305"/>
        <item x="229"/>
        <item x="70"/>
        <item x="262"/>
        <item x="150"/>
        <item x="662"/>
        <item x="418"/>
        <item x="556"/>
        <item x="660"/>
        <item x="355"/>
        <item x="394"/>
        <item x="207"/>
        <item x="36"/>
        <item x="702"/>
        <item x="26"/>
        <item x="130"/>
        <item x="499"/>
        <item x="482"/>
        <item x="545"/>
        <item x="226"/>
        <item x="530"/>
        <item x="626"/>
        <item x="310"/>
        <item x="35"/>
        <item x="434"/>
        <item x="88"/>
        <item x="599"/>
        <item x="558"/>
        <item x="432"/>
        <item x="231"/>
        <item x="413"/>
        <item x="549"/>
        <item x="668"/>
        <item x="653"/>
        <item x="692"/>
        <item x="667"/>
        <item x="641"/>
        <item x="166"/>
        <item x="520"/>
        <item x="315"/>
        <item x="329"/>
        <item x="344"/>
        <item x="11"/>
        <item x="698"/>
        <item x="195"/>
        <item x="539"/>
        <item x="543"/>
        <item x="164"/>
        <item x="565"/>
        <item x="430"/>
        <item x="179"/>
        <item x="370"/>
        <item x="590"/>
        <item x="474"/>
        <item x="384"/>
        <item x="82"/>
        <item x="157"/>
        <item x="350"/>
        <item x="584"/>
        <item x="648"/>
        <item x="249"/>
        <item x="615"/>
        <item x="478"/>
        <item x="489"/>
        <item x="443"/>
        <item x="491"/>
        <item x="534"/>
        <item x="42"/>
        <item x="238"/>
        <item x="562"/>
        <item x="361"/>
        <item x="171"/>
        <item x="475"/>
        <item x="294"/>
        <item x="479"/>
        <item x="450"/>
        <item x="466"/>
        <item x="208"/>
        <item x="356"/>
        <item x="606"/>
        <item x="634"/>
        <item x="128"/>
        <item x="750"/>
        <item x="426"/>
        <item x="346"/>
        <item x="299"/>
        <item x="54"/>
        <item x="2"/>
        <item x="465"/>
        <item x="400"/>
        <item x="564"/>
        <item x="60"/>
        <item x="497"/>
        <item x="85"/>
        <item x="138"/>
        <item x="575"/>
        <item x="388"/>
        <item x="493"/>
        <item x="669"/>
        <item x="115"/>
        <item x="8"/>
        <item x="371"/>
        <item x="267"/>
        <item x="758"/>
        <item x="507"/>
        <item x="513"/>
        <item x="302"/>
        <item x="225"/>
        <item x="492"/>
        <item x="86"/>
        <item x="447"/>
        <item x="603"/>
        <item x="266"/>
        <item x="325"/>
        <item x="725"/>
        <item x="133"/>
        <item x="246"/>
        <item x="103"/>
        <item x="219"/>
        <item x="445"/>
        <item x="655"/>
        <item x="501"/>
        <item x="47"/>
        <item x="691"/>
        <item x="276"/>
        <item x="102"/>
        <item x="503"/>
        <item x="739"/>
        <item x="509"/>
        <item x="469"/>
        <item x="168"/>
        <item x="647"/>
        <item x="198"/>
        <item x="57"/>
        <item x="738"/>
        <item x="358"/>
        <item x="366"/>
        <item x="281"/>
        <item x="183"/>
        <item x="498"/>
        <item x="397"/>
        <item x="559"/>
        <item x="28"/>
        <item x="754"/>
        <item x="149"/>
        <item x="91"/>
        <item x="631"/>
        <item x="709"/>
        <item x="411"/>
        <item x="341"/>
        <item x="587"/>
        <item x="535"/>
        <item x="736"/>
        <item x="121"/>
        <item x="255"/>
        <item x="380"/>
        <item x="104"/>
        <item x="365"/>
        <item x="421"/>
        <item x="261"/>
        <item x="118"/>
        <item x="353"/>
        <item x="159"/>
        <item x="322"/>
        <item x="68"/>
        <item x="706"/>
        <item x="649"/>
        <item x="700"/>
        <item x="283"/>
        <item x="586"/>
        <item x="514"/>
        <item x="460"/>
        <item x="263"/>
        <item x="639"/>
        <item x="537"/>
        <item x="505"/>
        <item x="151"/>
        <item x="518"/>
        <item x="625"/>
        <item x="550"/>
        <item x="272"/>
        <item x="712"/>
        <item x="472"/>
        <item x="436"/>
        <item x="300"/>
        <item x="156"/>
        <item x="623"/>
        <item x="320"/>
        <item x="731"/>
        <item x="41"/>
        <item x="548"/>
        <item x="77"/>
        <item x="461"/>
        <item x="425"/>
        <item x="215"/>
        <item x="296"/>
        <item x="250"/>
        <item x="116"/>
        <item x="278"/>
        <item x="453"/>
        <item x="191"/>
        <item x="593"/>
        <item x="386"/>
        <item x="186"/>
        <item x="746"/>
        <item x="175"/>
        <item x="740"/>
        <item x="289"/>
        <item x="401"/>
        <item x="477"/>
        <item x="16"/>
        <item x="580"/>
        <item x="239"/>
        <item x="339"/>
        <item x="601"/>
        <item x="12"/>
        <item x="182"/>
        <item x="155"/>
        <item x="134"/>
        <item x="734"/>
        <item x="120"/>
        <item x="719"/>
        <item x="31"/>
        <item x="223"/>
        <item x="456"/>
        <item x="687"/>
        <item x="496"/>
        <item x="295"/>
        <item x="646"/>
        <item x="10"/>
        <item x="470"/>
        <item x="506"/>
        <item x="360"/>
        <item x="83"/>
        <item x="617"/>
        <item x="428"/>
        <item x="101"/>
        <item x="50"/>
        <item x="541"/>
        <item x="123"/>
        <item x="452"/>
        <item x="574"/>
        <item x="705"/>
        <item x="336"/>
        <item x="650"/>
        <item x="311"/>
        <item x="244"/>
        <item x="112"/>
        <item x="181"/>
        <item x="292"/>
        <item x="480"/>
        <item x="303"/>
        <item x="555"/>
        <item x="221"/>
        <item x="664"/>
        <item x="110"/>
        <item x="502"/>
        <item x="600"/>
        <item x="273"/>
        <item x="204"/>
        <item x="741"/>
        <item x="66"/>
        <item x="512"/>
        <item x="605"/>
        <item x="201"/>
        <item x="403"/>
        <item x="67"/>
        <item x="752"/>
        <item x="688"/>
        <item x="18"/>
        <item x="757"/>
        <item x="376"/>
        <item x="211"/>
        <item x="140"/>
        <item x="169"/>
        <item x="14"/>
        <item x="592"/>
        <item x="75"/>
        <item x="427"/>
        <item x="72"/>
        <item x="721"/>
        <item x="71"/>
        <item x="441"/>
        <item x="313"/>
        <item x="561"/>
        <item x="536"/>
        <item x="105"/>
        <item x="569"/>
        <item x="129"/>
        <item x="588"/>
        <item x="373"/>
        <item x="107"/>
        <item x="429"/>
        <item x="675"/>
        <item x="611"/>
        <item x="431"/>
        <item x="633"/>
        <item x="269"/>
        <item x="131"/>
        <item x="645"/>
        <item x="364"/>
        <item x="17"/>
        <item x="451"/>
        <item x="680"/>
        <item x="745"/>
        <item x="165"/>
        <item x="635"/>
        <item x="45"/>
        <item x="627"/>
        <item x="148"/>
        <item x="214"/>
        <item x="519"/>
        <item x="707"/>
        <item x="240"/>
        <item x="109"/>
        <item x="591"/>
        <item x="529"/>
        <item t="default"/>
      </items>
    </pivotField>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4"/>
  </rowFields>
  <rowItems count="7">
    <i>
      <x v="2"/>
    </i>
    <i>
      <x v="5"/>
    </i>
    <i>
      <x v="4"/>
    </i>
    <i>
      <x v="3"/>
    </i>
    <i>
      <x/>
    </i>
    <i>
      <x v="1"/>
    </i>
    <i t="grand">
      <x/>
    </i>
  </rowItems>
  <colItems count="1">
    <i/>
  </colItems>
  <dataFields count="1">
    <dataField name="Count of Employee_ID" fld="0" subtotal="count" baseField="0" baseItem="0"/>
  </dataFields>
  <formats count="6">
    <format dxfId="75">
      <pivotArea type="all" dataOnly="0" outline="0" fieldPosition="0"/>
    </format>
    <format dxfId="74">
      <pivotArea outline="0" collapsedLevelsAreSubtotals="1" fieldPosition="0"/>
    </format>
    <format dxfId="73">
      <pivotArea field="4" type="button" dataOnly="0" labelOnly="1" outline="0" axis="axisRow" fieldPosition="0"/>
    </format>
    <format dxfId="72">
      <pivotArea dataOnly="0" labelOnly="1" fieldPosition="0">
        <references count="1">
          <reference field="4" count="0"/>
        </references>
      </pivotArea>
    </format>
    <format dxfId="71">
      <pivotArea dataOnly="0" labelOnly="1" grandRow="1" outline="0" fieldPosition="0"/>
    </format>
    <format dxfId="7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B50A35-4349-4D9F-9906-09FA95E9E4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16">
    <pivotField showAll="0"/>
    <pivotField showAll="0"/>
    <pivotField showAll="0"/>
    <pivotField showAll="0"/>
    <pivotField showAll="0">
      <items count="7">
        <item x="2"/>
        <item x="3"/>
        <item x="0"/>
        <item x="1"/>
        <item x="5"/>
        <item x="4"/>
        <item t="default"/>
      </items>
    </pivotField>
    <pivotField showAll="0">
      <items count="7">
        <item x="0"/>
        <item x="3"/>
        <item x="5"/>
        <item x="2"/>
        <item x="4"/>
        <item x="1"/>
        <item t="default"/>
      </items>
    </pivotField>
    <pivotField showAll="0">
      <items count="4">
        <item x="0"/>
        <item x="2"/>
        <item x="1"/>
        <item t="default"/>
      </items>
    </pivotField>
    <pivotField numFmtId="164" showAll="0">
      <items count="761">
        <item x="571"/>
        <item x="619"/>
        <item x="424"/>
        <item x="408"/>
        <item x="693"/>
        <item x="348"/>
        <item x="724"/>
        <item x="666"/>
        <item x="368"/>
        <item x="90"/>
        <item x="143"/>
        <item x="703"/>
        <item x="19"/>
        <item x="663"/>
        <item x="387"/>
        <item x="113"/>
        <item x="682"/>
        <item x="24"/>
        <item x="136"/>
        <item x="528"/>
        <item x="61"/>
        <item x="630"/>
        <item x="81"/>
        <item x="748"/>
        <item x="6"/>
        <item x="570"/>
        <item x="235"/>
        <item x="637"/>
        <item x="114"/>
        <item x="406"/>
        <item x="189"/>
        <item x="78"/>
        <item x="187"/>
        <item x="552"/>
        <item x="396"/>
        <item x="125"/>
        <item x="158"/>
        <item x="399"/>
        <item x="147"/>
        <item x="188"/>
        <item x="602"/>
        <item x="298"/>
        <item x="676"/>
        <item x="610"/>
        <item x="202"/>
        <item x="554"/>
        <item x="628"/>
        <item x="377"/>
        <item x="379"/>
        <item x="314"/>
        <item x="297"/>
        <item x="33"/>
        <item x="25"/>
        <item x="657"/>
        <item x="180"/>
        <item x="163"/>
        <item x="484"/>
        <item x="230"/>
        <item x="737"/>
        <item x="673"/>
        <item x="652"/>
        <item x="732"/>
        <item x="500"/>
        <item x="84"/>
        <item x="685"/>
        <item x="515"/>
        <item x="185"/>
        <item x="744"/>
        <item x="318"/>
        <item x="206"/>
        <item x="578"/>
        <item x="423"/>
        <item x="671"/>
        <item x="749"/>
        <item x="100"/>
        <item x="228"/>
        <item x="612"/>
        <item x="354"/>
        <item x="196"/>
        <item x="681"/>
        <item x="251"/>
        <item x="378"/>
        <item x="567"/>
        <item x="589"/>
        <item x="319"/>
        <item x="338"/>
        <item x="471"/>
        <item x="422"/>
        <item x="568"/>
        <item x="205"/>
        <item x="463"/>
        <item x="43"/>
        <item x="622"/>
        <item x="742"/>
        <item x="629"/>
        <item x="527"/>
        <item x="173"/>
        <item x="106"/>
        <item x="119"/>
        <item x="481"/>
        <item x="735"/>
        <item x="290"/>
        <item x="308"/>
        <item x="213"/>
        <item x="80"/>
        <item x="79"/>
        <item x="694"/>
        <item x="21"/>
        <item x="176"/>
        <item x="458"/>
        <item x="154"/>
        <item x="395"/>
        <item x="462"/>
        <item x="282"/>
        <item x="324"/>
        <item x="345"/>
        <item x="137"/>
        <item x="446"/>
        <item x="5"/>
        <item x="1"/>
        <item x="52"/>
        <item x="13"/>
        <item x="146"/>
        <item x="351"/>
        <item x="142"/>
        <item x="193"/>
        <item x="359"/>
        <item x="723"/>
        <item x="393"/>
        <item x="442"/>
        <item x="398"/>
        <item x="576"/>
        <item x="342"/>
        <item x="727"/>
        <item x="288"/>
        <item x="551"/>
        <item x="410"/>
        <item x="618"/>
        <item x="654"/>
        <item x="222"/>
        <item x="420"/>
        <item x="636"/>
        <item x="63"/>
        <item x="717"/>
        <item x="638"/>
        <item x="27"/>
        <item x="670"/>
        <item x="473"/>
        <item x="347"/>
        <item x="524"/>
        <item x="268"/>
        <item x="522"/>
        <item x="122"/>
        <item x="467"/>
        <item x="241"/>
        <item x="620"/>
        <item x="405"/>
        <item x="604"/>
        <item x="759"/>
        <item x="271"/>
        <item x="516"/>
        <item x="317"/>
        <item x="62"/>
        <item x="0"/>
        <item x="415"/>
        <item x="755"/>
        <item x="162"/>
        <item x="252"/>
        <item x="455"/>
        <item x="733"/>
        <item x="684"/>
        <item x="468"/>
        <item x="242"/>
        <item x="301"/>
        <item x="538"/>
        <item x="258"/>
        <item x="333"/>
        <item x="352"/>
        <item x="87"/>
        <item x="59"/>
        <item x="596"/>
        <item x="153"/>
        <item x="95"/>
        <item x="309"/>
        <item x="174"/>
        <item x="414"/>
        <item x="145"/>
        <item x="483"/>
        <item x="704"/>
        <item x="726"/>
        <item x="521"/>
        <item x="433"/>
        <item x="192"/>
        <item x="135"/>
        <item x="532"/>
        <item x="701"/>
        <item x="94"/>
        <item x="69"/>
        <item x="390"/>
        <item x="566"/>
        <item x="674"/>
        <item x="485"/>
        <item x="416"/>
        <item x="265"/>
        <item x="435"/>
        <item x="659"/>
        <item x="37"/>
        <item x="152"/>
        <item x="728"/>
        <item x="260"/>
        <item x="613"/>
        <item x="29"/>
        <item x="438"/>
        <item x="30"/>
        <item x="546"/>
        <item x="236"/>
        <item x="15"/>
        <item x="508"/>
        <item x="44"/>
        <item x="392"/>
        <item x="39"/>
        <item x="402"/>
        <item x="234"/>
        <item x="557"/>
        <item x="679"/>
        <item x="32"/>
        <item x="597"/>
        <item x="55"/>
        <item x="753"/>
        <item x="490"/>
        <item x="672"/>
        <item x="697"/>
        <item x="332"/>
        <item x="357"/>
        <item x="640"/>
        <item x="20"/>
        <item x="343"/>
        <item x="678"/>
        <item x="389"/>
        <item x="97"/>
        <item x="132"/>
        <item x="743"/>
        <item x="419"/>
        <item x="340"/>
        <item x="553"/>
        <item x="22"/>
        <item x="504"/>
        <item x="264"/>
        <item x="495"/>
        <item x="51"/>
        <item x="108"/>
        <item x="607"/>
        <item x="139"/>
        <item x="199"/>
        <item x="194"/>
        <item x="437"/>
        <item x="582"/>
        <item x="89"/>
        <item x="334"/>
        <item x="141"/>
        <item x="58"/>
        <item x="275"/>
        <item x="716"/>
        <item x="407"/>
        <item x="203"/>
        <item x="331"/>
        <item x="448"/>
        <item x="747"/>
        <item x="730"/>
        <item x="581"/>
        <item x="274"/>
        <item x="523"/>
        <item x="583"/>
        <item x="656"/>
        <item x="375"/>
        <item x="172"/>
        <item x="644"/>
        <item x="233"/>
        <item x="48"/>
        <item x="614"/>
        <item x="699"/>
        <item x="270"/>
        <item x="713"/>
        <item x="253"/>
        <item x="76"/>
        <item x="486"/>
        <item x="212"/>
        <item x="642"/>
        <item x="751"/>
        <item x="3"/>
        <item x="616"/>
        <item x="683"/>
        <item x="117"/>
        <item x="720"/>
        <item x="695"/>
        <item x="337"/>
        <item x="417"/>
        <item x="383"/>
        <item x="722"/>
        <item x="547"/>
        <item x="306"/>
        <item x="280"/>
        <item x="190"/>
        <item x="517"/>
        <item x="247"/>
        <item x="167"/>
        <item x="254"/>
        <item x="224"/>
        <item x="144"/>
        <item x="510"/>
        <item x="382"/>
        <item x="440"/>
        <item x="227"/>
        <item x="412"/>
        <item x="677"/>
        <item x="327"/>
        <item x="511"/>
        <item x="49"/>
        <item x="459"/>
        <item x="53"/>
        <item x="594"/>
        <item x="362"/>
        <item x="23"/>
        <item x="210"/>
        <item x="711"/>
        <item x="661"/>
        <item x="200"/>
        <item x="293"/>
        <item x="651"/>
        <item x="287"/>
        <item x="572"/>
        <item x="330"/>
        <item x="232"/>
        <item x="99"/>
        <item x="404"/>
        <item x="409"/>
        <item x="220"/>
        <item x="9"/>
        <item x="56"/>
        <item x="285"/>
        <item x="385"/>
        <item x="369"/>
        <item x="595"/>
        <item x="257"/>
        <item x="643"/>
        <item x="4"/>
        <item x="326"/>
        <item x="304"/>
        <item x="367"/>
        <item x="756"/>
        <item x="560"/>
        <item x="573"/>
        <item x="284"/>
        <item x="665"/>
        <item x="93"/>
        <item x="46"/>
        <item x="218"/>
        <item x="449"/>
        <item x="277"/>
        <item x="494"/>
        <item x="216"/>
        <item x="689"/>
        <item x="40"/>
        <item x="291"/>
        <item x="476"/>
        <item x="464"/>
        <item x="321"/>
        <item x="454"/>
        <item x="718"/>
        <item x="488"/>
        <item x="608"/>
        <item x="161"/>
        <item x="457"/>
        <item x="7"/>
        <item x="160"/>
        <item x="544"/>
        <item x="124"/>
        <item x="715"/>
        <item x="363"/>
        <item x="127"/>
        <item x="38"/>
        <item x="444"/>
        <item x="259"/>
        <item x="178"/>
        <item x="323"/>
        <item x="286"/>
        <item x="92"/>
        <item x="335"/>
        <item x="245"/>
        <item x="184"/>
        <item x="98"/>
        <item x="579"/>
        <item x="111"/>
        <item x="531"/>
        <item x="381"/>
        <item x="316"/>
        <item x="96"/>
        <item x="170"/>
        <item x="533"/>
        <item x="328"/>
        <item x="632"/>
        <item x="256"/>
        <item x="540"/>
        <item x="73"/>
        <item x="307"/>
        <item x="690"/>
        <item x="624"/>
        <item x="197"/>
        <item x="577"/>
        <item x="372"/>
        <item x="217"/>
        <item x="585"/>
        <item x="374"/>
        <item x="526"/>
        <item x="621"/>
        <item x="34"/>
        <item x="708"/>
        <item x="487"/>
        <item x="439"/>
        <item x="696"/>
        <item x="710"/>
        <item x="312"/>
        <item x="126"/>
        <item x="563"/>
        <item x="598"/>
        <item x="729"/>
        <item x="243"/>
        <item x="542"/>
        <item x="525"/>
        <item x="64"/>
        <item x="248"/>
        <item x="686"/>
        <item x="177"/>
        <item x="391"/>
        <item x="349"/>
        <item x="279"/>
        <item x="209"/>
        <item x="609"/>
        <item x="714"/>
        <item x="65"/>
        <item x="658"/>
        <item x="237"/>
        <item x="74"/>
        <item x="305"/>
        <item x="229"/>
        <item x="70"/>
        <item x="262"/>
        <item x="150"/>
        <item x="662"/>
        <item x="418"/>
        <item x="556"/>
        <item x="660"/>
        <item x="355"/>
        <item x="394"/>
        <item x="207"/>
        <item x="36"/>
        <item x="702"/>
        <item x="26"/>
        <item x="130"/>
        <item x="499"/>
        <item x="482"/>
        <item x="545"/>
        <item x="226"/>
        <item x="530"/>
        <item x="626"/>
        <item x="310"/>
        <item x="35"/>
        <item x="434"/>
        <item x="88"/>
        <item x="599"/>
        <item x="558"/>
        <item x="432"/>
        <item x="231"/>
        <item x="413"/>
        <item x="549"/>
        <item x="668"/>
        <item x="653"/>
        <item x="692"/>
        <item x="667"/>
        <item x="641"/>
        <item x="166"/>
        <item x="520"/>
        <item x="315"/>
        <item x="329"/>
        <item x="344"/>
        <item x="11"/>
        <item x="698"/>
        <item x="195"/>
        <item x="539"/>
        <item x="543"/>
        <item x="164"/>
        <item x="565"/>
        <item x="430"/>
        <item x="179"/>
        <item x="370"/>
        <item x="590"/>
        <item x="474"/>
        <item x="384"/>
        <item x="82"/>
        <item x="157"/>
        <item x="350"/>
        <item x="584"/>
        <item x="648"/>
        <item x="249"/>
        <item x="615"/>
        <item x="478"/>
        <item x="489"/>
        <item x="443"/>
        <item x="491"/>
        <item x="534"/>
        <item x="42"/>
        <item x="238"/>
        <item x="562"/>
        <item x="361"/>
        <item x="171"/>
        <item x="475"/>
        <item x="294"/>
        <item x="479"/>
        <item x="450"/>
        <item x="466"/>
        <item x="208"/>
        <item x="356"/>
        <item x="606"/>
        <item x="634"/>
        <item x="128"/>
        <item x="750"/>
        <item x="426"/>
        <item x="346"/>
        <item x="299"/>
        <item x="54"/>
        <item x="2"/>
        <item x="465"/>
        <item x="400"/>
        <item x="564"/>
        <item x="60"/>
        <item x="497"/>
        <item x="85"/>
        <item x="138"/>
        <item x="575"/>
        <item x="388"/>
        <item x="493"/>
        <item x="669"/>
        <item x="115"/>
        <item x="8"/>
        <item x="371"/>
        <item x="267"/>
        <item x="758"/>
        <item x="507"/>
        <item x="513"/>
        <item x="302"/>
        <item x="225"/>
        <item x="492"/>
        <item x="86"/>
        <item x="447"/>
        <item x="603"/>
        <item x="266"/>
        <item x="325"/>
        <item x="725"/>
        <item x="133"/>
        <item x="246"/>
        <item x="103"/>
        <item x="219"/>
        <item x="445"/>
        <item x="655"/>
        <item x="501"/>
        <item x="47"/>
        <item x="691"/>
        <item x="276"/>
        <item x="102"/>
        <item x="503"/>
        <item x="739"/>
        <item x="509"/>
        <item x="469"/>
        <item x="168"/>
        <item x="647"/>
        <item x="198"/>
        <item x="57"/>
        <item x="738"/>
        <item x="358"/>
        <item x="366"/>
        <item x="281"/>
        <item x="183"/>
        <item x="498"/>
        <item x="397"/>
        <item x="559"/>
        <item x="28"/>
        <item x="754"/>
        <item x="149"/>
        <item x="91"/>
        <item x="631"/>
        <item x="709"/>
        <item x="411"/>
        <item x="341"/>
        <item x="587"/>
        <item x="535"/>
        <item x="736"/>
        <item x="121"/>
        <item x="255"/>
        <item x="380"/>
        <item x="104"/>
        <item x="365"/>
        <item x="421"/>
        <item x="261"/>
        <item x="118"/>
        <item x="353"/>
        <item x="159"/>
        <item x="322"/>
        <item x="68"/>
        <item x="706"/>
        <item x="649"/>
        <item x="700"/>
        <item x="283"/>
        <item x="586"/>
        <item x="514"/>
        <item x="460"/>
        <item x="263"/>
        <item x="639"/>
        <item x="537"/>
        <item x="505"/>
        <item x="151"/>
        <item x="518"/>
        <item x="625"/>
        <item x="550"/>
        <item x="272"/>
        <item x="712"/>
        <item x="472"/>
        <item x="436"/>
        <item x="300"/>
        <item x="156"/>
        <item x="623"/>
        <item x="320"/>
        <item x="731"/>
        <item x="41"/>
        <item x="548"/>
        <item x="77"/>
        <item x="461"/>
        <item x="425"/>
        <item x="215"/>
        <item x="296"/>
        <item x="250"/>
        <item x="116"/>
        <item x="278"/>
        <item x="453"/>
        <item x="191"/>
        <item x="593"/>
        <item x="386"/>
        <item x="186"/>
        <item x="746"/>
        <item x="175"/>
        <item x="740"/>
        <item x="289"/>
        <item x="401"/>
        <item x="477"/>
        <item x="16"/>
        <item x="580"/>
        <item x="239"/>
        <item x="339"/>
        <item x="601"/>
        <item x="12"/>
        <item x="182"/>
        <item x="155"/>
        <item x="134"/>
        <item x="734"/>
        <item x="120"/>
        <item x="719"/>
        <item x="31"/>
        <item x="223"/>
        <item x="456"/>
        <item x="687"/>
        <item x="496"/>
        <item x="295"/>
        <item x="646"/>
        <item x="10"/>
        <item x="470"/>
        <item x="506"/>
        <item x="360"/>
        <item x="83"/>
        <item x="617"/>
        <item x="428"/>
        <item x="101"/>
        <item x="50"/>
        <item x="541"/>
        <item x="123"/>
        <item x="452"/>
        <item x="574"/>
        <item x="705"/>
        <item x="336"/>
        <item x="650"/>
        <item x="311"/>
        <item x="244"/>
        <item x="112"/>
        <item x="181"/>
        <item x="292"/>
        <item x="480"/>
        <item x="303"/>
        <item x="555"/>
        <item x="221"/>
        <item x="664"/>
        <item x="110"/>
        <item x="502"/>
        <item x="600"/>
        <item x="273"/>
        <item x="204"/>
        <item x="741"/>
        <item x="66"/>
        <item x="512"/>
        <item x="605"/>
        <item x="201"/>
        <item x="403"/>
        <item x="67"/>
        <item x="752"/>
        <item x="688"/>
        <item x="18"/>
        <item x="757"/>
        <item x="376"/>
        <item x="211"/>
        <item x="140"/>
        <item x="169"/>
        <item x="14"/>
        <item x="592"/>
        <item x="75"/>
        <item x="427"/>
        <item x="72"/>
        <item x="721"/>
        <item x="71"/>
        <item x="441"/>
        <item x="313"/>
        <item x="561"/>
        <item x="536"/>
        <item x="105"/>
        <item x="569"/>
        <item x="129"/>
        <item x="588"/>
        <item x="373"/>
        <item x="107"/>
        <item x="429"/>
        <item x="675"/>
        <item x="611"/>
        <item x="431"/>
        <item x="633"/>
        <item x="269"/>
        <item x="131"/>
        <item x="645"/>
        <item x="364"/>
        <item x="17"/>
        <item x="451"/>
        <item x="680"/>
        <item x="745"/>
        <item x="165"/>
        <item x="635"/>
        <item x="45"/>
        <item x="627"/>
        <item x="148"/>
        <item x="214"/>
        <item x="519"/>
        <item x="707"/>
        <item x="240"/>
        <item x="109"/>
        <item x="591"/>
        <item x="529"/>
        <item t="default"/>
      </items>
    </pivotField>
    <pivotField dataField="1"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Average of Salary" fld="8" subtotal="average" baseField="0" baseItem="0" numFmtId="166"/>
  </dataFields>
  <formats count="7">
    <format dxfId="82">
      <pivotArea type="all" dataOnly="0" outline="0" fieldPosition="0"/>
    </format>
    <format dxfId="81">
      <pivotArea outline="0" collapsedLevelsAreSubtotals="1" fieldPosition="0"/>
    </format>
    <format dxfId="80">
      <pivotArea dataOnly="0" labelOnly="1" outline="0" axis="axisValues"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CF8119-DB4A-43A0-9819-41AA1CDA2E0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6">
    <pivotField dataField="1" showAll="0"/>
    <pivotField showAll="0"/>
    <pivotField showAll="0"/>
    <pivotField showAll="0"/>
    <pivotField showAll="0">
      <items count="7">
        <item x="2"/>
        <item x="3"/>
        <item x="0"/>
        <item x="1"/>
        <item x="5"/>
        <item x="4"/>
        <item t="default"/>
      </items>
    </pivotField>
    <pivotField showAll="0">
      <items count="7">
        <item x="0"/>
        <item x="3"/>
        <item x="5"/>
        <item x="2"/>
        <item x="4"/>
        <item x="1"/>
        <item t="default"/>
      </items>
    </pivotField>
    <pivotField showAll="0">
      <items count="4">
        <item x="0"/>
        <item x="2"/>
        <item x="1"/>
        <item t="default"/>
      </items>
    </pivotField>
    <pivotField numFmtId="164" showAll="0">
      <items count="761">
        <item x="571"/>
        <item x="619"/>
        <item x="424"/>
        <item x="408"/>
        <item x="693"/>
        <item x="348"/>
        <item x="724"/>
        <item x="666"/>
        <item x="368"/>
        <item x="90"/>
        <item x="143"/>
        <item x="703"/>
        <item x="19"/>
        <item x="663"/>
        <item x="387"/>
        <item x="113"/>
        <item x="682"/>
        <item x="24"/>
        <item x="136"/>
        <item x="528"/>
        <item x="61"/>
        <item x="630"/>
        <item x="81"/>
        <item x="748"/>
        <item x="6"/>
        <item x="570"/>
        <item x="235"/>
        <item x="637"/>
        <item x="114"/>
        <item x="406"/>
        <item x="189"/>
        <item x="78"/>
        <item x="187"/>
        <item x="552"/>
        <item x="396"/>
        <item x="125"/>
        <item x="158"/>
        <item x="399"/>
        <item x="147"/>
        <item x="188"/>
        <item x="602"/>
        <item x="298"/>
        <item x="676"/>
        <item x="610"/>
        <item x="202"/>
        <item x="554"/>
        <item x="628"/>
        <item x="377"/>
        <item x="379"/>
        <item x="314"/>
        <item x="297"/>
        <item x="33"/>
        <item x="25"/>
        <item x="657"/>
        <item x="180"/>
        <item x="163"/>
        <item x="484"/>
        <item x="230"/>
        <item x="737"/>
        <item x="673"/>
        <item x="652"/>
        <item x="732"/>
        <item x="500"/>
        <item x="84"/>
        <item x="685"/>
        <item x="515"/>
        <item x="185"/>
        <item x="744"/>
        <item x="318"/>
        <item x="206"/>
        <item x="578"/>
        <item x="423"/>
        <item x="671"/>
        <item x="749"/>
        <item x="100"/>
        <item x="228"/>
        <item x="612"/>
        <item x="354"/>
        <item x="196"/>
        <item x="681"/>
        <item x="251"/>
        <item x="378"/>
        <item x="567"/>
        <item x="589"/>
        <item x="319"/>
        <item x="338"/>
        <item x="471"/>
        <item x="422"/>
        <item x="568"/>
        <item x="205"/>
        <item x="463"/>
        <item x="43"/>
        <item x="622"/>
        <item x="742"/>
        <item x="629"/>
        <item x="527"/>
        <item x="173"/>
        <item x="106"/>
        <item x="119"/>
        <item x="481"/>
        <item x="735"/>
        <item x="290"/>
        <item x="308"/>
        <item x="213"/>
        <item x="80"/>
        <item x="79"/>
        <item x="694"/>
        <item x="21"/>
        <item x="176"/>
        <item x="458"/>
        <item x="154"/>
        <item x="395"/>
        <item x="462"/>
        <item x="282"/>
        <item x="324"/>
        <item x="345"/>
        <item x="137"/>
        <item x="446"/>
        <item x="5"/>
        <item x="1"/>
        <item x="52"/>
        <item x="13"/>
        <item x="146"/>
        <item x="351"/>
        <item x="142"/>
        <item x="193"/>
        <item x="359"/>
        <item x="723"/>
        <item x="393"/>
        <item x="442"/>
        <item x="398"/>
        <item x="576"/>
        <item x="342"/>
        <item x="727"/>
        <item x="288"/>
        <item x="551"/>
        <item x="410"/>
        <item x="618"/>
        <item x="654"/>
        <item x="222"/>
        <item x="420"/>
        <item x="636"/>
        <item x="63"/>
        <item x="717"/>
        <item x="638"/>
        <item x="27"/>
        <item x="670"/>
        <item x="473"/>
        <item x="347"/>
        <item x="524"/>
        <item x="268"/>
        <item x="522"/>
        <item x="122"/>
        <item x="467"/>
        <item x="241"/>
        <item x="620"/>
        <item x="405"/>
        <item x="604"/>
        <item x="759"/>
        <item x="271"/>
        <item x="516"/>
        <item x="317"/>
        <item x="62"/>
        <item x="0"/>
        <item x="415"/>
        <item x="755"/>
        <item x="162"/>
        <item x="252"/>
        <item x="455"/>
        <item x="733"/>
        <item x="684"/>
        <item x="468"/>
        <item x="242"/>
        <item x="301"/>
        <item x="538"/>
        <item x="258"/>
        <item x="333"/>
        <item x="352"/>
        <item x="87"/>
        <item x="59"/>
        <item x="596"/>
        <item x="153"/>
        <item x="95"/>
        <item x="309"/>
        <item x="174"/>
        <item x="414"/>
        <item x="145"/>
        <item x="483"/>
        <item x="704"/>
        <item x="726"/>
        <item x="521"/>
        <item x="433"/>
        <item x="192"/>
        <item x="135"/>
        <item x="532"/>
        <item x="701"/>
        <item x="94"/>
        <item x="69"/>
        <item x="390"/>
        <item x="566"/>
        <item x="674"/>
        <item x="485"/>
        <item x="416"/>
        <item x="265"/>
        <item x="435"/>
        <item x="659"/>
        <item x="37"/>
        <item x="152"/>
        <item x="728"/>
        <item x="260"/>
        <item x="613"/>
        <item x="29"/>
        <item x="438"/>
        <item x="30"/>
        <item x="546"/>
        <item x="236"/>
        <item x="15"/>
        <item x="508"/>
        <item x="44"/>
        <item x="392"/>
        <item x="39"/>
        <item x="402"/>
        <item x="234"/>
        <item x="557"/>
        <item x="679"/>
        <item x="32"/>
        <item x="597"/>
        <item x="55"/>
        <item x="753"/>
        <item x="490"/>
        <item x="672"/>
        <item x="697"/>
        <item x="332"/>
        <item x="357"/>
        <item x="640"/>
        <item x="20"/>
        <item x="343"/>
        <item x="678"/>
        <item x="389"/>
        <item x="97"/>
        <item x="132"/>
        <item x="743"/>
        <item x="419"/>
        <item x="340"/>
        <item x="553"/>
        <item x="22"/>
        <item x="504"/>
        <item x="264"/>
        <item x="495"/>
        <item x="51"/>
        <item x="108"/>
        <item x="607"/>
        <item x="139"/>
        <item x="199"/>
        <item x="194"/>
        <item x="437"/>
        <item x="582"/>
        <item x="89"/>
        <item x="334"/>
        <item x="141"/>
        <item x="58"/>
        <item x="275"/>
        <item x="716"/>
        <item x="407"/>
        <item x="203"/>
        <item x="331"/>
        <item x="448"/>
        <item x="747"/>
        <item x="730"/>
        <item x="581"/>
        <item x="274"/>
        <item x="523"/>
        <item x="583"/>
        <item x="656"/>
        <item x="375"/>
        <item x="172"/>
        <item x="644"/>
        <item x="233"/>
        <item x="48"/>
        <item x="614"/>
        <item x="699"/>
        <item x="270"/>
        <item x="713"/>
        <item x="253"/>
        <item x="76"/>
        <item x="486"/>
        <item x="212"/>
        <item x="642"/>
        <item x="751"/>
        <item x="3"/>
        <item x="616"/>
        <item x="683"/>
        <item x="117"/>
        <item x="720"/>
        <item x="695"/>
        <item x="337"/>
        <item x="417"/>
        <item x="383"/>
        <item x="722"/>
        <item x="547"/>
        <item x="306"/>
        <item x="280"/>
        <item x="190"/>
        <item x="517"/>
        <item x="247"/>
        <item x="167"/>
        <item x="254"/>
        <item x="224"/>
        <item x="144"/>
        <item x="510"/>
        <item x="382"/>
        <item x="440"/>
        <item x="227"/>
        <item x="412"/>
        <item x="677"/>
        <item x="327"/>
        <item x="511"/>
        <item x="49"/>
        <item x="459"/>
        <item x="53"/>
        <item x="594"/>
        <item x="362"/>
        <item x="23"/>
        <item x="210"/>
        <item x="711"/>
        <item x="661"/>
        <item x="200"/>
        <item x="293"/>
        <item x="651"/>
        <item x="287"/>
        <item x="572"/>
        <item x="330"/>
        <item x="232"/>
        <item x="99"/>
        <item x="404"/>
        <item x="409"/>
        <item x="220"/>
        <item x="9"/>
        <item x="56"/>
        <item x="285"/>
        <item x="385"/>
        <item x="369"/>
        <item x="595"/>
        <item x="257"/>
        <item x="643"/>
        <item x="4"/>
        <item x="326"/>
        <item x="304"/>
        <item x="367"/>
        <item x="756"/>
        <item x="560"/>
        <item x="573"/>
        <item x="284"/>
        <item x="665"/>
        <item x="93"/>
        <item x="46"/>
        <item x="218"/>
        <item x="449"/>
        <item x="277"/>
        <item x="494"/>
        <item x="216"/>
        <item x="689"/>
        <item x="40"/>
        <item x="291"/>
        <item x="476"/>
        <item x="464"/>
        <item x="321"/>
        <item x="454"/>
        <item x="718"/>
        <item x="488"/>
        <item x="608"/>
        <item x="161"/>
        <item x="457"/>
        <item x="7"/>
        <item x="160"/>
        <item x="544"/>
        <item x="124"/>
        <item x="715"/>
        <item x="363"/>
        <item x="127"/>
        <item x="38"/>
        <item x="444"/>
        <item x="259"/>
        <item x="178"/>
        <item x="323"/>
        <item x="286"/>
        <item x="92"/>
        <item x="335"/>
        <item x="245"/>
        <item x="184"/>
        <item x="98"/>
        <item x="579"/>
        <item x="111"/>
        <item x="531"/>
        <item x="381"/>
        <item x="316"/>
        <item x="96"/>
        <item x="170"/>
        <item x="533"/>
        <item x="328"/>
        <item x="632"/>
        <item x="256"/>
        <item x="540"/>
        <item x="73"/>
        <item x="307"/>
        <item x="690"/>
        <item x="624"/>
        <item x="197"/>
        <item x="577"/>
        <item x="372"/>
        <item x="217"/>
        <item x="585"/>
        <item x="374"/>
        <item x="526"/>
        <item x="621"/>
        <item x="34"/>
        <item x="708"/>
        <item x="487"/>
        <item x="439"/>
        <item x="696"/>
        <item x="710"/>
        <item x="312"/>
        <item x="126"/>
        <item x="563"/>
        <item x="598"/>
        <item x="729"/>
        <item x="243"/>
        <item x="542"/>
        <item x="525"/>
        <item x="64"/>
        <item x="248"/>
        <item x="686"/>
        <item x="177"/>
        <item x="391"/>
        <item x="349"/>
        <item x="279"/>
        <item x="209"/>
        <item x="609"/>
        <item x="714"/>
        <item x="65"/>
        <item x="658"/>
        <item x="237"/>
        <item x="74"/>
        <item x="305"/>
        <item x="229"/>
        <item x="70"/>
        <item x="262"/>
        <item x="150"/>
        <item x="662"/>
        <item x="418"/>
        <item x="556"/>
        <item x="660"/>
        <item x="355"/>
        <item x="394"/>
        <item x="207"/>
        <item x="36"/>
        <item x="702"/>
        <item x="26"/>
        <item x="130"/>
        <item x="499"/>
        <item x="482"/>
        <item x="545"/>
        <item x="226"/>
        <item x="530"/>
        <item x="626"/>
        <item x="310"/>
        <item x="35"/>
        <item x="434"/>
        <item x="88"/>
        <item x="599"/>
        <item x="558"/>
        <item x="432"/>
        <item x="231"/>
        <item x="413"/>
        <item x="549"/>
        <item x="668"/>
        <item x="653"/>
        <item x="692"/>
        <item x="667"/>
        <item x="641"/>
        <item x="166"/>
        <item x="520"/>
        <item x="315"/>
        <item x="329"/>
        <item x="344"/>
        <item x="11"/>
        <item x="698"/>
        <item x="195"/>
        <item x="539"/>
        <item x="543"/>
        <item x="164"/>
        <item x="565"/>
        <item x="430"/>
        <item x="179"/>
        <item x="370"/>
        <item x="590"/>
        <item x="474"/>
        <item x="384"/>
        <item x="82"/>
        <item x="157"/>
        <item x="350"/>
        <item x="584"/>
        <item x="648"/>
        <item x="249"/>
        <item x="615"/>
        <item x="478"/>
        <item x="489"/>
        <item x="443"/>
        <item x="491"/>
        <item x="534"/>
        <item x="42"/>
        <item x="238"/>
        <item x="562"/>
        <item x="361"/>
        <item x="171"/>
        <item x="475"/>
        <item x="294"/>
        <item x="479"/>
        <item x="450"/>
        <item x="466"/>
        <item x="208"/>
        <item x="356"/>
        <item x="606"/>
        <item x="634"/>
        <item x="128"/>
        <item x="750"/>
        <item x="426"/>
        <item x="346"/>
        <item x="299"/>
        <item x="54"/>
        <item x="2"/>
        <item x="465"/>
        <item x="400"/>
        <item x="564"/>
        <item x="60"/>
        <item x="497"/>
        <item x="85"/>
        <item x="138"/>
        <item x="575"/>
        <item x="388"/>
        <item x="493"/>
        <item x="669"/>
        <item x="115"/>
        <item x="8"/>
        <item x="371"/>
        <item x="267"/>
        <item x="758"/>
        <item x="507"/>
        <item x="513"/>
        <item x="302"/>
        <item x="225"/>
        <item x="492"/>
        <item x="86"/>
        <item x="447"/>
        <item x="603"/>
        <item x="266"/>
        <item x="325"/>
        <item x="725"/>
        <item x="133"/>
        <item x="246"/>
        <item x="103"/>
        <item x="219"/>
        <item x="445"/>
        <item x="655"/>
        <item x="501"/>
        <item x="47"/>
        <item x="691"/>
        <item x="276"/>
        <item x="102"/>
        <item x="503"/>
        <item x="739"/>
        <item x="509"/>
        <item x="469"/>
        <item x="168"/>
        <item x="647"/>
        <item x="198"/>
        <item x="57"/>
        <item x="738"/>
        <item x="358"/>
        <item x="366"/>
        <item x="281"/>
        <item x="183"/>
        <item x="498"/>
        <item x="397"/>
        <item x="559"/>
        <item x="28"/>
        <item x="754"/>
        <item x="149"/>
        <item x="91"/>
        <item x="631"/>
        <item x="709"/>
        <item x="411"/>
        <item x="341"/>
        <item x="587"/>
        <item x="535"/>
        <item x="736"/>
        <item x="121"/>
        <item x="255"/>
        <item x="380"/>
        <item x="104"/>
        <item x="365"/>
        <item x="421"/>
        <item x="261"/>
        <item x="118"/>
        <item x="353"/>
        <item x="159"/>
        <item x="322"/>
        <item x="68"/>
        <item x="706"/>
        <item x="649"/>
        <item x="700"/>
        <item x="283"/>
        <item x="586"/>
        <item x="514"/>
        <item x="460"/>
        <item x="263"/>
        <item x="639"/>
        <item x="537"/>
        <item x="505"/>
        <item x="151"/>
        <item x="518"/>
        <item x="625"/>
        <item x="550"/>
        <item x="272"/>
        <item x="712"/>
        <item x="472"/>
        <item x="436"/>
        <item x="300"/>
        <item x="156"/>
        <item x="623"/>
        <item x="320"/>
        <item x="731"/>
        <item x="41"/>
        <item x="548"/>
        <item x="77"/>
        <item x="461"/>
        <item x="425"/>
        <item x="215"/>
        <item x="296"/>
        <item x="250"/>
        <item x="116"/>
        <item x="278"/>
        <item x="453"/>
        <item x="191"/>
        <item x="593"/>
        <item x="386"/>
        <item x="186"/>
        <item x="746"/>
        <item x="175"/>
        <item x="740"/>
        <item x="289"/>
        <item x="401"/>
        <item x="477"/>
        <item x="16"/>
        <item x="580"/>
        <item x="239"/>
        <item x="339"/>
        <item x="601"/>
        <item x="12"/>
        <item x="182"/>
        <item x="155"/>
        <item x="134"/>
        <item x="734"/>
        <item x="120"/>
        <item x="719"/>
        <item x="31"/>
        <item x="223"/>
        <item x="456"/>
        <item x="687"/>
        <item x="496"/>
        <item x="295"/>
        <item x="646"/>
        <item x="10"/>
        <item x="470"/>
        <item x="506"/>
        <item x="360"/>
        <item x="83"/>
        <item x="617"/>
        <item x="428"/>
        <item x="101"/>
        <item x="50"/>
        <item x="541"/>
        <item x="123"/>
        <item x="452"/>
        <item x="574"/>
        <item x="705"/>
        <item x="336"/>
        <item x="650"/>
        <item x="311"/>
        <item x="244"/>
        <item x="112"/>
        <item x="181"/>
        <item x="292"/>
        <item x="480"/>
        <item x="303"/>
        <item x="555"/>
        <item x="221"/>
        <item x="664"/>
        <item x="110"/>
        <item x="502"/>
        <item x="600"/>
        <item x="273"/>
        <item x="204"/>
        <item x="741"/>
        <item x="66"/>
        <item x="512"/>
        <item x="605"/>
        <item x="201"/>
        <item x="403"/>
        <item x="67"/>
        <item x="752"/>
        <item x="688"/>
        <item x="18"/>
        <item x="757"/>
        <item x="376"/>
        <item x="211"/>
        <item x="140"/>
        <item x="169"/>
        <item x="14"/>
        <item x="592"/>
        <item x="75"/>
        <item x="427"/>
        <item x="72"/>
        <item x="721"/>
        <item x="71"/>
        <item x="441"/>
        <item x="313"/>
        <item x="561"/>
        <item x="536"/>
        <item x="105"/>
        <item x="569"/>
        <item x="129"/>
        <item x="588"/>
        <item x="373"/>
        <item x="107"/>
        <item x="429"/>
        <item x="675"/>
        <item x="611"/>
        <item x="431"/>
        <item x="633"/>
        <item x="269"/>
        <item x="131"/>
        <item x="645"/>
        <item x="364"/>
        <item x="17"/>
        <item x="451"/>
        <item x="680"/>
        <item x="745"/>
        <item x="165"/>
        <item x="635"/>
        <item x="45"/>
        <item x="627"/>
        <item x="148"/>
        <item x="214"/>
        <item x="519"/>
        <item x="707"/>
        <item x="240"/>
        <item x="109"/>
        <item x="591"/>
        <item x="529"/>
        <item t="default"/>
      </items>
    </pivotField>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Count of Employee_ID" fld="0" subtotal="count" baseField="0" baseItem="0"/>
  </dataFields>
  <formats count="7">
    <format dxfId="89">
      <pivotArea type="all" dataOnly="0" outline="0" fieldPosition="0"/>
    </format>
    <format dxfId="88">
      <pivotArea outline="0" collapsedLevelsAreSubtotals="1" fieldPosition="0"/>
    </format>
    <format dxfId="87">
      <pivotArea dataOnly="0" labelOnly="1" outline="0" axis="axisValues"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dataOnly="0" labelOnly="1" outline="0" axis="axisValues"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7F940E-388F-4C44-B068-06433EB74D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colHeaderCaption="">
  <location ref="S17:X21" firstHeaderRow="1" firstDataRow="2" firstDataCol="1"/>
  <pivotFields count="16">
    <pivotField dataField="1" showAll="0"/>
    <pivotField showAll="0"/>
    <pivotField showAll="0"/>
    <pivotField showAll="0"/>
    <pivotField showAll="0">
      <items count="7">
        <item x="2"/>
        <item x="3"/>
        <item x="0"/>
        <item x="1"/>
        <item x="5"/>
        <item x="4"/>
        <item t="default"/>
      </items>
    </pivotField>
    <pivotField showAll="0">
      <items count="7">
        <item x="0"/>
        <item x="3"/>
        <item x="5"/>
        <item x="2"/>
        <item x="4"/>
        <item x="1"/>
        <item t="default"/>
      </items>
    </pivotField>
    <pivotField showAll="0">
      <items count="4">
        <item x="0"/>
        <item x="2"/>
        <item x="1"/>
        <item t="default"/>
      </items>
    </pivotField>
    <pivotField numFmtId="164" showAll="0">
      <items count="761">
        <item x="571"/>
        <item x="619"/>
        <item x="424"/>
        <item x="408"/>
        <item x="693"/>
        <item x="348"/>
        <item x="724"/>
        <item x="666"/>
        <item x="368"/>
        <item x="90"/>
        <item x="143"/>
        <item x="703"/>
        <item x="19"/>
        <item x="663"/>
        <item x="387"/>
        <item x="113"/>
        <item x="682"/>
        <item x="24"/>
        <item x="136"/>
        <item x="528"/>
        <item x="61"/>
        <item x="630"/>
        <item x="81"/>
        <item x="748"/>
        <item x="6"/>
        <item x="570"/>
        <item x="235"/>
        <item x="637"/>
        <item x="114"/>
        <item x="406"/>
        <item x="189"/>
        <item x="78"/>
        <item x="187"/>
        <item x="552"/>
        <item x="396"/>
        <item x="125"/>
        <item x="158"/>
        <item x="399"/>
        <item x="147"/>
        <item x="188"/>
        <item x="602"/>
        <item x="298"/>
        <item x="676"/>
        <item x="610"/>
        <item x="202"/>
        <item x="554"/>
        <item x="628"/>
        <item x="377"/>
        <item x="379"/>
        <item x="314"/>
        <item x="297"/>
        <item x="33"/>
        <item x="25"/>
        <item x="657"/>
        <item x="180"/>
        <item x="163"/>
        <item x="484"/>
        <item x="230"/>
        <item x="737"/>
        <item x="673"/>
        <item x="652"/>
        <item x="732"/>
        <item x="500"/>
        <item x="84"/>
        <item x="685"/>
        <item x="515"/>
        <item x="185"/>
        <item x="744"/>
        <item x="318"/>
        <item x="206"/>
        <item x="578"/>
        <item x="423"/>
        <item x="671"/>
        <item x="749"/>
        <item x="100"/>
        <item x="228"/>
        <item x="612"/>
        <item x="354"/>
        <item x="196"/>
        <item x="681"/>
        <item x="251"/>
        <item x="378"/>
        <item x="567"/>
        <item x="589"/>
        <item x="319"/>
        <item x="338"/>
        <item x="471"/>
        <item x="422"/>
        <item x="568"/>
        <item x="205"/>
        <item x="463"/>
        <item x="43"/>
        <item x="622"/>
        <item x="742"/>
        <item x="629"/>
        <item x="527"/>
        <item x="173"/>
        <item x="106"/>
        <item x="119"/>
        <item x="481"/>
        <item x="735"/>
        <item x="290"/>
        <item x="308"/>
        <item x="213"/>
        <item x="80"/>
        <item x="79"/>
        <item x="694"/>
        <item x="21"/>
        <item x="176"/>
        <item x="458"/>
        <item x="154"/>
        <item x="395"/>
        <item x="462"/>
        <item x="282"/>
        <item x="324"/>
        <item x="345"/>
        <item x="137"/>
        <item x="446"/>
        <item x="5"/>
        <item x="1"/>
        <item x="52"/>
        <item x="13"/>
        <item x="146"/>
        <item x="351"/>
        <item x="142"/>
        <item x="193"/>
        <item x="359"/>
        <item x="723"/>
        <item x="393"/>
        <item x="442"/>
        <item x="398"/>
        <item x="576"/>
        <item x="342"/>
        <item x="727"/>
        <item x="288"/>
        <item x="551"/>
        <item x="410"/>
        <item x="618"/>
        <item x="654"/>
        <item x="222"/>
        <item x="420"/>
        <item x="636"/>
        <item x="63"/>
        <item x="717"/>
        <item x="638"/>
        <item x="27"/>
        <item x="670"/>
        <item x="473"/>
        <item x="347"/>
        <item x="524"/>
        <item x="268"/>
        <item x="522"/>
        <item x="122"/>
        <item x="467"/>
        <item x="241"/>
        <item x="620"/>
        <item x="405"/>
        <item x="604"/>
        <item x="759"/>
        <item x="271"/>
        <item x="516"/>
        <item x="317"/>
        <item x="62"/>
        <item x="0"/>
        <item x="415"/>
        <item x="755"/>
        <item x="162"/>
        <item x="252"/>
        <item x="455"/>
        <item x="733"/>
        <item x="684"/>
        <item x="468"/>
        <item x="242"/>
        <item x="301"/>
        <item x="538"/>
        <item x="258"/>
        <item x="333"/>
        <item x="352"/>
        <item x="87"/>
        <item x="59"/>
        <item x="596"/>
        <item x="153"/>
        <item x="95"/>
        <item x="309"/>
        <item x="174"/>
        <item x="414"/>
        <item x="145"/>
        <item x="483"/>
        <item x="704"/>
        <item x="726"/>
        <item x="521"/>
        <item x="433"/>
        <item x="192"/>
        <item x="135"/>
        <item x="532"/>
        <item x="701"/>
        <item x="94"/>
        <item x="69"/>
        <item x="390"/>
        <item x="566"/>
        <item x="674"/>
        <item x="485"/>
        <item x="416"/>
        <item x="265"/>
        <item x="435"/>
        <item x="659"/>
        <item x="37"/>
        <item x="152"/>
        <item x="728"/>
        <item x="260"/>
        <item x="613"/>
        <item x="29"/>
        <item x="438"/>
        <item x="30"/>
        <item x="546"/>
        <item x="236"/>
        <item x="15"/>
        <item x="508"/>
        <item x="44"/>
        <item x="392"/>
        <item x="39"/>
        <item x="402"/>
        <item x="234"/>
        <item x="557"/>
        <item x="679"/>
        <item x="32"/>
        <item x="597"/>
        <item x="55"/>
        <item x="753"/>
        <item x="490"/>
        <item x="672"/>
        <item x="697"/>
        <item x="332"/>
        <item x="357"/>
        <item x="640"/>
        <item x="20"/>
        <item x="343"/>
        <item x="678"/>
        <item x="389"/>
        <item x="97"/>
        <item x="132"/>
        <item x="743"/>
        <item x="419"/>
        <item x="340"/>
        <item x="553"/>
        <item x="22"/>
        <item x="504"/>
        <item x="264"/>
        <item x="495"/>
        <item x="51"/>
        <item x="108"/>
        <item x="607"/>
        <item x="139"/>
        <item x="199"/>
        <item x="194"/>
        <item x="437"/>
        <item x="582"/>
        <item x="89"/>
        <item x="334"/>
        <item x="141"/>
        <item x="58"/>
        <item x="275"/>
        <item x="716"/>
        <item x="407"/>
        <item x="203"/>
        <item x="331"/>
        <item x="448"/>
        <item x="747"/>
        <item x="730"/>
        <item x="581"/>
        <item x="274"/>
        <item x="523"/>
        <item x="583"/>
        <item x="656"/>
        <item x="375"/>
        <item x="172"/>
        <item x="644"/>
        <item x="233"/>
        <item x="48"/>
        <item x="614"/>
        <item x="699"/>
        <item x="270"/>
        <item x="713"/>
        <item x="253"/>
        <item x="76"/>
        <item x="486"/>
        <item x="212"/>
        <item x="642"/>
        <item x="751"/>
        <item x="3"/>
        <item x="616"/>
        <item x="683"/>
        <item x="117"/>
        <item x="720"/>
        <item x="695"/>
        <item x="337"/>
        <item x="417"/>
        <item x="383"/>
        <item x="722"/>
        <item x="547"/>
        <item x="306"/>
        <item x="280"/>
        <item x="190"/>
        <item x="517"/>
        <item x="247"/>
        <item x="167"/>
        <item x="254"/>
        <item x="224"/>
        <item x="144"/>
        <item x="510"/>
        <item x="382"/>
        <item x="440"/>
        <item x="227"/>
        <item x="412"/>
        <item x="677"/>
        <item x="327"/>
        <item x="511"/>
        <item x="49"/>
        <item x="459"/>
        <item x="53"/>
        <item x="594"/>
        <item x="362"/>
        <item x="23"/>
        <item x="210"/>
        <item x="711"/>
        <item x="661"/>
        <item x="200"/>
        <item x="293"/>
        <item x="651"/>
        <item x="287"/>
        <item x="572"/>
        <item x="330"/>
        <item x="232"/>
        <item x="99"/>
        <item x="404"/>
        <item x="409"/>
        <item x="220"/>
        <item x="9"/>
        <item x="56"/>
        <item x="285"/>
        <item x="385"/>
        <item x="369"/>
        <item x="595"/>
        <item x="257"/>
        <item x="643"/>
        <item x="4"/>
        <item x="326"/>
        <item x="304"/>
        <item x="367"/>
        <item x="756"/>
        <item x="560"/>
        <item x="573"/>
        <item x="284"/>
        <item x="665"/>
        <item x="93"/>
        <item x="46"/>
        <item x="218"/>
        <item x="449"/>
        <item x="277"/>
        <item x="494"/>
        <item x="216"/>
        <item x="689"/>
        <item x="40"/>
        <item x="291"/>
        <item x="476"/>
        <item x="464"/>
        <item x="321"/>
        <item x="454"/>
        <item x="718"/>
        <item x="488"/>
        <item x="608"/>
        <item x="161"/>
        <item x="457"/>
        <item x="7"/>
        <item x="160"/>
        <item x="544"/>
        <item x="124"/>
        <item x="715"/>
        <item x="363"/>
        <item x="127"/>
        <item x="38"/>
        <item x="444"/>
        <item x="259"/>
        <item x="178"/>
        <item x="323"/>
        <item x="286"/>
        <item x="92"/>
        <item x="335"/>
        <item x="245"/>
        <item x="184"/>
        <item x="98"/>
        <item x="579"/>
        <item x="111"/>
        <item x="531"/>
        <item x="381"/>
        <item x="316"/>
        <item x="96"/>
        <item x="170"/>
        <item x="533"/>
        <item x="328"/>
        <item x="632"/>
        <item x="256"/>
        <item x="540"/>
        <item x="73"/>
        <item x="307"/>
        <item x="690"/>
        <item x="624"/>
        <item x="197"/>
        <item x="577"/>
        <item x="372"/>
        <item x="217"/>
        <item x="585"/>
        <item x="374"/>
        <item x="526"/>
        <item x="621"/>
        <item x="34"/>
        <item x="708"/>
        <item x="487"/>
        <item x="439"/>
        <item x="696"/>
        <item x="710"/>
        <item x="312"/>
        <item x="126"/>
        <item x="563"/>
        <item x="598"/>
        <item x="729"/>
        <item x="243"/>
        <item x="542"/>
        <item x="525"/>
        <item x="64"/>
        <item x="248"/>
        <item x="686"/>
        <item x="177"/>
        <item x="391"/>
        <item x="349"/>
        <item x="279"/>
        <item x="209"/>
        <item x="609"/>
        <item x="714"/>
        <item x="65"/>
        <item x="658"/>
        <item x="237"/>
        <item x="74"/>
        <item x="305"/>
        <item x="229"/>
        <item x="70"/>
        <item x="262"/>
        <item x="150"/>
        <item x="662"/>
        <item x="418"/>
        <item x="556"/>
        <item x="660"/>
        <item x="355"/>
        <item x="394"/>
        <item x="207"/>
        <item x="36"/>
        <item x="702"/>
        <item x="26"/>
        <item x="130"/>
        <item x="499"/>
        <item x="482"/>
        <item x="545"/>
        <item x="226"/>
        <item x="530"/>
        <item x="626"/>
        <item x="310"/>
        <item x="35"/>
        <item x="434"/>
        <item x="88"/>
        <item x="599"/>
        <item x="558"/>
        <item x="432"/>
        <item x="231"/>
        <item x="413"/>
        <item x="549"/>
        <item x="668"/>
        <item x="653"/>
        <item x="692"/>
        <item x="667"/>
        <item x="641"/>
        <item x="166"/>
        <item x="520"/>
        <item x="315"/>
        <item x="329"/>
        <item x="344"/>
        <item x="11"/>
        <item x="698"/>
        <item x="195"/>
        <item x="539"/>
        <item x="543"/>
        <item x="164"/>
        <item x="565"/>
        <item x="430"/>
        <item x="179"/>
        <item x="370"/>
        <item x="590"/>
        <item x="474"/>
        <item x="384"/>
        <item x="82"/>
        <item x="157"/>
        <item x="350"/>
        <item x="584"/>
        <item x="648"/>
        <item x="249"/>
        <item x="615"/>
        <item x="478"/>
        <item x="489"/>
        <item x="443"/>
        <item x="491"/>
        <item x="534"/>
        <item x="42"/>
        <item x="238"/>
        <item x="562"/>
        <item x="361"/>
        <item x="171"/>
        <item x="475"/>
        <item x="294"/>
        <item x="479"/>
        <item x="450"/>
        <item x="466"/>
        <item x="208"/>
        <item x="356"/>
        <item x="606"/>
        <item x="634"/>
        <item x="128"/>
        <item x="750"/>
        <item x="426"/>
        <item x="346"/>
        <item x="299"/>
        <item x="54"/>
        <item x="2"/>
        <item x="465"/>
        <item x="400"/>
        <item x="564"/>
        <item x="60"/>
        <item x="497"/>
        <item x="85"/>
        <item x="138"/>
        <item x="575"/>
        <item x="388"/>
        <item x="493"/>
        <item x="669"/>
        <item x="115"/>
        <item x="8"/>
        <item x="371"/>
        <item x="267"/>
        <item x="758"/>
        <item x="507"/>
        <item x="513"/>
        <item x="302"/>
        <item x="225"/>
        <item x="492"/>
        <item x="86"/>
        <item x="447"/>
        <item x="603"/>
        <item x="266"/>
        <item x="325"/>
        <item x="725"/>
        <item x="133"/>
        <item x="246"/>
        <item x="103"/>
        <item x="219"/>
        <item x="445"/>
        <item x="655"/>
        <item x="501"/>
        <item x="47"/>
        <item x="691"/>
        <item x="276"/>
        <item x="102"/>
        <item x="503"/>
        <item x="739"/>
        <item x="509"/>
        <item x="469"/>
        <item x="168"/>
        <item x="647"/>
        <item x="198"/>
        <item x="57"/>
        <item x="738"/>
        <item x="358"/>
        <item x="366"/>
        <item x="281"/>
        <item x="183"/>
        <item x="498"/>
        <item x="397"/>
        <item x="559"/>
        <item x="28"/>
        <item x="754"/>
        <item x="149"/>
        <item x="91"/>
        <item x="631"/>
        <item x="709"/>
        <item x="411"/>
        <item x="341"/>
        <item x="587"/>
        <item x="535"/>
        <item x="736"/>
        <item x="121"/>
        <item x="255"/>
        <item x="380"/>
        <item x="104"/>
        <item x="365"/>
        <item x="421"/>
        <item x="261"/>
        <item x="118"/>
        <item x="353"/>
        <item x="159"/>
        <item x="322"/>
        <item x="68"/>
        <item x="706"/>
        <item x="649"/>
        <item x="700"/>
        <item x="283"/>
        <item x="586"/>
        <item x="514"/>
        <item x="460"/>
        <item x="263"/>
        <item x="639"/>
        <item x="537"/>
        <item x="505"/>
        <item x="151"/>
        <item x="518"/>
        <item x="625"/>
        <item x="550"/>
        <item x="272"/>
        <item x="712"/>
        <item x="472"/>
        <item x="436"/>
        <item x="300"/>
        <item x="156"/>
        <item x="623"/>
        <item x="320"/>
        <item x="731"/>
        <item x="41"/>
        <item x="548"/>
        <item x="77"/>
        <item x="461"/>
        <item x="425"/>
        <item x="215"/>
        <item x="296"/>
        <item x="250"/>
        <item x="116"/>
        <item x="278"/>
        <item x="453"/>
        <item x="191"/>
        <item x="593"/>
        <item x="386"/>
        <item x="186"/>
        <item x="746"/>
        <item x="175"/>
        <item x="740"/>
        <item x="289"/>
        <item x="401"/>
        <item x="477"/>
        <item x="16"/>
        <item x="580"/>
        <item x="239"/>
        <item x="339"/>
        <item x="601"/>
        <item x="12"/>
        <item x="182"/>
        <item x="155"/>
        <item x="134"/>
        <item x="734"/>
        <item x="120"/>
        <item x="719"/>
        <item x="31"/>
        <item x="223"/>
        <item x="456"/>
        <item x="687"/>
        <item x="496"/>
        <item x="295"/>
        <item x="646"/>
        <item x="10"/>
        <item x="470"/>
        <item x="506"/>
        <item x="360"/>
        <item x="83"/>
        <item x="617"/>
        <item x="428"/>
        <item x="101"/>
        <item x="50"/>
        <item x="541"/>
        <item x="123"/>
        <item x="452"/>
        <item x="574"/>
        <item x="705"/>
        <item x="336"/>
        <item x="650"/>
        <item x="311"/>
        <item x="244"/>
        <item x="112"/>
        <item x="181"/>
        <item x="292"/>
        <item x="480"/>
        <item x="303"/>
        <item x="555"/>
        <item x="221"/>
        <item x="664"/>
        <item x="110"/>
        <item x="502"/>
        <item x="600"/>
        <item x="273"/>
        <item x="204"/>
        <item x="741"/>
        <item x="66"/>
        <item x="512"/>
        <item x="605"/>
        <item x="201"/>
        <item x="403"/>
        <item x="67"/>
        <item x="752"/>
        <item x="688"/>
        <item x="18"/>
        <item x="757"/>
        <item x="376"/>
        <item x="211"/>
        <item x="140"/>
        <item x="169"/>
        <item x="14"/>
        <item x="592"/>
        <item x="75"/>
        <item x="427"/>
        <item x="72"/>
        <item x="721"/>
        <item x="71"/>
        <item x="441"/>
        <item x="313"/>
        <item x="561"/>
        <item x="536"/>
        <item x="105"/>
        <item x="569"/>
        <item x="129"/>
        <item x="588"/>
        <item x="373"/>
        <item x="107"/>
        <item x="429"/>
        <item x="675"/>
        <item x="611"/>
        <item x="431"/>
        <item x="633"/>
        <item x="269"/>
        <item x="131"/>
        <item x="645"/>
        <item x="364"/>
        <item x="17"/>
        <item x="451"/>
        <item x="680"/>
        <item x="745"/>
        <item x="165"/>
        <item x="635"/>
        <item x="45"/>
        <item x="627"/>
        <item x="148"/>
        <item x="214"/>
        <item x="519"/>
        <item x="707"/>
        <item x="240"/>
        <item x="109"/>
        <item x="591"/>
        <item x="529"/>
        <item t="default"/>
      </items>
    </pivotField>
    <pivotField showAll="0"/>
    <pivotField showAll="0"/>
    <pivotField showAll="0"/>
    <pivotField axis="axisCol" showAll="0">
      <items count="5">
        <item x="1"/>
        <item x="2"/>
        <item x="0"/>
        <item x="3"/>
        <item t="default"/>
      </items>
    </pivotField>
    <pivotField axis="axisRow" showAll="0" sortType="descending">
      <items count="3">
        <item x="0"/>
        <item x="1"/>
        <item t="default"/>
      </items>
    </pivotField>
    <pivotField showAll="0" defaultSubtotal="0"/>
    <pivotField showAll="0" defaultSubtotal="0"/>
    <pivotField showAll="0" defaultSubtotal="0">
      <items count="7">
        <item x="0"/>
        <item x="1"/>
        <item x="2"/>
        <item x="3"/>
        <item x="4"/>
        <item x="5"/>
        <item x="6"/>
      </items>
    </pivotField>
  </pivotFields>
  <rowFields count="1">
    <field x="12"/>
  </rowFields>
  <rowItems count="3">
    <i>
      <x/>
    </i>
    <i>
      <x v="1"/>
    </i>
    <i t="grand">
      <x/>
    </i>
  </rowItems>
  <colFields count="1">
    <field x="11"/>
  </colFields>
  <colItems count="5">
    <i>
      <x/>
    </i>
    <i>
      <x v="1"/>
    </i>
    <i>
      <x v="2"/>
    </i>
    <i>
      <x v="3"/>
    </i>
    <i t="grand">
      <x/>
    </i>
  </colItems>
  <dataFields count="1">
    <dataField name="Count of Employee_ID" fld="0" subtotal="count" showDataAs="percentOfRow" baseField="0" baseItem="0" numFmtId="10"/>
  </dataFields>
  <formats count="10">
    <format dxfId="99">
      <pivotArea type="all" dataOnly="0" outline="0" fieldPosition="0"/>
    </format>
    <format dxfId="98">
      <pivotArea outline="0" collapsedLevelsAreSubtotals="1" fieldPosition="0"/>
    </format>
    <format dxfId="97">
      <pivotArea type="origin" dataOnly="0" labelOnly="1" outline="0" fieldPosition="0"/>
    </format>
    <format dxfId="96">
      <pivotArea field="11" type="button" dataOnly="0" labelOnly="1" outline="0" axis="axisCol" fieldPosition="0"/>
    </format>
    <format dxfId="95">
      <pivotArea type="topRight" dataOnly="0" labelOnly="1" outline="0" fieldPosition="0"/>
    </format>
    <format dxfId="94">
      <pivotArea field="12" type="button" dataOnly="0" labelOnly="1" outline="0" axis="axisRow" fieldPosition="0"/>
    </format>
    <format dxfId="93">
      <pivotArea dataOnly="0" labelOnly="1" fieldPosition="0">
        <references count="1">
          <reference field="12" count="0"/>
        </references>
      </pivotArea>
    </format>
    <format dxfId="92">
      <pivotArea dataOnly="0" labelOnly="1" grandRow="1" outline="0" fieldPosition="0"/>
    </format>
    <format dxfId="91">
      <pivotArea dataOnly="0" labelOnly="1" fieldPosition="0">
        <references count="1">
          <reference field="11" count="0"/>
        </references>
      </pivotArea>
    </format>
    <format dxfId="90">
      <pivotArea dataOnly="0" labelOnly="1" grandCol="1" outline="0" fieldPosition="0"/>
    </format>
  </formats>
  <chartFormats count="28">
    <chartFormat chart="0" format="0" series="1">
      <pivotArea type="data" outline="0" fieldPosition="0">
        <references count="2">
          <reference field="4294967294" count="1" selected="0">
            <x v="0"/>
          </reference>
          <reference field="11" count="1" selected="0">
            <x v="2"/>
          </reference>
        </references>
      </pivotArea>
    </chartFormat>
    <chartFormat chart="0" format="1" series="1">
      <pivotArea type="data" outline="0" fieldPosition="0">
        <references count="2">
          <reference field="4294967294" count="1" selected="0">
            <x v="0"/>
          </reference>
          <reference field="11" count="1" selected="0">
            <x v="0"/>
          </reference>
        </references>
      </pivotArea>
    </chartFormat>
    <chartFormat chart="0" format="2" series="1">
      <pivotArea type="data" outline="0" fieldPosition="0">
        <references count="2">
          <reference field="4294967294" count="1" selected="0">
            <x v="0"/>
          </reference>
          <reference field="11" count="1" selected="0">
            <x v="1"/>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4" format="8"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0"/>
          </reference>
          <reference field="11" count="1" selected="0">
            <x v="1"/>
          </reference>
        </references>
      </pivotArea>
    </chartFormat>
    <chartFormat chart="4" format="10" series="1">
      <pivotArea type="data" outline="0" fieldPosition="0">
        <references count="2">
          <reference field="4294967294" count="1" selected="0">
            <x v="0"/>
          </reference>
          <reference field="11" count="1" selected="0">
            <x v="2"/>
          </reference>
        </references>
      </pivotArea>
    </chartFormat>
    <chartFormat chart="4" format="11" series="1">
      <pivotArea type="data" outline="0" fieldPosition="0">
        <references count="2">
          <reference field="4294967294" count="1" selected="0">
            <x v="0"/>
          </reference>
          <reference field="11" count="1" selected="0">
            <x v="3"/>
          </reference>
        </references>
      </pivotArea>
    </chartFormat>
    <chartFormat chart="6" format="12" series="1">
      <pivotArea type="data" outline="0" fieldPosition="0">
        <references count="2">
          <reference field="4294967294" count="1" selected="0">
            <x v="0"/>
          </reference>
          <reference field="11" count="1" selected="0">
            <x v="0"/>
          </reference>
        </references>
      </pivotArea>
    </chartFormat>
    <chartFormat chart="6" format="13" series="1">
      <pivotArea type="data" outline="0" fieldPosition="0">
        <references count="2">
          <reference field="4294967294" count="1" selected="0">
            <x v="0"/>
          </reference>
          <reference field="11" count="1" selected="0">
            <x v="1"/>
          </reference>
        </references>
      </pivotArea>
    </chartFormat>
    <chartFormat chart="6" format="14" series="1">
      <pivotArea type="data" outline="0" fieldPosition="0">
        <references count="2">
          <reference field="4294967294" count="1" selected="0">
            <x v="0"/>
          </reference>
          <reference field="11" count="1" selected="0">
            <x v="2"/>
          </reference>
        </references>
      </pivotArea>
    </chartFormat>
    <chartFormat chart="6" format="15" series="1">
      <pivotArea type="data" outline="0" fieldPosition="0">
        <references count="2">
          <reference field="4294967294" count="1" selected="0">
            <x v="0"/>
          </reference>
          <reference field="11" count="1" selected="0">
            <x v="3"/>
          </reference>
        </references>
      </pivotArea>
    </chartFormat>
    <chartFormat chart="8" format="20" series="1">
      <pivotArea type="data" outline="0" fieldPosition="0">
        <references count="2">
          <reference field="4294967294" count="1" selected="0">
            <x v="0"/>
          </reference>
          <reference field="11" count="1" selected="0">
            <x v="0"/>
          </reference>
        </references>
      </pivotArea>
    </chartFormat>
    <chartFormat chart="8" format="21" series="1">
      <pivotArea type="data" outline="0" fieldPosition="0">
        <references count="2">
          <reference field="4294967294" count="1" selected="0">
            <x v="0"/>
          </reference>
          <reference field="11" count="1" selected="0">
            <x v="1"/>
          </reference>
        </references>
      </pivotArea>
    </chartFormat>
    <chartFormat chart="8" format="22" series="1">
      <pivotArea type="data" outline="0" fieldPosition="0">
        <references count="2">
          <reference field="4294967294" count="1" selected="0">
            <x v="0"/>
          </reference>
          <reference field="11" count="1" selected="0">
            <x v="2"/>
          </reference>
        </references>
      </pivotArea>
    </chartFormat>
    <chartFormat chart="8" format="23" series="1">
      <pivotArea type="data" outline="0" fieldPosition="0">
        <references count="2">
          <reference field="4294967294" count="1" selected="0">
            <x v="0"/>
          </reference>
          <reference field="11" count="1" selected="0">
            <x v="3"/>
          </reference>
        </references>
      </pivotArea>
    </chartFormat>
    <chartFormat chart="10" format="8" series="1">
      <pivotArea type="data" outline="0" fieldPosition="0">
        <references count="2">
          <reference field="4294967294" count="1" selected="0">
            <x v="0"/>
          </reference>
          <reference field="11" count="1" selected="0">
            <x v="0"/>
          </reference>
        </references>
      </pivotArea>
    </chartFormat>
    <chartFormat chart="10" format="9" series="1">
      <pivotArea type="data" outline="0" fieldPosition="0">
        <references count="2">
          <reference field="4294967294" count="1" selected="0">
            <x v="0"/>
          </reference>
          <reference field="11" count="1" selected="0">
            <x v="1"/>
          </reference>
        </references>
      </pivotArea>
    </chartFormat>
    <chartFormat chart="10" format="10" series="1">
      <pivotArea type="data" outline="0" fieldPosition="0">
        <references count="2">
          <reference field="4294967294" count="1" selected="0">
            <x v="0"/>
          </reference>
          <reference field="11" count="1" selected="0">
            <x v="2"/>
          </reference>
        </references>
      </pivotArea>
    </chartFormat>
    <chartFormat chart="10" format="11" series="1">
      <pivotArea type="data" outline="0" fieldPosition="0">
        <references count="2">
          <reference field="4294967294" count="1" selected="0">
            <x v="0"/>
          </reference>
          <reference field="11" count="1" selected="0">
            <x v="3"/>
          </reference>
        </references>
      </pivotArea>
    </chartFormat>
    <chartFormat chart="11" format="0" series="1">
      <pivotArea type="data" outline="0" fieldPosition="0">
        <references count="2">
          <reference field="4294967294" count="1" selected="0">
            <x v="0"/>
          </reference>
          <reference field="11" count="1" selected="0">
            <x v="0"/>
          </reference>
        </references>
      </pivotArea>
    </chartFormat>
    <chartFormat chart="11" format="1" series="1">
      <pivotArea type="data" outline="0" fieldPosition="0">
        <references count="2">
          <reference field="4294967294" count="1" selected="0">
            <x v="0"/>
          </reference>
          <reference field="11" count="1" selected="0">
            <x v="1"/>
          </reference>
        </references>
      </pivotArea>
    </chartFormat>
    <chartFormat chart="11" format="2" series="1">
      <pivotArea type="data" outline="0" fieldPosition="0">
        <references count="2">
          <reference field="4294967294" count="1" selected="0">
            <x v="0"/>
          </reference>
          <reference field="11" count="1" selected="0">
            <x v="2"/>
          </reference>
        </references>
      </pivotArea>
    </chartFormat>
    <chartFormat chart="11" format="3" series="1">
      <pivotArea type="data" outline="0" fieldPosition="0">
        <references count="2">
          <reference field="4294967294" count="1" selected="0">
            <x v="0"/>
          </reference>
          <reference field="11" count="1" selected="0">
            <x v="3"/>
          </reference>
        </references>
      </pivotArea>
    </chartFormat>
    <chartFormat chart="14" format="8" series="1">
      <pivotArea type="data" outline="0" fieldPosition="0">
        <references count="2">
          <reference field="4294967294" count="1" selected="0">
            <x v="0"/>
          </reference>
          <reference field="11" count="1" selected="0">
            <x v="0"/>
          </reference>
        </references>
      </pivotArea>
    </chartFormat>
    <chartFormat chart="14" format="9" series="1">
      <pivotArea type="data" outline="0" fieldPosition="0">
        <references count="2">
          <reference field="4294967294" count="1" selected="0">
            <x v="0"/>
          </reference>
          <reference field="11" count="1" selected="0">
            <x v="1"/>
          </reference>
        </references>
      </pivotArea>
    </chartFormat>
    <chartFormat chart="14" format="10" series="1">
      <pivotArea type="data" outline="0" fieldPosition="0">
        <references count="2">
          <reference field="4294967294" count="1" selected="0">
            <x v="0"/>
          </reference>
          <reference field="11" count="1" selected="0">
            <x v="2"/>
          </reference>
        </references>
      </pivotArea>
    </chartFormat>
    <chartFormat chart="14" format="11" series="1">
      <pivotArea type="data" outline="0" fieldPosition="0">
        <references count="2">
          <reference field="4294967294" count="1" selected="0">
            <x v="0"/>
          </reference>
          <reference field="11"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1C74CC-141E-4A36-897A-C320B15DBD4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colHeaderCaption="">
  <location ref="AA17:AF23" firstHeaderRow="1" firstDataRow="2" firstDataCol="1"/>
  <pivotFields count="16">
    <pivotField dataField="1" showAll="0"/>
    <pivotField showAll="0"/>
    <pivotField showAll="0"/>
    <pivotField axis="axisCol" showAll="0">
      <items count="5">
        <item x="0"/>
        <item x="1"/>
        <item x="3"/>
        <item x="2"/>
        <item t="default"/>
      </items>
    </pivotField>
    <pivotField showAll="0">
      <items count="7">
        <item x="2"/>
        <item x="3"/>
        <item x="0"/>
        <item x="1"/>
        <item x="5"/>
        <item x="4"/>
        <item t="default"/>
      </items>
    </pivotField>
    <pivotField showAll="0">
      <items count="7">
        <item x="0"/>
        <item x="3"/>
        <item x="5"/>
        <item x="2"/>
        <item x="4"/>
        <item x="1"/>
        <item t="default"/>
      </items>
    </pivotField>
    <pivotField showAll="0">
      <items count="4">
        <item x="0"/>
        <item x="2"/>
        <item x="1"/>
        <item t="default"/>
      </items>
    </pivotField>
    <pivotField numFmtId="164" showAll="0">
      <items count="761">
        <item x="571"/>
        <item x="619"/>
        <item x="424"/>
        <item x="408"/>
        <item x="693"/>
        <item x="348"/>
        <item x="724"/>
        <item x="666"/>
        <item x="368"/>
        <item x="90"/>
        <item x="143"/>
        <item x="703"/>
        <item x="19"/>
        <item x="663"/>
        <item x="387"/>
        <item x="113"/>
        <item x="682"/>
        <item x="24"/>
        <item x="136"/>
        <item x="528"/>
        <item x="61"/>
        <item x="630"/>
        <item x="81"/>
        <item x="748"/>
        <item x="6"/>
        <item x="570"/>
        <item x="235"/>
        <item x="637"/>
        <item x="114"/>
        <item x="406"/>
        <item x="189"/>
        <item x="78"/>
        <item x="187"/>
        <item x="552"/>
        <item x="396"/>
        <item x="125"/>
        <item x="158"/>
        <item x="399"/>
        <item x="147"/>
        <item x="188"/>
        <item x="602"/>
        <item x="298"/>
        <item x="676"/>
        <item x="610"/>
        <item x="202"/>
        <item x="554"/>
        <item x="628"/>
        <item x="377"/>
        <item x="379"/>
        <item x="314"/>
        <item x="297"/>
        <item x="33"/>
        <item x="25"/>
        <item x="657"/>
        <item x="180"/>
        <item x="163"/>
        <item x="484"/>
        <item x="230"/>
        <item x="737"/>
        <item x="673"/>
        <item x="652"/>
        <item x="732"/>
        <item x="500"/>
        <item x="84"/>
        <item x="685"/>
        <item x="515"/>
        <item x="185"/>
        <item x="744"/>
        <item x="318"/>
        <item x="206"/>
        <item x="578"/>
        <item x="423"/>
        <item x="671"/>
        <item x="749"/>
        <item x="100"/>
        <item x="228"/>
        <item x="612"/>
        <item x="354"/>
        <item x="196"/>
        <item x="681"/>
        <item x="251"/>
        <item x="378"/>
        <item x="567"/>
        <item x="589"/>
        <item x="319"/>
        <item x="338"/>
        <item x="471"/>
        <item x="422"/>
        <item x="568"/>
        <item x="205"/>
        <item x="463"/>
        <item x="43"/>
        <item x="622"/>
        <item x="742"/>
        <item x="629"/>
        <item x="527"/>
        <item x="173"/>
        <item x="106"/>
        <item x="119"/>
        <item x="481"/>
        <item x="735"/>
        <item x="290"/>
        <item x="308"/>
        <item x="213"/>
        <item x="80"/>
        <item x="79"/>
        <item x="694"/>
        <item x="21"/>
        <item x="176"/>
        <item x="458"/>
        <item x="154"/>
        <item x="395"/>
        <item x="462"/>
        <item x="282"/>
        <item x="324"/>
        <item x="345"/>
        <item x="137"/>
        <item x="446"/>
        <item x="5"/>
        <item x="1"/>
        <item x="52"/>
        <item x="13"/>
        <item x="146"/>
        <item x="351"/>
        <item x="142"/>
        <item x="193"/>
        <item x="359"/>
        <item x="723"/>
        <item x="393"/>
        <item x="442"/>
        <item x="398"/>
        <item x="576"/>
        <item x="342"/>
        <item x="727"/>
        <item x="288"/>
        <item x="551"/>
        <item x="410"/>
        <item x="618"/>
        <item x="654"/>
        <item x="222"/>
        <item x="420"/>
        <item x="636"/>
        <item x="63"/>
        <item x="717"/>
        <item x="638"/>
        <item x="27"/>
        <item x="670"/>
        <item x="473"/>
        <item x="347"/>
        <item x="524"/>
        <item x="268"/>
        <item x="522"/>
        <item x="122"/>
        <item x="467"/>
        <item x="241"/>
        <item x="620"/>
        <item x="405"/>
        <item x="604"/>
        <item x="759"/>
        <item x="271"/>
        <item x="516"/>
        <item x="317"/>
        <item x="62"/>
        <item x="0"/>
        <item x="415"/>
        <item x="755"/>
        <item x="162"/>
        <item x="252"/>
        <item x="455"/>
        <item x="733"/>
        <item x="684"/>
        <item x="468"/>
        <item x="242"/>
        <item x="301"/>
        <item x="538"/>
        <item x="258"/>
        <item x="333"/>
        <item x="352"/>
        <item x="87"/>
        <item x="59"/>
        <item x="596"/>
        <item x="153"/>
        <item x="95"/>
        <item x="309"/>
        <item x="174"/>
        <item x="414"/>
        <item x="145"/>
        <item x="483"/>
        <item x="704"/>
        <item x="726"/>
        <item x="521"/>
        <item x="433"/>
        <item x="192"/>
        <item x="135"/>
        <item x="532"/>
        <item x="701"/>
        <item x="94"/>
        <item x="69"/>
        <item x="390"/>
        <item x="566"/>
        <item x="674"/>
        <item x="485"/>
        <item x="416"/>
        <item x="265"/>
        <item x="435"/>
        <item x="659"/>
        <item x="37"/>
        <item x="152"/>
        <item x="728"/>
        <item x="260"/>
        <item x="613"/>
        <item x="29"/>
        <item x="438"/>
        <item x="30"/>
        <item x="546"/>
        <item x="236"/>
        <item x="15"/>
        <item x="508"/>
        <item x="44"/>
        <item x="392"/>
        <item x="39"/>
        <item x="402"/>
        <item x="234"/>
        <item x="557"/>
        <item x="679"/>
        <item x="32"/>
        <item x="597"/>
        <item x="55"/>
        <item x="753"/>
        <item x="490"/>
        <item x="672"/>
        <item x="697"/>
        <item x="332"/>
        <item x="357"/>
        <item x="640"/>
        <item x="20"/>
        <item x="343"/>
        <item x="678"/>
        <item x="389"/>
        <item x="97"/>
        <item x="132"/>
        <item x="743"/>
        <item x="419"/>
        <item x="340"/>
        <item x="553"/>
        <item x="22"/>
        <item x="504"/>
        <item x="264"/>
        <item x="495"/>
        <item x="51"/>
        <item x="108"/>
        <item x="607"/>
        <item x="139"/>
        <item x="199"/>
        <item x="194"/>
        <item x="437"/>
        <item x="582"/>
        <item x="89"/>
        <item x="334"/>
        <item x="141"/>
        <item x="58"/>
        <item x="275"/>
        <item x="716"/>
        <item x="407"/>
        <item x="203"/>
        <item x="331"/>
        <item x="448"/>
        <item x="747"/>
        <item x="730"/>
        <item x="581"/>
        <item x="274"/>
        <item x="523"/>
        <item x="583"/>
        <item x="656"/>
        <item x="375"/>
        <item x="172"/>
        <item x="644"/>
        <item x="233"/>
        <item x="48"/>
        <item x="614"/>
        <item x="699"/>
        <item x="270"/>
        <item x="713"/>
        <item x="253"/>
        <item x="76"/>
        <item x="486"/>
        <item x="212"/>
        <item x="642"/>
        <item x="751"/>
        <item x="3"/>
        <item x="616"/>
        <item x="683"/>
        <item x="117"/>
        <item x="720"/>
        <item x="695"/>
        <item x="337"/>
        <item x="417"/>
        <item x="383"/>
        <item x="722"/>
        <item x="547"/>
        <item x="306"/>
        <item x="280"/>
        <item x="190"/>
        <item x="517"/>
        <item x="247"/>
        <item x="167"/>
        <item x="254"/>
        <item x="224"/>
        <item x="144"/>
        <item x="510"/>
        <item x="382"/>
        <item x="440"/>
        <item x="227"/>
        <item x="412"/>
        <item x="677"/>
        <item x="327"/>
        <item x="511"/>
        <item x="49"/>
        <item x="459"/>
        <item x="53"/>
        <item x="594"/>
        <item x="362"/>
        <item x="23"/>
        <item x="210"/>
        <item x="711"/>
        <item x="661"/>
        <item x="200"/>
        <item x="293"/>
        <item x="651"/>
        <item x="287"/>
        <item x="572"/>
        <item x="330"/>
        <item x="232"/>
        <item x="99"/>
        <item x="404"/>
        <item x="409"/>
        <item x="220"/>
        <item x="9"/>
        <item x="56"/>
        <item x="285"/>
        <item x="385"/>
        <item x="369"/>
        <item x="595"/>
        <item x="257"/>
        <item x="643"/>
        <item x="4"/>
        <item x="326"/>
        <item x="304"/>
        <item x="367"/>
        <item x="756"/>
        <item x="560"/>
        <item x="573"/>
        <item x="284"/>
        <item x="665"/>
        <item x="93"/>
        <item x="46"/>
        <item x="218"/>
        <item x="449"/>
        <item x="277"/>
        <item x="494"/>
        <item x="216"/>
        <item x="689"/>
        <item x="40"/>
        <item x="291"/>
        <item x="476"/>
        <item x="464"/>
        <item x="321"/>
        <item x="454"/>
        <item x="718"/>
        <item x="488"/>
        <item x="608"/>
        <item x="161"/>
        <item x="457"/>
        <item x="7"/>
        <item x="160"/>
        <item x="544"/>
        <item x="124"/>
        <item x="715"/>
        <item x="363"/>
        <item x="127"/>
        <item x="38"/>
        <item x="444"/>
        <item x="259"/>
        <item x="178"/>
        <item x="323"/>
        <item x="286"/>
        <item x="92"/>
        <item x="335"/>
        <item x="245"/>
        <item x="184"/>
        <item x="98"/>
        <item x="579"/>
        <item x="111"/>
        <item x="531"/>
        <item x="381"/>
        <item x="316"/>
        <item x="96"/>
        <item x="170"/>
        <item x="533"/>
        <item x="328"/>
        <item x="632"/>
        <item x="256"/>
        <item x="540"/>
        <item x="73"/>
        <item x="307"/>
        <item x="690"/>
        <item x="624"/>
        <item x="197"/>
        <item x="577"/>
        <item x="372"/>
        <item x="217"/>
        <item x="585"/>
        <item x="374"/>
        <item x="526"/>
        <item x="621"/>
        <item x="34"/>
        <item x="708"/>
        <item x="487"/>
        <item x="439"/>
        <item x="696"/>
        <item x="710"/>
        <item x="312"/>
        <item x="126"/>
        <item x="563"/>
        <item x="598"/>
        <item x="729"/>
        <item x="243"/>
        <item x="542"/>
        <item x="525"/>
        <item x="64"/>
        <item x="248"/>
        <item x="686"/>
        <item x="177"/>
        <item x="391"/>
        <item x="349"/>
        <item x="279"/>
        <item x="209"/>
        <item x="609"/>
        <item x="714"/>
        <item x="65"/>
        <item x="658"/>
        <item x="237"/>
        <item x="74"/>
        <item x="305"/>
        <item x="229"/>
        <item x="70"/>
        <item x="262"/>
        <item x="150"/>
        <item x="662"/>
        <item x="418"/>
        <item x="556"/>
        <item x="660"/>
        <item x="355"/>
        <item x="394"/>
        <item x="207"/>
        <item x="36"/>
        <item x="702"/>
        <item x="26"/>
        <item x="130"/>
        <item x="499"/>
        <item x="482"/>
        <item x="545"/>
        <item x="226"/>
        <item x="530"/>
        <item x="626"/>
        <item x="310"/>
        <item x="35"/>
        <item x="434"/>
        <item x="88"/>
        <item x="599"/>
        <item x="558"/>
        <item x="432"/>
        <item x="231"/>
        <item x="413"/>
        <item x="549"/>
        <item x="668"/>
        <item x="653"/>
        <item x="692"/>
        <item x="667"/>
        <item x="641"/>
        <item x="166"/>
        <item x="520"/>
        <item x="315"/>
        <item x="329"/>
        <item x="344"/>
        <item x="11"/>
        <item x="698"/>
        <item x="195"/>
        <item x="539"/>
        <item x="543"/>
        <item x="164"/>
        <item x="565"/>
        <item x="430"/>
        <item x="179"/>
        <item x="370"/>
        <item x="590"/>
        <item x="474"/>
        <item x="384"/>
        <item x="82"/>
        <item x="157"/>
        <item x="350"/>
        <item x="584"/>
        <item x="648"/>
        <item x="249"/>
        <item x="615"/>
        <item x="478"/>
        <item x="489"/>
        <item x="443"/>
        <item x="491"/>
        <item x="534"/>
        <item x="42"/>
        <item x="238"/>
        <item x="562"/>
        <item x="361"/>
        <item x="171"/>
        <item x="475"/>
        <item x="294"/>
        <item x="479"/>
        <item x="450"/>
        <item x="466"/>
        <item x="208"/>
        <item x="356"/>
        <item x="606"/>
        <item x="634"/>
        <item x="128"/>
        <item x="750"/>
        <item x="426"/>
        <item x="346"/>
        <item x="299"/>
        <item x="54"/>
        <item x="2"/>
        <item x="465"/>
        <item x="400"/>
        <item x="564"/>
        <item x="60"/>
        <item x="497"/>
        <item x="85"/>
        <item x="138"/>
        <item x="575"/>
        <item x="388"/>
        <item x="493"/>
        <item x="669"/>
        <item x="115"/>
        <item x="8"/>
        <item x="371"/>
        <item x="267"/>
        <item x="758"/>
        <item x="507"/>
        <item x="513"/>
        <item x="302"/>
        <item x="225"/>
        <item x="492"/>
        <item x="86"/>
        <item x="447"/>
        <item x="603"/>
        <item x="266"/>
        <item x="325"/>
        <item x="725"/>
        <item x="133"/>
        <item x="246"/>
        <item x="103"/>
        <item x="219"/>
        <item x="445"/>
        <item x="655"/>
        <item x="501"/>
        <item x="47"/>
        <item x="691"/>
        <item x="276"/>
        <item x="102"/>
        <item x="503"/>
        <item x="739"/>
        <item x="509"/>
        <item x="469"/>
        <item x="168"/>
        <item x="647"/>
        <item x="198"/>
        <item x="57"/>
        <item x="738"/>
        <item x="358"/>
        <item x="366"/>
        <item x="281"/>
        <item x="183"/>
        <item x="498"/>
        <item x="397"/>
        <item x="559"/>
        <item x="28"/>
        <item x="754"/>
        <item x="149"/>
        <item x="91"/>
        <item x="631"/>
        <item x="709"/>
        <item x="411"/>
        <item x="341"/>
        <item x="587"/>
        <item x="535"/>
        <item x="736"/>
        <item x="121"/>
        <item x="255"/>
        <item x="380"/>
        <item x="104"/>
        <item x="365"/>
        <item x="421"/>
        <item x="261"/>
        <item x="118"/>
        <item x="353"/>
        <item x="159"/>
        <item x="322"/>
        <item x="68"/>
        <item x="706"/>
        <item x="649"/>
        <item x="700"/>
        <item x="283"/>
        <item x="586"/>
        <item x="514"/>
        <item x="460"/>
        <item x="263"/>
        <item x="639"/>
        <item x="537"/>
        <item x="505"/>
        <item x="151"/>
        <item x="518"/>
        <item x="625"/>
        <item x="550"/>
        <item x="272"/>
        <item x="712"/>
        <item x="472"/>
        <item x="436"/>
        <item x="300"/>
        <item x="156"/>
        <item x="623"/>
        <item x="320"/>
        <item x="731"/>
        <item x="41"/>
        <item x="548"/>
        <item x="77"/>
        <item x="461"/>
        <item x="425"/>
        <item x="215"/>
        <item x="296"/>
        <item x="250"/>
        <item x="116"/>
        <item x="278"/>
        <item x="453"/>
        <item x="191"/>
        <item x="593"/>
        <item x="386"/>
        <item x="186"/>
        <item x="746"/>
        <item x="175"/>
        <item x="740"/>
        <item x="289"/>
        <item x="401"/>
        <item x="477"/>
        <item x="16"/>
        <item x="580"/>
        <item x="239"/>
        <item x="339"/>
        <item x="601"/>
        <item x="12"/>
        <item x="182"/>
        <item x="155"/>
        <item x="134"/>
        <item x="734"/>
        <item x="120"/>
        <item x="719"/>
        <item x="31"/>
        <item x="223"/>
        <item x="456"/>
        <item x="687"/>
        <item x="496"/>
        <item x="295"/>
        <item x="646"/>
        <item x="10"/>
        <item x="470"/>
        <item x="506"/>
        <item x="360"/>
        <item x="83"/>
        <item x="617"/>
        <item x="428"/>
        <item x="101"/>
        <item x="50"/>
        <item x="541"/>
        <item x="123"/>
        <item x="452"/>
        <item x="574"/>
        <item x="705"/>
        <item x="336"/>
        <item x="650"/>
        <item x="311"/>
        <item x="244"/>
        <item x="112"/>
        <item x="181"/>
        <item x="292"/>
        <item x="480"/>
        <item x="303"/>
        <item x="555"/>
        <item x="221"/>
        <item x="664"/>
        <item x="110"/>
        <item x="502"/>
        <item x="600"/>
        <item x="273"/>
        <item x="204"/>
        <item x="741"/>
        <item x="66"/>
        <item x="512"/>
        <item x="605"/>
        <item x="201"/>
        <item x="403"/>
        <item x="67"/>
        <item x="752"/>
        <item x="688"/>
        <item x="18"/>
        <item x="757"/>
        <item x="376"/>
        <item x="211"/>
        <item x="140"/>
        <item x="169"/>
        <item x="14"/>
        <item x="592"/>
        <item x="75"/>
        <item x="427"/>
        <item x="72"/>
        <item x="721"/>
        <item x="71"/>
        <item x="441"/>
        <item x="313"/>
        <item x="561"/>
        <item x="536"/>
        <item x="105"/>
        <item x="569"/>
        <item x="129"/>
        <item x="588"/>
        <item x="373"/>
        <item x="107"/>
        <item x="429"/>
        <item x="675"/>
        <item x="611"/>
        <item x="431"/>
        <item x="633"/>
        <item x="269"/>
        <item x="131"/>
        <item x="645"/>
        <item x="364"/>
        <item x="17"/>
        <item x="451"/>
        <item x="680"/>
        <item x="745"/>
        <item x="165"/>
        <item x="635"/>
        <item x="45"/>
        <item x="627"/>
        <item x="148"/>
        <item x="214"/>
        <item x="519"/>
        <item x="707"/>
        <item x="240"/>
        <item x="109"/>
        <item x="591"/>
        <item x="529"/>
        <item t="default"/>
      </items>
    </pivotField>
    <pivotField showAll="0"/>
    <pivotField showAll="0"/>
    <pivotField showAll="0"/>
    <pivotField axis="axisRow" showAll="0">
      <items count="5">
        <item x="1"/>
        <item x="2"/>
        <item x="0"/>
        <item x="3"/>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11"/>
  </rowFields>
  <rowItems count="5">
    <i>
      <x/>
    </i>
    <i>
      <x v="1"/>
    </i>
    <i>
      <x v="2"/>
    </i>
    <i>
      <x v="3"/>
    </i>
    <i t="grand">
      <x/>
    </i>
  </rowItems>
  <colFields count="1">
    <field x="3"/>
  </colFields>
  <colItems count="5">
    <i>
      <x/>
    </i>
    <i>
      <x v="1"/>
    </i>
    <i>
      <x v="2"/>
    </i>
    <i>
      <x v="3"/>
    </i>
    <i t="grand">
      <x/>
    </i>
  </colItems>
  <dataFields count="1">
    <dataField name="Count of Employee_ID" fld="0" subtotal="count" baseField="0" baseItem="0"/>
  </dataFields>
  <formats count="10">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3" type="button" dataOnly="0" labelOnly="1" outline="0" axis="axisCol" fieldPosition="0"/>
    </format>
    <format dxfId="105">
      <pivotArea type="topRight" dataOnly="0" labelOnly="1" outline="0" fieldPosition="0"/>
    </format>
    <format dxfId="104">
      <pivotArea field="11" type="button" dataOnly="0" labelOnly="1" outline="0" axis="axisRow" fieldPosition="0"/>
    </format>
    <format dxfId="103">
      <pivotArea dataOnly="0" labelOnly="1" fieldPosition="0">
        <references count="1">
          <reference field="11" count="0"/>
        </references>
      </pivotArea>
    </format>
    <format dxfId="102">
      <pivotArea dataOnly="0" labelOnly="1" grandRow="1" outline="0" fieldPosition="0"/>
    </format>
    <format dxfId="101">
      <pivotArea dataOnly="0" labelOnly="1" fieldPosition="0">
        <references count="1">
          <reference field="3" count="0"/>
        </references>
      </pivotArea>
    </format>
    <format dxfId="100">
      <pivotArea dataOnly="0" labelOnly="1" grandCol="1" outline="0" fieldPosition="0"/>
    </format>
  </formats>
  <chartFormats count="2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4" format="8" series="1">
      <pivotArea type="data" outline="0" fieldPosition="0">
        <references count="2">
          <reference field="4294967294" count="1" selected="0">
            <x v="0"/>
          </reference>
          <reference field="3" count="1" selected="0">
            <x v="0"/>
          </reference>
        </references>
      </pivotArea>
    </chartFormat>
    <chartFormat chart="4" format="9" series="1">
      <pivotArea type="data" outline="0" fieldPosition="0">
        <references count="2">
          <reference field="4294967294" count="1" selected="0">
            <x v="0"/>
          </reference>
          <reference field="3" count="1" selected="0">
            <x v="1"/>
          </reference>
        </references>
      </pivotArea>
    </chartFormat>
    <chartFormat chart="4" format="10" series="1">
      <pivotArea type="data" outline="0" fieldPosition="0">
        <references count="2">
          <reference field="4294967294" count="1" selected="0">
            <x v="0"/>
          </reference>
          <reference field="3" count="1" selected="0">
            <x v="2"/>
          </reference>
        </references>
      </pivotArea>
    </chartFormat>
    <chartFormat chart="4" format="11" series="1">
      <pivotArea type="data" outline="0" fieldPosition="0">
        <references count="2">
          <reference field="4294967294" count="1" selected="0">
            <x v="0"/>
          </reference>
          <reference field="3" count="1" selected="0">
            <x v="3"/>
          </reference>
        </references>
      </pivotArea>
    </chartFormat>
    <chartFormat chart="6" format="12" series="1">
      <pivotArea type="data" outline="0" fieldPosition="0">
        <references count="2">
          <reference field="4294967294" count="1" selected="0">
            <x v="0"/>
          </reference>
          <reference field="3" count="1" selected="0">
            <x v="0"/>
          </reference>
        </references>
      </pivotArea>
    </chartFormat>
    <chartFormat chart="6" format="13" series="1">
      <pivotArea type="data" outline="0" fieldPosition="0">
        <references count="2">
          <reference field="4294967294" count="1" selected="0">
            <x v="0"/>
          </reference>
          <reference field="3" count="1" selected="0">
            <x v="1"/>
          </reference>
        </references>
      </pivotArea>
    </chartFormat>
    <chartFormat chart="6" format="14" series="1">
      <pivotArea type="data" outline="0" fieldPosition="0">
        <references count="2">
          <reference field="4294967294" count="1" selected="0">
            <x v="0"/>
          </reference>
          <reference field="3" count="1" selected="0">
            <x v="2"/>
          </reference>
        </references>
      </pivotArea>
    </chartFormat>
    <chartFormat chart="6" format="15" series="1">
      <pivotArea type="data" outline="0" fieldPosition="0">
        <references count="2">
          <reference field="4294967294" count="1" selected="0">
            <x v="0"/>
          </reference>
          <reference field="3" count="1" selected="0">
            <x v="3"/>
          </reference>
        </references>
      </pivotArea>
    </chartFormat>
    <chartFormat chart="8" format="20" series="1">
      <pivotArea type="data" outline="0" fieldPosition="0">
        <references count="2">
          <reference field="4294967294" count="1" selected="0">
            <x v="0"/>
          </reference>
          <reference field="3" count="1" selected="0">
            <x v="0"/>
          </reference>
        </references>
      </pivotArea>
    </chartFormat>
    <chartFormat chart="8" format="21" series="1">
      <pivotArea type="data" outline="0" fieldPosition="0">
        <references count="2">
          <reference field="4294967294" count="1" selected="0">
            <x v="0"/>
          </reference>
          <reference field="3" count="1" selected="0">
            <x v="1"/>
          </reference>
        </references>
      </pivotArea>
    </chartFormat>
    <chartFormat chart="8" format="22" series="1">
      <pivotArea type="data" outline="0" fieldPosition="0">
        <references count="2">
          <reference field="4294967294" count="1" selected="0">
            <x v="0"/>
          </reference>
          <reference field="3" count="1" selected="0">
            <x v="2"/>
          </reference>
        </references>
      </pivotArea>
    </chartFormat>
    <chartFormat chart="8" format="23" series="1">
      <pivotArea type="data" outline="0" fieldPosition="0">
        <references count="2">
          <reference field="4294967294" count="1" selected="0">
            <x v="0"/>
          </reference>
          <reference field="3" count="1" selected="0">
            <x v="3"/>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0" format="10" series="1">
      <pivotArea type="data" outline="0" fieldPosition="0">
        <references count="2">
          <reference field="4294967294" count="1" selected="0">
            <x v="0"/>
          </reference>
          <reference field="3" count="1" selected="0">
            <x v="2"/>
          </reference>
        </references>
      </pivotArea>
    </chartFormat>
    <chartFormat chart="10" format="11" series="1">
      <pivotArea type="data" outline="0" fieldPosition="0">
        <references count="2">
          <reference field="4294967294" count="1" selected="0">
            <x v="0"/>
          </reference>
          <reference field="3" count="1" selected="0">
            <x v="3"/>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1" format="2" series="1">
      <pivotArea type="data" outline="0" fieldPosition="0">
        <references count="2">
          <reference field="4294967294" count="1" selected="0">
            <x v="0"/>
          </reference>
          <reference field="3" count="1" selected="0">
            <x v="2"/>
          </reference>
        </references>
      </pivotArea>
    </chartFormat>
    <chartFormat chart="11" format="3" series="1">
      <pivotArea type="data" outline="0" fieldPosition="0">
        <references count="2">
          <reference field="4294967294" count="1" selected="0">
            <x v="0"/>
          </reference>
          <reference field="3" count="1" selected="0">
            <x v="3"/>
          </reference>
        </references>
      </pivotArea>
    </chartFormat>
    <chartFormat chart="17" format="8" series="1">
      <pivotArea type="data" outline="0" fieldPosition="0">
        <references count="2">
          <reference field="4294967294" count="1" selected="0">
            <x v="0"/>
          </reference>
          <reference field="3" count="1" selected="0">
            <x v="0"/>
          </reference>
        </references>
      </pivotArea>
    </chartFormat>
    <chartFormat chart="17" format="9" series="1">
      <pivotArea type="data" outline="0" fieldPosition="0">
        <references count="2">
          <reference field="4294967294" count="1" selected="0">
            <x v="0"/>
          </reference>
          <reference field="3" count="1" selected="0">
            <x v="1"/>
          </reference>
        </references>
      </pivotArea>
    </chartFormat>
    <chartFormat chart="17" format="10" series="1">
      <pivotArea type="data" outline="0" fieldPosition="0">
        <references count="2">
          <reference field="4294967294" count="1" selected="0">
            <x v="0"/>
          </reference>
          <reference field="3" count="1" selected="0">
            <x v="2"/>
          </reference>
        </references>
      </pivotArea>
    </chartFormat>
    <chartFormat chart="17" format="11" series="1">
      <pivotArea type="data" outline="0" fieldPosition="0">
        <references count="2">
          <reference field="4294967294" count="1" selected="0">
            <x v="0"/>
          </reference>
          <reference field="3"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C44A2B-B968-432F-A48C-6DD0D60BF1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17:P24" firstHeaderRow="0" firstDataRow="1" firstDataCol="1"/>
  <pivotFields count="16">
    <pivotField showAll="0"/>
    <pivotField showAll="0"/>
    <pivotField showAll="0"/>
    <pivotField showAll="0"/>
    <pivotField axis="axisRow" showAll="0" sortType="descending">
      <items count="7">
        <item x="2"/>
        <item x="3"/>
        <item x="0"/>
        <item x="1"/>
        <item x="5"/>
        <item x="4"/>
        <item t="default"/>
      </items>
      <autoSortScope>
        <pivotArea dataOnly="0" outline="0" fieldPosition="0">
          <references count="1">
            <reference field="4294967294" count="1" selected="0">
              <x v="1"/>
            </reference>
          </references>
        </pivotArea>
      </autoSortScope>
    </pivotField>
    <pivotField showAll="0">
      <items count="7">
        <item x="0"/>
        <item x="3"/>
        <item x="5"/>
        <item x="2"/>
        <item x="4"/>
        <item x="1"/>
        <item t="default"/>
      </items>
    </pivotField>
    <pivotField showAll="0">
      <items count="4">
        <item x="0"/>
        <item x="2"/>
        <item x="1"/>
        <item t="default"/>
      </items>
    </pivotField>
    <pivotField numFmtId="164" showAll="0">
      <items count="761">
        <item x="571"/>
        <item x="619"/>
        <item x="424"/>
        <item x="408"/>
        <item x="693"/>
        <item x="348"/>
        <item x="724"/>
        <item x="666"/>
        <item x="368"/>
        <item x="90"/>
        <item x="143"/>
        <item x="703"/>
        <item x="19"/>
        <item x="663"/>
        <item x="387"/>
        <item x="113"/>
        <item x="682"/>
        <item x="24"/>
        <item x="136"/>
        <item x="528"/>
        <item x="61"/>
        <item x="630"/>
        <item x="81"/>
        <item x="748"/>
        <item x="6"/>
        <item x="570"/>
        <item x="235"/>
        <item x="637"/>
        <item x="114"/>
        <item x="406"/>
        <item x="189"/>
        <item x="78"/>
        <item x="187"/>
        <item x="552"/>
        <item x="396"/>
        <item x="125"/>
        <item x="158"/>
        <item x="399"/>
        <item x="147"/>
        <item x="188"/>
        <item x="602"/>
        <item x="298"/>
        <item x="676"/>
        <item x="610"/>
        <item x="202"/>
        <item x="554"/>
        <item x="628"/>
        <item x="377"/>
        <item x="379"/>
        <item x="314"/>
        <item x="297"/>
        <item x="33"/>
        <item x="25"/>
        <item x="657"/>
        <item x="180"/>
        <item x="163"/>
        <item x="484"/>
        <item x="230"/>
        <item x="737"/>
        <item x="673"/>
        <item x="652"/>
        <item x="732"/>
        <item x="500"/>
        <item x="84"/>
        <item x="685"/>
        <item x="515"/>
        <item x="185"/>
        <item x="744"/>
        <item x="318"/>
        <item x="206"/>
        <item x="578"/>
        <item x="423"/>
        <item x="671"/>
        <item x="749"/>
        <item x="100"/>
        <item x="228"/>
        <item x="612"/>
        <item x="354"/>
        <item x="196"/>
        <item x="681"/>
        <item x="251"/>
        <item x="378"/>
        <item x="567"/>
        <item x="589"/>
        <item x="319"/>
        <item x="338"/>
        <item x="471"/>
        <item x="422"/>
        <item x="568"/>
        <item x="205"/>
        <item x="463"/>
        <item x="43"/>
        <item x="622"/>
        <item x="742"/>
        <item x="629"/>
        <item x="527"/>
        <item x="173"/>
        <item x="106"/>
        <item x="119"/>
        <item x="481"/>
        <item x="735"/>
        <item x="290"/>
        <item x="308"/>
        <item x="213"/>
        <item x="80"/>
        <item x="79"/>
        <item x="694"/>
        <item x="21"/>
        <item x="176"/>
        <item x="458"/>
        <item x="154"/>
        <item x="395"/>
        <item x="462"/>
        <item x="282"/>
        <item x="324"/>
        <item x="345"/>
        <item x="137"/>
        <item x="446"/>
        <item x="5"/>
        <item x="1"/>
        <item x="52"/>
        <item x="13"/>
        <item x="146"/>
        <item x="351"/>
        <item x="142"/>
        <item x="193"/>
        <item x="359"/>
        <item x="723"/>
        <item x="393"/>
        <item x="442"/>
        <item x="398"/>
        <item x="576"/>
        <item x="342"/>
        <item x="727"/>
        <item x="288"/>
        <item x="551"/>
        <item x="410"/>
        <item x="618"/>
        <item x="654"/>
        <item x="222"/>
        <item x="420"/>
        <item x="636"/>
        <item x="63"/>
        <item x="717"/>
        <item x="638"/>
        <item x="27"/>
        <item x="670"/>
        <item x="473"/>
        <item x="347"/>
        <item x="524"/>
        <item x="268"/>
        <item x="522"/>
        <item x="122"/>
        <item x="467"/>
        <item x="241"/>
        <item x="620"/>
        <item x="405"/>
        <item x="604"/>
        <item x="759"/>
        <item x="271"/>
        <item x="516"/>
        <item x="317"/>
        <item x="62"/>
        <item x="0"/>
        <item x="415"/>
        <item x="755"/>
        <item x="162"/>
        <item x="252"/>
        <item x="455"/>
        <item x="733"/>
        <item x="684"/>
        <item x="468"/>
        <item x="242"/>
        <item x="301"/>
        <item x="538"/>
        <item x="258"/>
        <item x="333"/>
        <item x="352"/>
        <item x="87"/>
        <item x="59"/>
        <item x="596"/>
        <item x="153"/>
        <item x="95"/>
        <item x="309"/>
        <item x="174"/>
        <item x="414"/>
        <item x="145"/>
        <item x="483"/>
        <item x="704"/>
        <item x="726"/>
        <item x="521"/>
        <item x="433"/>
        <item x="192"/>
        <item x="135"/>
        <item x="532"/>
        <item x="701"/>
        <item x="94"/>
        <item x="69"/>
        <item x="390"/>
        <item x="566"/>
        <item x="674"/>
        <item x="485"/>
        <item x="416"/>
        <item x="265"/>
        <item x="435"/>
        <item x="659"/>
        <item x="37"/>
        <item x="152"/>
        <item x="728"/>
        <item x="260"/>
        <item x="613"/>
        <item x="29"/>
        <item x="438"/>
        <item x="30"/>
        <item x="546"/>
        <item x="236"/>
        <item x="15"/>
        <item x="508"/>
        <item x="44"/>
        <item x="392"/>
        <item x="39"/>
        <item x="402"/>
        <item x="234"/>
        <item x="557"/>
        <item x="679"/>
        <item x="32"/>
        <item x="597"/>
        <item x="55"/>
        <item x="753"/>
        <item x="490"/>
        <item x="672"/>
        <item x="697"/>
        <item x="332"/>
        <item x="357"/>
        <item x="640"/>
        <item x="20"/>
        <item x="343"/>
        <item x="678"/>
        <item x="389"/>
        <item x="97"/>
        <item x="132"/>
        <item x="743"/>
        <item x="419"/>
        <item x="340"/>
        <item x="553"/>
        <item x="22"/>
        <item x="504"/>
        <item x="264"/>
        <item x="495"/>
        <item x="51"/>
        <item x="108"/>
        <item x="607"/>
        <item x="139"/>
        <item x="199"/>
        <item x="194"/>
        <item x="437"/>
        <item x="582"/>
        <item x="89"/>
        <item x="334"/>
        <item x="141"/>
        <item x="58"/>
        <item x="275"/>
        <item x="716"/>
        <item x="407"/>
        <item x="203"/>
        <item x="331"/>
        <item x="448"/>
        <item x="747"/>
        <item x="730"/>
        <item x="581"/>
        <item x="274"/>
        <item x="523"/>
        <item x="583"/>
        <item x="656"/>
        <item x="375"/>
        <item x="172"/>
        <item x="644"/>
        <item x="233"/>
        <item x="48"/>
        <item x="614"/>
        <item x="699"/>
        <item x="270"/>
        <item x="713"/>
        <item x="253"/>
        <item x="76"/>
        <item x="486"/>
        <item x="212"/>
        <item x="642"/>
        <item x="751"/>
        <item x="3"/>
        <item x="616"/>
        <item x="683"/>
        <item x="117"/>
        <item x="720"/>
        <item x="695"/>
        <item x="337"/>
        <item x="417"/>
        <item x="383"/>
        <item x="722"/>
        <item x="547"/>
        <item x="306"/>
        <item x="280"/>
        <item x="190"/>
        <item x="517"/>
        <item x="247"/>
        <item x="167"/>
        <item x="254"/>
        <item x="224"/>
        <item x="144"/>
        <item x="510"/>
        <item x="382"/>
        <item x="440"/>
        <item x="227"/>
        <item x="412"/>
        <item x="677"/>
        <item x="327"/>
        <item x="511"/>
        <item x="49"/>
        <item x="459"/>
        <item x="53"/>
        <item x="594"/>
        <item x="362"/>
        <item x="23"/>
        <item x="210"/>
        <item x="711"/>
        <item x="661"/>
        <item x="200"/>
        <item x="293"/>
        <item x="651"/>
        <item x="287"/>
        <item x="572"/>
        <item x="330"/>
        <item x="232"/>
        <item x="99"/>
        <item x="404"/>
        <item x="409"/>
        <item x="220"/>
        <item x="9"/>
        <item x="56"/>
        <item x="285"/>
        <item x="385"/>
        <item x="369"/>
        <item x="595"/>
        <item x="257"/>
        <item x="643"/>
        <item x="4"/>
        <item x="326"/>
        <item x="304"/>
        <item x="367"/>
        <item x="756"/>
        <item x="560"/>
        <item x="573"/>
        <item x="284"/>
        <item x="665"/>
        <item x="93"/>
        <item x="46"/>
        <item x="218"/>
        <item x="449"/>
        <item x="277"/>
        <item x="494"/>
        <item x="216"/>
        <item x="689"/>
        <item x="40"/>
        <item x="291"/>
        <item x="476"/>
        <item x="464"/>
        <item x="321"/>
        <item x="454"/>
        <item x="718"/>
        <item x="488"/>
        <item x="608"/>
        <item x="161"/>
        <item x="457"/>
        <item x="7"/>
        <item x="160"/>
        <item x="544"/>
        <item x="124"/>
        <item x="715"/>
        <item x="363"/>
        <item x="127"/>
        <item x="38"/>
        <item x="444"/>
        <item x="259"/>
        <item x="178"/>
        <item x="323"/>
        <item x="286"/>
        <item x="92"/>
        <item x="335"/>
        <item x="245"/>
        <item x="184"/>
        <item x="98"/>
        <item x="579"/>
        <item x="111"/>
        <item x="531"/>
        <item x="381"/>
        <item x="316"/>
        <item x="96"/>
        <item x="170"/>
        <item x="533"/>
        <item x="328"/>
        <item x="632"/>
        <item x="256"/>
        <item x="540"/>
        <item x="73"/>
        <item x="307"/>
        <item x="690"/>
        <item x="624"/>
        <item x="197"/>
        <item x="577"/>
        <item x="372"/>
        <item x="217"/>
        <item x="585"/>
        <item x="374"/>
        <item x="526"/>
        <item x="621"/>
        <item x="34"/>
        <item x="708"/>
        <item x="487"/>
        <item x="439"/>
        <item x="696"/>
        <item x="710"/>
        <item x="312"/>
        <item x="126"/>
        <item x="563"/>
        <item x="598"/>
        <item x="729"/>
        <item x="243"/>
        <item x="542"/>
        <item x="525"/>
        <item x="64"/>
        <item x="248"/>
        <item x="686"/>
        <item x="177"/>
        <item x="391"/>
        <item x="349"/>
        <item x="279"/>
        <item x="209"/>
        <item x="609"/>
        <item x="714"/>
        <item x="65"/>
        <item x="658"/>
        <item x="237"/>
        <item x="74"/>
        <item x="305"/>
        <item x="229"/>
        <item x="70"/>
        <item x="262"/>
        <item x="150"/>
        <item x="662"/>
        <item x="418"/>
        <item x="556"/>
        <item x="660"/>
        <item x="355"/>
        <item x="394"/>
        <item x="207"/>
        <item x="36"/>
        <item x="702"/>
        <item x="26"/>
        <item x="130"/>
        <item x="499"/>
        <item x="482"/>
        <item x="545"/>
        <item x="226"/>
        <item x="530"/>
        <item x="626"/>
        <item x="310"/>
        <item x="35"/>
        <item x="434"/>
        <item x="88"/>
        <item x="599"/>
        <item x="558"/>
        <item x="432"/>
        <item x="231"/>
        <item x="413"/>
        <item x="549"/>
        <item x="668"/>
        <item x="653"/>
        <item x="692"/>
        <item x="667"/>
        <item x="641"/>
        <item x="166"/>
        <item x="520"/>
        <item x="315"/>
        <item x="329"/>
        <item x="344"/>
        <item x="11"/>
        <item x="698"/>
        <item x="195"/>
        <item x="539"/>
        <item x="543"/>
        <item x="164"/>
        <item x="565"/>
        <item x="430"/>
        <item x="179"/>
        <item x="370"/>
        <item x="590"/>
        <item x="474"/>
        <item x="384"/>
        <item x="82"/>
        <item x="157"/>
        <item x="350"/>
        <item x="584"/>
        <item x="648"/>
        <item x="249"/>
        <item x="615"/>
        <item x="478"/>
        <item x="489"/>
        <item x="443"/>
        <item x="491"/>
        <item x="534"/>
        <item x="42"/>
        <item x="238"/>
        <item x="562"/>
        <item x="361"/>
        <item x="171"/>
        <item x="475"/>
        <item x="294"/>
        <item x="479"/>
        <item x="450"/>
        <item x="466"/>
        <item x="208"/>
        <item x="356"/>
        <item x="606"/>
        <item x="634"/>
        <item x="128"/>
        <item x="750"/>
        <item x="426"/>
        <item x="346"/>
        <item x="299"/>
        <item x="54"/>
        <item x="2"/>
        <item x="465"/>
        <item x="400"/>
        <item x="564"/>
        <item x="60"/>
        <item x="497"/>
        <item x="85"/>
        <item x="138"/>
        <item x="575"/>
        <item x="388"/>
        <item x="493"/>
        <item x="669"/>
        <item x="115"/>
        <item x="8"/>
        <item x="371"/>
        <item x="267"/>
        <item x="758"/>
        <item x="507"/>
        <item x="513"/>
        <item x="302"/>
        <item x="225"/>
        <item x="492"/>
        <item x="86"/>
        <item x="447"/>
        <item x="603"/>
        <item x="266"/>
        <item x="325"/>
        <item x="725"/>
        <item x="133"/>
        <item x="246"/>
        <item x="103"/>
        <item x="219"/>
        <item x="445"/>
        <item x="655"/>
        <item x="501"/>
        <item x="47"/>
        <item x="691"/>
        <item x="276"/>
        <item x="102"/>
        <item x="503"/>
        <item x="739"/>
        <item x="509"/>
        <item x="469"/>
        <item x="168"/>
        <item x="647"/>
        <item x="198"/>
        <item x="57"/>
        <item x="738"/>
        <item x="358"/>
        <item x="366"/>
        <item x="281"/>
        <item x="183"/>
        <item x="498"/>
        <item x="397"/>
        <item x="559"/>
        <item x="28"/>
        <item x="754"/>
        <item x="149"/>
        <item x="91"/>
        <item x="631"/>
        <item x="709"/>
        <item x="411"/>
        <item x="341"/>
        <item x="587"/>
        <item x="535"/>
        <item x="736"/>
        <item x="121"/>
        <item x="255"/>
        <item x="380"/>
        <item x="104"/>
        <item x="365"/>
        <item x="421"/>
        <item x="261"/>
        <item x="118"/>
        <item x="353"/>
        <item x="159"/>
        <item x="322"/>
        <item x="68"/>
        <item x="706"/>
        <item x="649"/>
        <item x="700"/>
        <item x="283"/>
        <item x="586"/>
        <item x="514"/>
        <item x="460"/>
        <item x="263"/>
        <item x="639"/>
        <item x="537"/>
        <item x="505"/>
        <item x="151"/>
        <item x="518"/>
        <item x="625"/>
        <item x="550"/>
        <item x="272"/>
        <item x="712"/>
        <item x="472"/>
        <item x="436"/>
        <item x="300"/>
        <item x="156"/>
        <item x="623"/>
        <item x="320"/>
        <item x="731"/>
        <item x="41"/>
        <item x="548"/>
        <item x="77"/>
        <item x="461"/>
        <item x="425"/>
        <item x="215"/>
        <item x="296"/>
        <item x="250"/>
        <item x="116"/>
        <item x="278"/>
        <item x="453"/>
        <item x="191"/>
        <item x="593"/>
        <item x="386"/>
        <item x="186"/>
        <item x="746"/>
        <item x="175"/>
        <item x="740"/>
        <item x="289"/>
        <item x="401"/>
        <item x="477"/>
        <item x="16"/>
        <item x="580"/>
        <item x="239"/>
        <item x="339"/>
        <item x="601"/>
        <item x="12"/>
        <item x="182"/>
        <item x="155"/>
        <item x="134"/>
        <item x="734"/>
        <item x="120"/>
        <item x="719"/>
        <item x="31"/>
        <item x="223"/>
        <item x="456"/>
        <item x="687"/>
        <item x="496"/>
        <item x="295"/>
        <item x="646"/>
        <item x="10"/>
        <item x="470"/>
        <item x="506"/>
        <item x="360"/>
        <item x="83"/>
        <item x="617"/>
        <item x="428"/>
        <item x="101"/>
        <item x="50"/>
        <item x="541"/>
        <item x="123"/>
        <item x="452"/>
        <item x="574"/>
        <item x="705"/>
        <item x="336"/>
        <item x="650"/>
        <item x="311"/>
        <item x="244"/>
        <item x="112"/>
        <item x="181"/>
        <item x="292"/>
        <item x="480"/>
        <item x="303"/>
        <item x="555"/>
        <item x="221"/>
        <item x="664"/>
        <item x="110"/>
        <item x="502"/>
        <item x="600"/>
        <item x="273"/>
        <item x="204"/>
        <item x="741"/>
        <item x="66"/>
        <item x="512"/>
        <item x="605"/>
        <item x="201"/>
        <item x="403"/>
        <item x="67"/>
        <item x="752"/>
        <item x="688"/>
        <item x="18"/>
        <item x="757"/>
        <item x="376"/>
        <item x="211"/>
        <item x="140"/>
        <item x="169"/>
        <item x="14"/>
        <item x="592"/>
        <item x="75"/>
        <item x="427"/>
        <item x="72"/>
        <item x="721"/>
        <item x="71"/>
        <item x="441"/>
        <item x="313"/>
        <item x="561"/>
        <item x="536"/>
        <item x="105"/>
        <item x="569"/>
        <item x="129"/>
        <item x="588"/>
        <item x="373"/>
        <item x="107"/>
        <item x="429"/>
        <item x="675"/>
        <item x="611"/>
        <item x="431"/>
        <item x="633"/>
        <item x="269"/>
        <item x="131"/>
        <item x="645"/>
        <item x="364"/>
        <item x="17"/>
        <item x="451"/>
        <item x="680"/>
        <item x="745"/>
        <item x="165"/>
        <item x="635"/>
        <item x="45"/>
        <item x="627"/>
        <item x="148"/>
        <item x="214"/>
        <item x="519"/>
        <item x="707"/>
        <item x="240"/>
        <item x="109"/>
        <item x="591"/>
        <item x="529"/>
        <item t="default"/>
      </items>
    </pivotField>
    <pivotField dataField="1"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4"/>
  </rowFields>
  <rowItems count="7">
    <i>
      <x v="5"/>
    </i>
    <i>
      <x v="2"/>
    </i>
    <i>
      <x v="4"/>
    </i>
    <i>
      <x/>
    </i>
    <i>
      <x v="1"/>
    </i>
    <i>
      <x v="3"/>
    </i>
    <i t="grand">
      <x/>
    </i>
  </rowItems>
  <colFields count="1">
    <field x="-2"/>
  </colFields>
  <colItems count="2">
    <i>
      <x/>
    </i>
    <i i="1">
      <x v="1"/>
    </i>
  </colItems>
  <dataFields count="2">
    <dataField name="Sum of Salary" fld="8" baseField="4" baseItem="0" numFmtId="165"/>
    <dataField name="Average of Salary" fld="8" subtotal="average" baseField="4" baseItem="0" numFmtId="165"/>
  </dataFields>
  <formats count="6">
    <format dxfId="115">
      <pivotArea type="all" dataOnly="0" outline="0" fieldPosition="0"/>
    </format>
    <format dxfId="114">
      <pivotArea outline="0" collapsedLevelsAreSubtotals="1" fieldPosition="0"/>
    </format>
    <format dxfId="113">
      <pivotArea field="4" type="button" dataOnly="0" labelOnly="1" outline="0" axis="axisRow" fieldPosition="0"/>
    </format>
    <format dxfId="112">
      <pivotArea dataOnly="0" labelOnly="1" fieldPosition="0">
        <references count="1">
          <reference field="4" count="0"/>
        </references>
      </pivotArea>
    </format>
    <format dxfId="111">
      <pivotArea dataOnly="0" labelOnly="1" grandRow="1" outline="0" fieldPosition="0"/>
    </format>
    <format dxfId="110">
      <pivotArea dataOnly="0" labelOnly="1" outline="0" fieldPosition="0">
        <references count="1">
          <reference field="4294967294" count="2">
            <x v="0"/>
            <x v="1"/>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6BC248F-862B-45EA-A3A4-6ACCAF998A29}" sourceName="Department">
  <pivotTables>
    <pivotTable tabId="13" name="PivotTable4"/>
    <pivotTable tabId="13" name="PivotTable9"/>
    <pivotTable tabId="13" name="PivotTable7"/>
    <pivotTable tabId="13" name="PivotTable6"/>
    <pivotTable tabId="13" name="PivotTable1"/>
    <pivotTable tabId="13" name="PivotTable8"/>
    <pivotTable tabId="13" name="PivotTable2"/>
    <pivotTable tabId="13" name="PivotTable3"/>
    <pivotTable tabId="13" name="PivotTable5"/>
  </pivotTables>
  <data>
    <tabular pivotCacheId="1560361615">
      <items count="6">
        <i x="2" s="1"/>
        <i x="3" s="1"/>
        <i x="0" s="1"/>
        <i x="1"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A284AB-BC6B-4D77-96EB-1EB551CFA8CA}" sourceName="Region">
  <pivotTables>
    <pivotTable tabId="13" name="PivotTable4"/>
    <pivotTable tabId="13" name="PivotTable9"/>
    <pivotTable tabId="13" name="PivotTable7"/>
    <pivotTable tabId="13" name="PivotTable6"/>
    <pivotTable tabId="13" name="PivotTable1"/>
    <pivotTable tabId="13" name="PivotTable8"/>
    <pivotTable tabId="13" name="PivotTable2"/>
    <pivotTable tabId="13" name="PivotTable3"/>
    <pivotTable tabId="13" name="PivotTable5"/>
  </pivotTables>
  <data>
    <tabular pivotCacheId="1560361615">
      <items count="6">
        <i x="0" s="1"/>
        <i x="3" s="1"/>
        <i x="5"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34B9BC1-AC86-4843-A1D2-86BA81CF74FA}" sourceName="Status">
  <pivotTables>
    <pivotTable tabId="13" name="PivotTable4"/>
    <pivotTable tabId="13" name="PivotTable9"/>
    <pivotTable tabId="13" name="PivotTable7"/>
    <pivotTable tabId="13" name="PivotTable6"/>
    <pivotTable tabId="13" name="PivotTable1"/>
    <pivotTable tabId="13" name="PivotTable8"/>
    <pivotTable tabId="13" name="PivotTable2"/>
    <pivotTable tabId="13" name="PivotTable3"/>
    <pivotTable tabId="13" name="PivotTable5"/>
  </pivotTables>
  <data>
    <tabular pivotCacheId="156036161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0E75BB32-0632-481D-A450-91EDBB3E5958}" cache="Slicer_Department" caption="Department" columnCount="3" style="Slicer Style 1" rowHeight="241300"/>
  <slicer name="Region 4" xr10:uid="{F760A4C2-ABB2-4C71-A842-BD0C5D703BA6}" cache="Slicer_Region" caption="Region" columnCount="3" style="Slicer Style 1" rowHeight="241300"/>
  <slicer name="Status 4" xr10:uid="{6B687D95-B682-490F-8E95-267323ACD9B3}" cache="Slicer_Status" caption="Status" columnCount="3"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5" xr10:uid="{636853D4-3F8D-4B7C-9A04-7C1F9648813A}" cache="Slicer_Department" caption="Department" rowHeight="241300"/>
  <slicer name="Region 5" xr10:uid="{32F99374-7CCB-4625-88DE-85D023A00D30}" cache="Slicer_Region" caption="Region" rowHeight="241300"/>
  <slicer name="Status 5" xr10:uid="{4AE7796B-AE7E-4482-A22F-D5B17B8EC0C0}"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40A4EA-769C-454F-B0D6-ABF33B062946}" name="Table29" displayName="Table29" ref="B5:N9" totalsRowShown="0" headerRowDxfId="42" dataDxfId="41">
  <autoFilter ref="B5:N9" xr:uid="{E440A4EA-769C-454F-B0D6-ABF33B062946}"/>
  <tableColumns count="13">
    <tableColumn id="1" xr3:uid="{E0F0829D-8518-4CD3-8FEA-500BE7CDFE32}" name="Quality Report"/>
    <tableColumn id="2" xr3:uid="{2B31B470-09FE-4E77-8C6F-69690B0352E7}" name="Employee_ID" dataDxfId="40"/>
    <tableColumn id="3" xr3:uid="{92871CD5-2E05-4F69-AF33-D620FB515AA5}" name="First_Name" dataDxfId="39"/>
    <tableColumn id="4" xr3:uid="{110C6207-7A57-4ACB-BE15-76204E5CBC48}" name="Last_Name" dataDxfId="38"/>
    <tableColumn id="5" xr3:uid="{A438D0AE-E377-46F8-B4F8-B0877F5D1920}" name="Age" dataDxfId="37"/>
    <tableColumn id="6" xr3:uid="{0FDA6388-9FA0-4271-82DF-45E5153C57D9}" name="Department_Region" dataDxfId="36"/>
    <tableColumn id="7" xr3:uid="{959A16F8-0DA8-490F-BDBF-FFF4C663FBD1}" name="Status" dataDxfId="35"/>
    <tableColumn id="8" xr3:uid="{A320AC94-DA11-4CD2-A314-66BAE960C74B}" name="Join_Date" dataDxfId="34"/>
    <tableColumn id="9" xr3:uid="{76654BE1-C4AB-414A-94A8-9AA29FD2EBDF}" name="Salary" dataDxfId="33"/>
    <tableColumn id="10" xr3:uid="{E4F1FC01-4AF4-4116-829F-8B6DD0C3BBFC}" name="Email" dataDxfId="32"/>
    <tableColumn id="11" xr3:uid="{D4945676-B310-4A40-8047-25BCE4FFB0B5}" name="Phone" dataDxfId="31"/>
    <tableColumn id="12" xr3:uid="{A8B5D89A-A88E-41F0-997F-DBCA78605524}" name="Performance_Score" dataDxfId="30"/>
    <tableColumn id="13" xr3:uid="{6B6879D8-E97F-4A9B-A2E6-9491147BE2DA}" name="Remote_Work" dataDxfId="29"/>
  </tableColumns>
  <tableStyleInfo name="TableStyleMedium17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7C37716-74FA-4E25-8083-C1D26B9E02BB}" name="Table2914" displayName="Table2914" ref="B13:N17" totalsRowShown="0" headerRowDxfId="28" dataDxfId="27">
  <autoFilter ref="B13:N17" xr:uid="{17C37716-74FA-4E25-8083-C1D26B9E02BB}"/>
  <tableColumns count="13">
    <tableColumn id="1" xr3:uid="{2460F4E0-C01D-40D1-A755-F0EA9338F6DA}" name="Quality Report"/>
    <tableColumn id="2" xr3:uid="{1BC490E8-FDCB-443D-9B8B-14D93B39EF32}" name="Employee_ID" dataDxfId="26"/>
    <tableColumn id="3" xr3:uid="{1DA8CAB6-6ABB-4786-A92D-155177E2DEEA}" name="First_Name" dataDxfId="25"/>
    <tableColumn id="4" xr3:uid="{2696F7A2-9678-4BC0-990B-B7C7041E10BC}" name="Last_Name" dataDxfId="24"/>
    <tableColumn id="5" xr3:uid="{D52BEDF8-07A5-4477-94BD-482ABE395EA7}" name="Age" dataDxfId="23"/>
    <tableColumn id="6" xr3:uid="{6AE39442-691C-409A-A2AE-19A46DE402DC}" name="Department_Region" dataDxfId="22"/>
    <tableColumn id="7" xr3:uid="{D7279865-E670-423F-A6BD-73BD57D09F03}" name="Status" dataDxfId="21"/>
    <tableColumn id="8" xr3:uid="{3136F280-5677-4E91-BDEE-F84EF12FAC24}" name="Join_Date" dataDxfId="20"/>
    <tableColumn id="9" xr3:uid="{F275D4A2-F9E3-482C-9D3E-0CCF9788BC2E}" name="Salary" dataDxfId="19"/>
    <tableColumn id="10" xr3:uid="{C84E10A9-3D23-460E-A4FB-42308274642C}" name="Email" dataDxfId="18"/>
    <tableColumn id="11" xr3:uid="{C3CD3E09-15A6-469C-857C-E695CFA8C705}" name="Phone" dataDxfId="17"/>
    <tableColumn id="12" xr3:uid="{F8F2F8FC-0AEA-4D42-AB3F-B5837DD685D6}" name="Performance_Score" dataDxfId="16"/>
    <tableColumn id="13" xr3:uid="{BB215698-477D-49CC-A9B1-71DA7B5DA06E}" name="Remote_Work" dataDxfId="15"/>
  </tableColumns>
  <tableStyleInfo name="TableStyleMedium17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796ECC3-B109-48A3-9F8A-5E6D4918B358}" name="Before_Tbl" displayName="Before_Tbl" ref="A1:L1021" totalsRowShown="0" headerRowDxfId="14">
  <autoFilter ref="A1:L1021" xr:uid="{0796ECC3-B109-48A3-9F8A-5E6D4918B358}"/>
  <tableColumns count="12">
    <tableColumn id="1" xr3:uid="{E00761F5-391E-45D8-9357-BEA16E1667EA}" name="Employee_ID"/>
    <tableColumn id="2" xr3:uid="{8F676EAD-3909-4B3F-98BF-5D592EB0C183}" name="First_Name"/>
    <tableColumn id="3" xr3:uid="{E3E852CE-442E-493B-AC88-DD6B10B4DF2A}" name="Last_Name"/>
    <tableColumn id="4" xr3:uid="{14ED0AE2-17B8-4E29-A692-5FE3E8F42DE2}" name="Age"/>
    <tableColumn id="5" xr3:uid="{CED1498F-DDF5-4075-AEE4-BE2EBFC508C2}" name="Department_Region"/>
    <tableColumn id="6" xr3:uid="{34361AB6-1162-4AC3-B5E0-C30F5BCF7747}" name="Status"/>
    <tableColumn id="7" xr3:uid="{C874F954-71FA-4B33-9371-E657DE04B187}" name="Join_Date"/>
    <tableColumn id="8" xr3:uid="{E86D9069-D894-4644-ACF4-6644152DC271}" name="Salary"/>
    <tableColumn id="9" xr3:uid="{B7925F5E-BEDD-40A9-B9E9-4B96C37B0ADC}" name="Email"/>
    <tableColumn id="10" xr3:uid="{E01191FE-44B9-493A-928C-138C72390A21}" name="Phone"/>
    <tableColumn id="11" xr3:uid="{34339C8A-5C88-47CC-9DFF-7F94724EFDAA}" name="Performance_Score"/>
    <tableColumn id="12" xr3:uid="{FEB5F9E5-BB44-480F-BE2E-E8C22FA6327F}" name="Remote_Work"/>
  </tableColumns>
  <tableStyleInfo name="TableStyleMedium17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C1131C4-B7CD-4A2D-8422-1E1AF78E13F8}" name="After_Tbl" displayName="After_Tbl" ref="P1:AB1021" totalsRowShown="0" headerRowDxfId="13">
  <autoFilter ref="P1:AB1021" xr:uid="{5C1131C4-B7CD-4A2D-8422-1E1AF78E13F8}"/>
  <tableColumns count="13">
    <tableColumn id="1" xr3:uid="{383F808C-6E8D-472C-BC8C-4401623F950D}" name="Employee_ID" dataDxfId="12">
      <calculatedColumnFormula>TRIM(Before_Tbl[[#This Row],[Employee_ID]])</calculatedColumnFormula>
    </tableColumn>
    <tableColumn id="2" xr3:uid="{8250E412-9723-4178-880C-873A4B14CB82}" name="First_Name" dataDxfId="11">
      <calculatedColumnFormula>TRIM(PROPER(Before_Tbl[[#This Row],[First_Name]]))</calculatedColumnFormula>
    </tableColumn>
    <tableColumn id="3" xr3:uid="{9ED85960-5C31-456A-BDF4-1A448F648217}" name="Last_Name" dataDxfId="10">
      <calculatedColumnFormula>TRIM(PROPER(Before_Tbl[[#This Row],[Last_Name]]))</calculatedColumnFormula>
    </tableColumn>
    <tableColumn id="4" xr3:uid="{49599151-286D-479C-8DEA-6BD051B25650}" name="Age" dataDxfId="9">
      <calculatedColumnFormula>IF(ISBLANK(D2),30,D2)</calculatedColumnFormula>
    </tableColumn>
    <tableColumn id="15" xr3:uid="{02D9E6BD-F2A3-48DE-9AC7-FF3A1616F37D}" name="Department" dataDxfId="8">
      <calculatedColumnFormula>LEFT(Before_Tbl[[#This Row],[Department_Region]],FIND("-",Before_Tbl[[#This Row],[Department_Region]])-1)</calculatedColumnFormula>
    </tableColumn>
    <tableColumn id="14" xr3:uid="{2A92BF89-93F8-473A-80F2-4C629FA61379}" name="Region" dataDxfId="7">
      <calculatedColumnFormula>RIGHT(Before_Tbl[[#This Row],[Department_Region]],LEN(Before_Tbl[[#This Row],[Department_Region]])-FIND("-",Before_Tbl[[#This Row],[Department_Region]]))</calculatedColumnFormula>
    </tableColumn>
    <tableColumn id="6" xr3:uid="{D6C91034-E390-4EA3-94A8-FD0DF1274AF6}" name="Status" dataDxfId="6">
      <calculatedColumnFormula>TRIM(PROPER(Before_Tbl[[#This Row],[Status]]))</calculatedColumnFormula>
    </tableColumn>
    <tableColumn id="7" xr3:uid="{23E63069-A5B1-4A97-A89A-BCED27FDCC24}" name="Join_Date" dataDxfId="5"/>
    <tableColumn id="8" xr3:uid="{135CE6B8-D7A3-4A33-B319-A4CF2B96B9AB}" name="Salary" dataDxfId="4"/>
    <tableColumn id="9" xr3:uid="{B436709F-B492-4C99-9BF7-919878247946}" name="Email" dataDxfId="3">
      <calculatedColumnFormula>TRIM(LOWER(Before_Tbl[[#This Row],[Email]]))</calculatedColumnFormula>
    </tableColumn>
    <tableColumn id="10" xr3:uid="{2E2D556B-DFD5-4806-B1B9-E95BCA024702}" name="Phone" dataDxfId="2">
      <calculatedColumnFormula>SUBSTITUTE(Before_Tbl[[#This Row],[Phone]],"-","")</calculatedColumnFormula>
    </tableColumn>
    <tableColumn id="11" xr3:uid="{1742C3C7-E25C-4792-B50C-FCD8D31B31EE}" name="Performance_Score" dataDxfId="1">
      <calculatedColumnFormula>TRIM(PROPER(Before_Tbl[[#This Row],[Performance_Score]]))</calculatedColumnFormula>
    </tableColumn>
    <tableColumn id="12" xr3:uid="{0A6DBD55-0C5B-423A-949B-F38CABF3292B}" name="Remote_Work" dataDxfId="0">
      <calculatedColumnFormula>TRIM(UPPER(Before_Tbl[[#This Row],[Remote_Work]]))</calculatedColumnFormula>
    </tableColumn>
  </tableColumns>
  <tableStyleInfo name="TableStyleMedium17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D0FAF-57C7-4B13-A838-88BD70A005C2}">
  <dimension ref="B2:B25"/>
  <sheetViews>
    <sheetView showGridLines="0" tabSelected="1" zoomScaleNormal="100" workbookViewId="0">
      <selection activeCell="B20" sqref="B20"/>
    </sheetView>
  </sheetViews>
  <sheetFormatPr defaultRowHeight="15.5" x14ac:dyDescent="0.35"/>
  <cols>
    <col min="2" max="2" width="95.1640625" customWidth="1"/>
  </cols>
  <sheetData>
    <row r="2" spans="2:2" ht="61" customHeight="1" x14ac:dyDescent="0.35">
      <c r="B2" s="14" t="s">
        <v>1650</v>
      </c>
    </row>
    <row r="3" spans="2:2" x14ac:dyDescent="0.35">
      <c r="B3" s="17" t="s">
        <v>1654</v>
      </c>
    </row>
    <row r="4" spans="2:2" ht="7" customHeight="1" x14ac:dyDescent="0.35">
      <c r="B4" s="12"/>
    </row>
    <row r="5" spans="2:2" x14ac:dyDescent="0.35">
      <c r="B5" s="15" t="s">
        <v>1652</v>
      </c>
    </row>
    <row r="6" spans="2:2" ht="77.5" x14ac:dyDescent="0.35">
      <c r="B6" s="16" t="s">
        <v>1655</v>
      </c>
    </row>
    <row r="7" spans="2:2" ht="7" customHeight="1" x14ac:dyDescent="0.35">
      <c r="B7" s="12"/>
    </row>
    <row r="8" spans="2:2" x14ac:dyDescent="0.35">
      <c r="B8" s="15" t="s">
        <v>1653</v>
      </c>
    </row>
    <row r="9" spans="2:2" ht="31" x14ac:dyDescent="0.35">
      <c r="B9" s="16" t="s">
        <v>1656</v>
      </c>
    </row>
    <row r="10" spans="2:2" ht="31" x14ac:dyDescent="0.35">
      <c r="B10" s="16" t="s">
        <v>1657</v>
      </c>
    </row>
    <row r="11" spans="2:2" ht="31" x14ac:dyDescent="0.35">
      <c r="B11" s="16" t="s">
        <v>1658</v>
      </c>
    </row>
    <row r="12" spans="2:2" ht="31" x14ac:dyDescent="0.35">
      <c r="B12" s="16" t="s">
        <v>1659</v>
      </c>
    </row>
    <row r="13" spans="2:2" ht="7" customHeight="1" x14ac:dyDescent="0.35">
      <c r="B13" s="12"/>
    </row>
    <row r="14" spans="2:2" ht="15.5" customHeight="1" x14ac:dyDescent="0.35">
      <c r="B14" s="15" t="s">
        <v>1651</v>
      </c>
    </row>
    <row r="15" spans="2:2" ht="31.5" customHeight="1" x14ac:dyDescent="0.35">
      <c r="B15" s="16" t="s">
        <v>1673</v>
      </c>
    </row>
    <row r="16" spans="2:2" ht="31.5" customHeight="1" x14ac:dyDescent="0.35">
      <c r="B16" s="16" t="s">
        <v>1674</v>
      </c>
    </row>
    <row r="17" spans="2:2" s="18" customFormat="1" ht="15.5" customHeight="1" x14ac:dyDescent="0.35">
      <c r="B17" s="16" t="s">
        <v>1675</v>
      </c>
    </row>
    <row r="18" spans="2:2" ht="15.5" customHeight="1" x14ac:dyDescent="0.35">
      <c r="B18" s="16" t="s">
        <v>1676</v>
      </c>
    </row>
    <row r="19" spans="2:2" s="18" customFormat="1" ht="7" customHeight="1" x14ac:dyDescent="0.35"/>
    <row r="20" spans="2:2" x14ac:dyDescent="0.35">
      <c r="B20" s="15" t="s">
        <v>1651</v>
      </c>
    </row>
    <row r="21" spans="2:2" x14ac:dyDescent="0.35">
      <c r="B21" s="21" t="s">
        <v>1660</v>
      </c>
    </row>
    <row r="22" spans="2:2" x14ac:dyDescent="0.35">
      <c r="B22" s="21" t="s">
        <v>1661</v>
      </c>
    </row>
    <row r="23" spans="2:2" x14ac:dyDescent="0.35">
      <c r="B23" s="21" t="s">
        <v>1662</v>
      </c>
    </row>
    <row r="24" spans="2:2" x14ac:dyDescent="0.35">
      <c r="B24" s="21" t="s">
        <v>1663</v>
      </c>
    </row>
    <row r="25" spans="2:2" x14ac:dyDescent="0.35">
      <c r="B25" s="21" t="s">
        <v>1664</v>
      </c>
    </row>
  </sheetData>
  <hyperlinks>
    <hyperlink ref="B21" location="'2. Dashboard'!A1" display="2. Dashboard" xr:uid="{58DECB0E-4093-4980-9D71-C3DF6DAD4A4C}"/>
    <hyperlink ref="B22" location="'3. Exploratory Data Analysis'!A1" display="3. Exploratory Data Analysis" xr:uid="{DD28FC45-EBCC-47F3-AF51-A74A7D6E78B7}"/>
    <hyperlink ref="B23" location="'4. Quality Report'!A1" display="4. Quality Report" xr:uid="{FCAF92CC-1360-4F48-B56D-DC1B41F26556}"/>
    <hyperlink ref="B24" location="'5. Data Cleaning'!A1" display="5. Data Cleaning" xr:uid="{5441F8B7-B144-40BB-B724-EFF357126A05}"/>
    <hyperlink ref="B25" location="'6. Raw Data'!A1" display="6. Raw Data" xr:uid="{E657CADE-A51E-4C93-9B41-ACC5AE54A3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FF42F-BC84-4916-A344-109809E616CB}">
  <dimension ref="A1:AA50"/>
  <sheetViews>
    <sheetView showGridLines="0" zoomScaleNormal="100" workbookViewId="0">
      <selection activeCell="AC34" sqref="AC34"/>
    </sheetView>
  </sheetViews>
  <sheetFormatPr defaultRowHeight="15.5" x14ac:dyDescent="0.35"/>
  <cols>
    <col min="2" max="2" width="3.1640625" customWidth="1"/>
    <col min="27" max="27" width="3.1640625" customWidth="1"/>
  </cols>
  <sheetData>
    <row r="1" spans="1:27" x14ac:dyDescent="0.35">
      <c r="A1" s="13"/>
    </row>
    <row r="2" spans="1:27" x14ac:dyDescent="0.35">
      <c r="B2" s="10"/>
      <c r="C2" s="10"/>
      <c r="D2" s="10"/>
      <c r="E2" s="10"/>
      <c r="F2" s="10"/>
      <c r="G2" s="10"/>
      <c r="H2" s="10"/>
      <c r="I2" s="10"/>
      <c r="J2" s="10"/>
      <c r="K2" s="10"/>
      <c r="L2" s="10"/>
      <c r="M2" s="10"/>
      <c r="N2" s="10"/>
      <c r="O2" s="10"/>
      <c r="P2" s="10"/>
      <c r="Q2" s="10"/>
      <c r="R2" s="10"/>
      <c r="S2" s="10"/>
      <c r="T2" s="10"/>
      <c r="U2" s="10"/>
      <c r="V2" s="10"/>
      <c r="W2" s="10"/>
      <c r="X2" s="10"/>
      <c r="Y2" s="10"/>
      <c r="Z2" s="10"/>
      <c r="AA2" s="10"/>
    </row>
    <row r="3" spans="1:27" x14ac:dyDescent="0.35">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x14ac:dyDescent="0.35">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x14ac:dyDescent="0.35">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x14ac:dyDescent="0.35">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x14ac:dyDescent="0.35">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x14ac:dyDescent="0.35">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x14ac:dyDescent="0.35">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x14ac:dyDescent="0.35">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x14ac:dyDescent="0.35">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x14ac:dyDescent="0.35">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x14ac:dyDescent="0.3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x14ac:dyDescent="0.35">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2:27" ht="23" x14ac:dyDescent="0.8">
      <c r="B17" s="10"/>
      <c r="C17" s="10"/>
      <c r="D17" s="10"/>
      <c r="E17" s="10"/>
      <c r="F17" s="10"/>
      <c r="G17" s="11"/>
      <c r="H17" s="10"/>
      <c r="I17" s="10"/>
      <c r="J17" s="10"/>
      <c r="K17" s="10"/>
      <c r="L17" s="10"/>
      <c r="M17" s="10"/>
      <c r="N17" s="10"/>
      <c r="O17" s="10"/>
      <c r="P17" s="10"/>
      <c r="Q17" s="10"/>
      <c r="R17" s="10"/>
      <c r="S17" s="10"/>
      <c r="T17" s="10"/>
      <c r="U17" s="10"/>
      <c r="V17" s="10"/>
      <c r="W17" s="10"/>
      <c r="X17" s="10"/>
      <c r="Y17" s="10"/>
      <c r="Z17" s="10"/>
      <c r="AA17" s="10"/>
    </row>
    <row r="18" spans="2:27" x14ac:dyDescent="0.35">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2:27" x14ac:dyDescent="0.35">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2:27" x14ac:dyDescent="0.35">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2:27" x14ac:dyDescent="0.35">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2:27" x14ac:dyDescent="0.35">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2:27" x14ac:dyDescent="0.35">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2:27" x14ac:dyDescent="0.35">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2:27" x14ac:dyDescent="0.35">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2:27" x14ac:dyDescent="0.35">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2:27" x14ac:dyDescent="0.35">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2:27" x14ac:dyDescent="0.35">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2:27" x14ac:dyDescent="0.35">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2:27" x14ac:dyDescent="0.35">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2:27" x14ac:dyDescent="0.35">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2:27" x14ac:dyDescent="0.35">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2:27" x14ac:dyDescent="0.35">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2:27" x14ac:dyDescent="0.35">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2:27" x14ac:dyDescent="0.35">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2:27" x14ac:dyDescent="0.35">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2:27" x14ac:dyDescent="0.35">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2:27" x14ac:dyDescent="0.35">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2:27" x14ac:dyDescent="0.35">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2:27" x14ac:dyDescent="0.35">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2:27" x14ac:dyDescent="0.35">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2:27" x14ac:dyDescent="0.35">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2:27" x14ac:dyDescent="0.35">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2:27" x14ac:dyDescent="0.35">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2:27" x14ac:dyDescent="0.35">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2:27" x14ac:dyDescent="0.35">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2:27" x14ac:dyDescent="0.35">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2:27" x14ac:dyDescent="0.35">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2:27" x14ac:dyDescent="0.35">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2:27" x14ac:dyDescent="0.35">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7DC5-E1AD-41BA-9FC8-E945001FAE97}">
  <dimension ref="B2:AF24"/>
  <sheetViews>
    <sheetView topLeftCell="B1" zoomScaleNormal="100" workbookViewId="0">
      <selection activeCell="D28" sqref="D28"/>
    </sheetView>
  </sheetViews>
  <sheetFormatPr defaultRowHeight="15.5" x14ac:dyDescent="0.35"/>
  <cols>
    <col min="1" max="1" width="8.6640625" style="18"/>
    <col min="2" max="2" width="16.08203125" style="18" bestFit="1" customWidth="1"/>
    <col min="3" max="3" width="29.4140625" style="18" bestFit="1" customWidth="1"/>
    <col min="4" max="5" width="8.6640625" style="18"/>
    <col min="6" max="6" width="12.83203125" style="18" bestFit="1" customWidth="1"/>
    <col min="7" max="7" width="20.33203125" style="18" bestFit="1" customWidth="1"/>
    <col min="8" max="9" width="8.6640625" style="18"/>
    <col min="10" max="10" width="12.83203125" style="18" bestFit="1" customWidth="1"/>
    <col min="11" max="11" width="20.33203125" style="18" bestFit="1" customWidth="1"/>
    <col min="12" max="13" width="8.6640625" style="18"/>
    <col min="14" max="14" width="12.83203125" style="18" bestFit="1" customWidth="1"/>
    <col min="15" max="15" width="14.5" style="18" bestFit="1" customWidth="1"/>
    <col min="16" max="16" width="16.08203125" style="18" bestFit="1" customWidth="1"/>
    <col min="17" max="18" width="8.6640625" style="18"/>
    <col min="19" max="19" width="20.33203125" style="18" bestFit="1" customWidth="1"/>
    <col min="20" max="20" width="8.75" style="18" bestFit="1" customWidth="1"/>
    <col min="21" max="21" width="7.33203125" style="18" bestFit="1" customWidth="1"/>
    <col min="22" max="22" width="7.83203125" style="18" bestFit="1" customWidth="1"/>
    <col min="23" max="23" width="7.33203125" style="18" bestFit="1" customWidth="1"/>
    <col min="24" max="24" width="11.33203125" style="18" bestFit="1" customWidth="1"/>
    <col min="25" max="26" width="8.6640625" style="18"/>
    <col min="27" max="27" width="20.33203125" style="18" bestFit="1" customWidth="1"/>
    <col min="28" max="31" width="3.75" style="18" bestFit="1" customWidth="1"/>
    <col min="32" max="32" width="11.33203125" style="18" bestFit="1" customWidth="1"/>
    <col min="33" max="16384" width="8.6640625" style="18"/>
  </cols>
  <sheetData>
    <row r="2" spans="2:3" x14ac:dyDescent="0.35">
      <c r="B2" s="3" t="s">
        <v>1633</v>
      </c>
    </row>
    <row r="3" spans="2:3" ht="30" x14ac:dyDescent="0.6">
      <c r="B3" s="45">
        <v>1020</v>
      </c>
      <c r="C3" s="7">
        <f>GETPIVOTDATA("Employee_ID",$B$2)</f>
        <v>1020</v>
      </c>
    </row>
    <row r="6" spans="2:3" x14ac:dyDescent="0.35">
      <c r="B6" s="3" t="s">
        <v>1635</v>
      </c>
    </row>
    <row r="7" spans="2:3" ht="30" x14ac:dyDescent="0.6">
      <c r="B7" s="19">
        <v>84814436.169999957</v>
      </c>
      <c r="C7" s="9">
        <f>GETPIVOTDATA("Salary",$B$6)</f>
        <v>84814436.169999957</v>
      </c>
    </row>
    <row r="10" spans="2:3" x14ac:dyDescent="0.35">
      <c r="B10" s="3" t="s">
        <v>1636</v>
      </c>
    </row>
    <row r="11" spans="2:3" ht="30" x14ac:dyDescent="0.6">
      <c r="B11" s="19">
        <v>85155.056395582287</v>
      </c>
      <c r="C11" s="9">
        <f>GETPIVOTDATA("Salary",$B$10)</f>
        <v>85155.056395582287</v>
      </c>
    </row>
    <row r="14" spans="2:3" x14ac:dyDescent="0.35">
      <c r="B14" s="3" t="s">
        <v>1649</v>
      </c>
    </row>
    <row r="15" spans="2:3" ht="30" x14ac:dyDescent="0.6">
      <c r="B15" s="20">
        <v>31.970588235294116</v>
      </c>
      <c r="C15" s="8">
        <f>GETPIVOTDATA("Age",$B$14)</f>
        <v>31.970588235294116</v>
      </c>
    </row>
    <row r="17" spans="6:32" x14ac:dyDescent="0.35">
      <c r="F17" s="41" t="s">
        <v>1631</v>
      </c>
      <c r="G17" s="42" t="s">
        <v>1633</v>
      </c>
      <c r="J17" s="41" t="s">
        <v>1631</v>
      </c>
      <c r="K17" s="42" t="s">
        <v>1633</v>
      </c>
      <c r="N17" s="41" t="s">
        <v>1631</v>
      </c>
      <c r="O17" s="42" t="s">
        <v>1635</v>
      </c>
      <c r="P17" s="42" t="s">
        <v>1636</v>
      </c>
      <c r="S17" s="41" t="s">
        <v>1633</v>
      </c>
      <c r="T17" s="41" t="s">
        <v>1639</v>
      </c>
      <c r="U17" s="42"/>
      <c r="V17" s="42"/>
      <c r="W17" s="42"/>
      <c r="X17" s="42"/>
      <c r="AA17" s="41" t="s">
        <v>1633</v>
      </c>
      <c r="AB17" s="41" t="s">
        <v>1639</v>
      </c>
      <c r="AC17" s="42"/>
      <c r="AD17" s="42"/>
      <c r="AE17" s="42"/>
      <c r="AF17" s="42"/>
    </row>
    <row r="18" spans="6:32" x14ac:dyDescent="0.35">
      <c r="F18" s="43" t="s">
        <v>1669</v>
      </c>
      <c r="G18" s="44">
        <v>189</v>
      </c>
      <c r="J18" s="43" t="s">
        <v>1644</v>
      </c>
      <c r="K18" s="44">
        <v>203</v>
      </c>
      <c r="N18" s="43" t="s">
        <v>1670</v>
      </c>
      <c r="O18" s="46">
        <v>15206919.180000003</v>
      </c>
      <c r="P18" s="46">
        <v>86896.681028571445</v>
      </c>
      <c r="S18" s="41" t="s">
        <v>1631</v>
      </c>
      <c r="T18" s="42" t="s">
        <v>23</v>
      </c>
      <c r="U18" s="42" t="s">
        <v>30</v>
      </c>
      <c r="V18" s="42" t="s">
        <v>18</v>
      </c>
      <c r="W18" s="42" t="s">
        <v>41</v>
      </c>
      <c r="X18" s="42" t="s">
        <v>1632</v>
      </c>
      <c r="AA18" s="41" t="s">
        <v>1631</v>
      </c>
      <c r="AB18" s="42">
        <v>25</v>
      </c>
      <c r="AC18" s="42">
        <v>30</v>
      </c>
      <c r="AD18" s="42">
        <v>35</v>
      </c>
      <c r="AE18" s="42">
        <v>40</v>
      </c>
      <c r="AF18" s="42" t="s">
        <v>1632</v>
      </c>
    </row>
    <row r="19" spans="6:32" x14ac:dyDescent="0.35">
      <c r="F19" s="43" t="s">
        <v>1670</v>
      </c>
      <c r="G19" s="44">
        <v>178</v>
      </c>
      <c r="J19" s="43" t="s">
        <v>1645</v>
      </c>
      <c r="K19" s="44">
        <v>189</v>
      </c>
      <c r="N19" s="43" t="s">
        <v>1669</v>
      </c>
      <c r="O19" s="46">
        <v>15826948.350000009</v>
      </c>
      <c r="P19" s="46">
        <v>86016.023641304389</v>
      </c>
      <c r="S19" s="43" t="s">
        <v>1638</v>
      </c>
      <c r="T19" s="47">
        <v>0.2553606237816764</v>
      </c>
      <c r="U19" s="47">
        <v>0.27875243664717347</v>
      </c>
      <c r="V19" s="47">
        <v>0.26705653021442494</v>
      </c>
      <c r="W19" s="47">
        <v>0.19883040935672514</v>
      </c>
      <c r="X19" s="47">
        <v>1</v>
      </c>
      <c r="AA19" s="43" t="s">
        <v>23</v>
      </c>
      <c r="AB19" s="44">
        <v>55</v>
      </c>
      <c r="AC19" s="44">
        <v>120</v>
      </c>
      <c r="AD19" s="44">
        <v>48</v>
      </c>
      <c r="AE19" s="44">
        <v>44</v>
      </c>
      <c r="AF19" s="44">
        <v>267</v>
      </c>
    </row>
    <row r="20" spans="6:32" x14ac:dyDescent="0.35">
      <c r="F20" s="43" t="s">
        <v>1668</v>
      </c>
      <c r="G20" s="44">
        <v>171</v>
      </c>
      <c r="J20" s="43" t="s">
        <v>1646</v>
      </c>
      <c r="K20" s="44">
        <v>183</v>
      </c>
      <c r="N20" s="43" t="s">
        <v>1668</v>
      </c>
      <c r="O20" s="46">
        <v>14274098.409999998</v>
      </c>
      <c r="P20" s="46">
        <v>85473.643173652687</v>
      </c>
      <c r="S20" s="43" t="s">
        <v>1637</v>
      </c>
      <c r="T20" s="47">
        <v>0.26824457593688361</v>
      </c>
      <c r="U20" s="47">
        <v>0.2504930966469428</v>
      </c>
      <c r="V20" s="47">
        <v>0.25641025641025639</v>
      </c>
      <c r="W20" s="47">
        <v>0.22485207100591717</v>
      </c>
      <c r="X20" s="47">
        <v>1</v>
      </c>
      <c r="AA20" s="43" t="s">
        <v>30</v>
      </c>
      <c r="AB20" s="44">
        <v>54</v>
      </c>
      <c r="AC20" s="44">
        <v>102</v>
      </c>
      <c r="AD20" s="44">
        <v>46</v>
      </c>
      <c r="AE20" s="44">
        <v>68</v>
      </c>
      <c r="AF20" s="44">
        <v>270</v>
      </c>
    </row>
    <row r="21" spans="6:32" x14ac:dyDescent="0.35">
      <c r="F21" s="43" t="s">
        <v>1634</v>
      </c>
      <c r="G21" s="44">
        <v>170</v>
      </c>
      <c r="J21" s="43" t="s">
        <v>1647</v>
      </c>
      <c r="K21" s="44">
        <v>228</v>
      </c>
      <c r="N21" s="43" t="s">
        <v>1672</v>
      </c>
      <c r="O21" s="46">
        <v>13715899.570000006</v>
      </c>
      <c r="P21" s="46">
        <v>85191.922795031089</v>
      </c>
      <c r="S21" s="43" t="s">
        <v>1632</v>
      </c>
      <c r="T21" s="47">
        <v>0.26176470588235295</v>
      </c>
      <c r="U21" s="47">
        <v>0.26470588235294118</v>
      </c>
      <c r="V21" s="47">
        <v>0.26176470588235295</v>
      </c>
      <c r="W21" s="47">
        <v>0.21176470588235294</v>
      </c>
      <c r="X21" s="47">
        <v>1</v>
      </c>
      <c r="AA21" s="43" t="s">
        <v>18</v>
      </c>
      <c r="AB21" s="44">
        <v>50</v>
      </c>
      <c r="AC21" s="44">
        <v>110</v>
      </c>
      <c r="AD21" s="44">
        <v>52</v>
      </c>
      <c r="AE21" s="44">
        <v>55</v>
      </c>
      <c r="AF21" s="44">
        <v>267</v>
      </c>
    </row>
    <row r="22" spans="6:32" x14ac:dyDescent="0.35">
      <c r="F22" s="43" t="s">
        <v>1672</v>
      </c>
      <c r="G22" s="44">
        <v>166</v>
      </c>
      <c r="J22" s="43" t="s">
        <v>1648</v>
      </c>
      <c r="K22" s="44">
        <v>217</v>
      </c>
      <c r="N22" s="43" t="s">
        <v>1671</v>
      </c>
      <c r="O22" s="46">
        <v>11974148.110000007</v>
      </c>
      <c r="P22" s="46">
        <v>84923.036241134803</v>
      </c>
      <c r="AA22" s="43" t="s">
        <v>41</v>
      </c>
      <c r="AB22" s="44">
        <v>47</v>
      </c>
      <c r="AC22" s="44">
        <v>84</v>
      </c>
      <c r="AD22" s="44">
        <v>42</v>
      </c>
      <c r="AE22" s="44">
        <v>43</v>
      </c>
      <c r="AF22" s="44">
        <v>216</v>
      </c>
    </row>
    <row r="23" spans="6:32" x14ac:dyDescent="0.35">
      <c r="F23" s="43" t="s">
        <v>1671</v>
      </c>
      <c r="G23" s="44">
        <v>146</v>
      </c>
      <c r="J23" s="43" t="s">
        <v>1632</v>
      </c>
      <c r="K23" s="44">
        <v>1020</v>
      </c>
      <c r="N23" s="43" t="s">
        <v>1634</v>
      </c>
      <c r="O23" s="46">
        <v>13816422.550000004</v>
      </c>
      <c r="P23" s="46">
        <v>82240.610416666692</v>
      </c>
      <c r="AA23" s="43" t="s">
        <v>1632</v>
      </c>
      <c r="AB23" s="44">
        <v>206</v>
      </c>
      <c r="AC23" s="44">
        <v>416</v>
      </c>
      <c r="AD23" s="44">
        <v>188</v>
      </c>
      <c r="AE23" s="44">
        <v>210</v>
      </c>
      <c r="AF23" s="44">
        <v>1020</v>
      </c>
    </row>
    <row r="24" spans="6:32" x14ac:dyDescent="0.35">
      <c r="F24" s="43" t="s">
        <v>1632</v>
      </c>
      <c r="G24" s="44">
        <v>1020</v>
      </c>
      <c r="N24" s="43" t="s">
        <v>1632</v>
      </c>
      <c r="O24" s="46">
        <v>84814436.169999987</v>
      </c>
      <c r="P24" s="46">
        <v>85155.056395582316</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5AD61-4C6C-4E8B-9D4B-047549102D7C}">
  <dimension ref="B2:N20"/>
  <sheetViews>
    <sheetView showGridLines="0" topLeftCell="C5" zoomScaleNormal="100" workbookViewId="0">
      <selection activeCell="J20" sqref="J20"/>
    </sheetView>
  </sheetViews>
  <sheetFormatPr defaultRowHeight="15.5" x14ac:dyDescent="0.35"/>
  <cols>
    <col min="2" max="2" width="17.08203125" bestFit="1" customWidth="1"/>
    <col min="3" max="3" width="14.4140625" customWidth="1"/>
    <col min="4" max="4" width="12.58203125" customWidth="1"/>
    <col min="5" max="5" width="12.5" customWidth="1"/>
    <col min="6" max="6" width="6" customWidth="1"/>
    <col min="7" max="7" width="20.1640625" customWidth="1"/>
    <col min="8" max="8" width="8" customWidth="1"/>
    <col min="9" max="9" width="11.5" customWidth="1"/>
    <col min="10" max="10" width="8.08203125" customWidth="1"/>
    <col min="11" max="11" width="7.6640625" customWidth="1"/>
    <col min="12" max="12" width="8.08203125" customWidth="1"/>
    <col min="13" max="13" width="19.58203125" customWidth="1"/>
    <col min="14" max="14" width="15.33203125" customWidth="1"/>
  </cols>
  <sheetData>
    <row r="2" spans="2:14" ht="25" x14ac:dyDescent="0.5">
      <c r="B2" s="40" t="s">
        <v>1665</v>
      </c>
      <c r="C2" s="40"/>
      <c r="D2" s="40"/>
      <c r="E2" s="40"/>
      <c r="F2" s="40"/>
      <c r="G2" s="40"/>
      <c r="H2" s="40"/>
      <c r="I2" s="40"/>
      <c r="J2" s="40"/>
      <c r="K2" s="40"/>
      <c r="L2" s="40"/>
      <c r="M2" s="40"/>
      <c r="N2" s="40"/>
    </row>
    <row r="4" spans="2:14" ht="22" customHeight="1" x14ac:dyDescent="0.35">
      <c r="B4" s="34" t="s">
        <v>1666</v>
      </c>
      <c r="C4" s="35"/>
      <c r="D4" s="35"/>
      <c r="E4" s="35"/>
      <c r="F4" s="35"/>
      <c r="G4" s="35"/>
      <c r="H4" s="35"/>
      <c r="I4" s="35"/>
      <c r="J4" s="35"/>
      <c r="K4" s="35"/>
      <c r="L4" s="35"/>
      <c r="M4" s="35"/>
      <c r="N4" s="36"/>
    </row>
    <row r="5" spans="2:14" ht="16" thickBot="1" x14ac:dyDescent="0.4">
      <c r="B5" s="33" t="s">
        <v>1628</v>
      </c>
      <c r="C5" s="22" t="s">
        <v>0</v>
      </c>
      <c r="D5" s="22" t="s">
        <v>1</v>
      </c>
      <c r="E5" s="22" t="s">
        <v>2</v>
      </c>
      <c r="F5" s="22" t="s">
        <v>3</v>
      </c>
      <c r="G5" s="22" t="s">
        <v>4</v>
      </c>
      <c r="H5" s="22" t="s">
        <v>5</v>
      </c>
      <c r="I5" s="22" t="s">
        <v>6</v>
      </c>
      <c r="J5" s="22" t="s">
        <v>7</v>
      </c>
      <c r="K5" s="22" t="s">
        <v>8</v>
      </c>
      <c r="L5" s="22" t="s">
        <v>9</v>
      </c>
      <c r="M5" s="22" t="s">
        <v>10</v>
      </c>
      <c r="N5" s="27" t="s">
        <v>11</v>
      </c>
    </row>
    <row r="6" spans="2:14" x14ac:dyDescent="0.35">
      <c r="B6" s="28" t="s">
        <v>1624</v>
      </c>
      <c r="C6" s="2">
        <f>COUNTBLANK(Before_Tbl[Employee_ID])</f>
        <v>0</v>
      </c>
      <c r="D6" s="2">
        <f>COUNTBLANK(Before_Tbl[First_Name])</f>
        <v>0</v>
      </c>
      <c r="E6" s="2">
        <f>COUNTBLANK(Before_Tbl[Last_Name])</f>
        <v>0</v>
      </c>
      <c r="F6" s="2">
        <f>COUNTBLANK(Before_Tbl[Age])</f>
        <v>211</v>
      </c>
      <c r="G6" s="2">
        <f>COUNTBLANK(Before_Tbl[Department_Region])</f>
        <v>0</v>
      </c>
      <c r="H6" s="2">
        <f>COUNTBLANK(Before_Tbl[Status])</f>
        <v>0</v>
      </c>
      <c r="I6" s="2">
        <f>COUNTBLANK(Before_Tbl[Join_Date])</f>
        <v>0</v>
      </c>
      <c r="J6" s="2">
        <f>COUNTBLANK(Before_Tbl[Salary])</f>
        <v>0</v>
      </c>
      <c r="K6" s="2">
        <f>COUNTBLANK(Before_Tbl[Email])</f>
        <v>0</v>
      </c>
      <c r="L6" s="2">
        <f>COUNTBLANK(Before_Tbl[Phone])</f>
        <v>0</v>
      </c>
      <c r="M6" s="2">
        <f>COUNTBLANK(Before_Tbl[Performance_Score])</f>
        <v>0</v>
      </c>
      <c r="N6" s="29">
        <f>COUNTBLANK(Before_Tbl[Remote_Work])</f>
        <v>0</v>
      </c>
    </row>
    <row r="7" spans="2:14" x14ac:dyDescent="0.35">
      <c r="B7" s="28" t="s">
        <v>1625</v>
      </c>
      <c r="C7" s="2" cm="1">
        <f t="array" ref="C7">COUNTA(Before_Tbl[Employee_ID])-ROWS(_xlfn.UNIQUE(_xlfn._xlws.FILTER(Before_Tbl[Employee_ID],Before_Tbl[Employee_ID]&lt;&gt;"")))</f>
        <v>0</v>
      </c>
      <c r="D7" s="2" cm="1">
        <f t="array" ref="D7">COUNTA(Before_Tbl[First_Name])-ROWS(_xlfn.UNIQUE(_xlfn._xlws.FILTER(Before_Tbl[First_Name],Before_Tbl[First_Name]&lt;&gt;"")))</f>
        <v>1012</v>
      </c>
      <c r="E7" s="2" cm="1">
        <f t="array" ref="E7">COUNTA(Before_Tbl[Last_Name])-ROWS(_xlfn.UNIQUE(_xlfn._xlws.FILTER(Before_Tbl[Last_Name],Before_Tbl[Last_Name]&lt;&gt;"")))</f>
        <v>1012</v>
      </c>
      <c r="F7" s="2" cm="1">
        <f t="array" ref="F7">COUNTA(Before_Tbl[Age])-ROWS(_xlfn.UNIQUE(_xlfn._xlws.FILTER(Before_Tbl[Age],Before_Tbl[Age]&lt;&gt;"")))</f>
        <v>805</v>
      </c>
      <c r="G7" s="2" cm="1">
        <f t="array" ref="G7">COUNTA(Before_Tbl[Department_Region])-ROWS(_xlfn.UNIQUE(_xlfn._xlws.FILTER(Before_Tbl[Department_Region],Before_Tbl[Department_Region]&lt;&gt;"")))</f>
        <v>984</v>
      </c>
      <c r="H7" s="2" cm="1">
        <f t="array" ref="H7">COUNTA(Before_Tbl[Status])-ROWS(_xlfn.UNIQUE(_xlfn._xlws.FILTER(Before_Tbl[Status],Before_Tbl[Status]&lt;&gt;"")))</f>
        <v>1017</v>
      </c>
      <c r="I7" s="2" cm="1">
        <f t="array" ref="I7">COUNTA(Before_Tbl[Join_Date])-ROWS(_xlfn.UNIQUE(_xlfn._xlws.FILTER(Before_Tbl[Join_Date],Before_Tbl[Join_Date]&lt;&gt;"")))</f>
        <v>260</v>
      </c>
      <c r="J7" s="2" cm="1">
        <f t="array" ref="J7">COUNTA(Before_Tbl[Salary])-ROWS(_xlfn.UNIQUE(_xlfn._xlws.FILTER(Before_Tbl[Salary],Before_Tbl[Salary]&lt;&gt;"")))</f>
        <v>41</v>
      </c>
      <c r="K7" s="2" cm="1">
        <f t="array" ref="K7">COUNTA(Before_Tbl[Email])-ROWS(_xlfn.UNIQUE(_xlfn._xlws.FILTER(Before_Tbl[Email],Before_Tbl[Email]&lt;&gt;"")))</f>
        <v>956</v>
      </c>
      <c r="L7" s="2" cm="1">
        <f t="array" ref="L7">COUNTA(Before_Tbl[Phone])-ROWS(_xlfn.UNIQUE(_xlfn._xlws.FILTER(Before_Tbl[Phone],Before_Tbl[Phone]&lt;&gt;"")))</f>
        <v>0</v>
      </c>
      <c r="M7" s="2" cm="1">
        <f t="array" ref="M7">COUNTA(Before_Tbl[Performance_Score])-ROWS(_xlfn.UNIQUE(_xlfn._xlws.FILTER(Before_Tbl[Performance_Score],Before_Tbl[Performance_Score]&lt;&gt;"")))</f>
        <v>1016</v>
      </c>
      <c r="N7" s="29" cm="1">
        <f t="array" ref="N7">COUNTA(Before_Tbl[Remote_Work])-ROWS(_xlfn.UNIQUE(_xlfn._xlws.FILTER(Before_Tbl[Remote_Work],Before_Tbl[Remote_Work]&lt;&gt;"")))</f>
        <v>1018</v>
      </c>
    </row>
    <row r="8" spans="2:14" x14ac:dyDescent="0.35">
      <c r="B8" s="28" t="s">
        <v>1626</v>
      </c>
      <c r="C8" s="2" cm="1">
        <f t="array" ref="C8">ROWS(_xlfn.UNIQUE(_xlfn._xlws.FILTER(Before_Tbl[Employee_ID],Before_Tbl[Employee_ID]&lt;&gt;"")))</f>
        <v>1020</v>
      </c>
      <c r="D8" s="2" cm="1">
        <f t="array" ref="D8">ROWS(_xlfn.UNIQUE(_xlfn._xlws.FILTER(Before_Tbl[First_Name],Before_Tbl[First_Name]&lt;&gt;"")))</f>
        <v>8</v>
      </c>
      <c r="E8" s="2" cm="1">
        <f t="array" ref="E8">ROWS(_xlfn.UNIQUE(_xlfn._xlws.FILTER(Before_Tbl[Last_Name],Before_Tbl[Last_Name]&lt;&gt;"")))</f>
        <v>8</v>
      </c>
      <c r="F8" s="2" cm="1">
        <f t="array" ref="F8">ROWS(_xlfn.UNIQUE(_xlfn._xlws.FILTER(Before_Tbl[Age],Before_Tbl[Age]&lt;&gt;"")))</f>
        <v>4</v>
      </c>
      <c r="G8" s="2" cm="1">
        <f t="array" ref="G8">ROWS(_xlfn.UNIQUE(_xlfn._xlws.FILTER(Before_Tbl[Department_Region],Before_Tbl[Department_Region]&lt;&gt;"")))</f>
        <v>36</v>
      </c>
      <c r="H8" s="2" cm="1">
        <f t="array" ref="H8">ROWS(_xlfn.UNIQUE(_xlfn._xlws.FILTER(Before_Tbl[Status],Before_Tbl[Status]&lt;&gt;"")))</f>
        <v>3</v>
      </c>
      <c r="I8" s="2" cm="1">
        <f t="array" ref="I8">ROWS(_xlfn.UNIQUE(_xlfn._xlws.FILTER(Before_Tbl[Join_Date],Before_Tbl[Join_Date]&lt;&gt;"")))</f>
        <v>760</v>
      </c>
      <c r="J8" s="2" cm="1">
        <f t="array" ref="J8">ROWS(_xlfn.UNIQUE(_xlfn._xlws.FILTER(Before_Tbl[Salary],Before_Tbl[Salary]&lt;&gt;"")))</f>
        <v>979</v>
      </c>
      <c r="K8" s="2" cm="1">
        <f t="array" ref="K8">ROWS(_xlfn.UNIQUE(_xlfn._xlws.FILTER(Before_Tbl[Email],Before_Tbl[Email]&lt;&gt;"")))</f>
        <v>64</v>
      </c>
      <c r="L8" s="2" cm="1">
        <f t="array" ref="L8">ROWS(_xlfn.UNIQUE(_xlfn._xlws.FILTER(Before_Tbl[Phone],Before_Tbl[Phone]&lt;&gt;"")))</f>
        <v>1020</v>
      </c>
      <c r="M8" s="2" cm="1">
        <f t="array" ref="M8">ROWS(_xlfn.UNIQUE(_xlfn._xlws.FILTER(Before_Tbl[Performance_Score],Before_Tbl[Performance_Score]&lt;&gt;"")))</f>
        <v>4</v>
      </c>
      <c r="N8" s="29" cm="1">
        <f t="array" ref="N8">ROWS(_xlfn.UNIQUE(_xlfn._xlws.FILTER(Before_Tbl[Remote_Work],Before_Tbl[Remote_Work]&lt;&gt;"")))</f>
        <v>2</v>
      </c>
    </row>
    <row r="9" spans="2:14" x14ac:dyDescent="0.35">
      <c r="B9" s="30" t="s">
        <v>1627</v>
      </c>
      <c r="C9" s="31">
        <f>SUM(C6:C8)</f>
        <v>1020</v>
      </c>
      <c r="D9" s="31">
        <f t="shared" ref="D9:N9" si="0">SUM(D6:D8)</f>
        <v>1020</v>
      </c>
      <c r="E9" s="31">
        <f t="shared" si="0"/>
        <v>1020</v>
      </c>
      <c r="F9" s="31">
        <f t="shared" si="0"/>
        <v>1020</v>
      </c>
      <c r="G9" s="31">
        <f t="shared" si="0"/>
        <v>1020</v>
      </c>
      <c r="H9" s="31">
        <f t="shared" si="0"/>
        <v>1020</v>
      </c>
      <c r="I9" s="31">
        <f t="shared" si="0"/>
        <v>1020</v>
      </c>
      <c r="J9" s="31">
        <f t="shared" si="0"/>
        <v>1020</v>
      </c>
      <c r="K9" s="31">
        <f t="shared" si="0"/>
        <v>1020</v>
      </c>
      <c r="L9" s="31">
        <f t="shared" si="0"/>
        <v>1020</v>
      </c>
      <c r="M9" s="31">
        <f t="shared" si="0"/>
        <v>1020</v>
      </c>
      <c r="N9" s="32">
        <f t="shared" si="0"/>
        <v>1020</v>
      </c>
    </row>
    <row r="12" spans="2:14" x14ac:dyDescent="0.35">
      <c r="B12" s="34" t="s">
        <v>1667</v>
      </c>
      <c r="C12" s="35"/>
      <c r="D12" s="35"/>
      <c r="E12" s="35"/>
      <c r="F12" s="35"/>
      <c r="G12" s="35"/>
      <c r="H12" s="35"/>
      <c r="I12" s="35"/>
      <c r="J12" s="35"/>
      <c r="K12" s="35"/>
      <c r="L12" s="35"/>
      <c r="M12" s="35"/>
      <c r="N12" s="36"/>
    </row>
    <row r="13" spans="2:14" ht="16" thickBot="1" x14ac:dyDescent="0.4">
      <c r="B13" s="33" t="s">
        <v>1628</v>
      </c>
      <c r="C13" s="22" t="s">
        <v>0</v>
      </c>
      <c r="D13" s="22" t="s">
        <v>1</v>
      </c>
      <c r="E13" s="22" t="s">
        <v>2</v>
      </c>
      <c r="F13" s="22" t="s">
        <v>3</v>
      </c>
      <c r="G13" s="22" t="s">
        <v>4</v>
      </c>
      <c r="H13" s="22" t="s">
        <v>5</v>
      </c>
      <c r="I13" s="22" t="s">
        <v>6</v>
      </c>
      <c r="J13" s="22" t="s">
        <v>7</v>
      </c>
      <c r="K13" s="22" t="s">
        <v>8</v>
      </c>
      <c r="L13" s="22" t="s">
        <v>9</v>
      </c>
      <c r="M13" s="22" t="s">
        <v>10</v>
      </c>
      <c r="N13" s="27" t="s">
        <v>11</v>
      </c>
    </row>
    <row r="14" spans="2:14" x14ac:dyDescent="0.35">
      <c r="B14" s="28" t="s">
        <v>1624</v>
      </c>
      <c r="C14" s="2">
        <f>COUNTBLANK(Before_Tbl[Employee_ID])</f>
        <v>0</v>
      </c>
      <c r="D14" s="2">
        <f>COUNTBLANK(Before_Tbl[First_Name])</f>
        <v>0</v>
      </c>
      <c r="E14" s="2">
        <f>COUNTBLANK(Before_Tbl[Last_Name])</f>
        <v>0</v>
      </c>
      <c r="F14" s="2">
        <f>COUNTBLANK(Before_Tbl[Age])</f>
        <v>211</v>
      </c>
      <c r="G14" s="2">
        <f>COUNTBLANK(Before_Tbl[Department_Region])</f>
        <v>0</v>
      </c>
      <c r="H14" s="2">
        <f>COUNTBLANK(Before_Tbl[Status])</f>
        <v>0</v>
      </c>
      <c r="I14" s="2">
        <f>COUNTBLANK(Before_Tbl[Join_Date])</f>
        <v>0</v>
      </c>
      <c r="J14" s="2">
        <f>COUNTBLANK(Before_Tbl[Salary])</f>
        <v>0</v>
      </c>
      <c r="K14" s="2">
        <f>COUNTBLANK(Before_Tbl[Email])</f>
        <v>0</v>
      </c>
      <c r="L14" s="2">
        <f>COUNTBLANK(Before_Tbl[Phone])</f>
        <v>0</v>
      </c>
      <c r="M14" s="2">
        <f>COUNTBLANK(Before_Tbl[Performance_Score])</f>
        <v>0</v>
      </c>
      <c r="N14" s="29">
        <f>COUNTBLANK(Before_Tbl[Remote_Work])</f>
        <v>0</v>
      </c>
    </row>
    <row r="15" spans="2:14" x14ac:dyDescent="0.35">
      <c r="B15" s="28" t="s">
        <v>1625</v>
      </c>
      <c r="C15" s="2" cm="1">
        <f t="array" ref="C15">COUNTA(Before_Tbl[Employee_ID])-ROWS(_xlfn.UNIQUE(_xlfn._xlws.FILTER(Before_Tbl[Employee_ID],Before_Tbl[Employee_ID]&lt;&gt;"")))</f>
        <v>0</v>
      </c>
      <c r="D15" s="2" cm="1">
        <f t="array" ref="D15">COUNTA(Before_Tbl[First_Name])-ROWS(_xlfn.UNIQUE(_xlfn._xlws.FILTER(Before_Tbl[First_Name],Before_Tbl[First_Name]&lt;&gt;"")))</f>
        <v>1012</v>
      </c>
      <c r="E15" s="2" cm="1">
        <f t="array" ref="E15">COUNTA(Before_Tbl[Last_Name])-ROWS(_xlfn.UNIQUE(_xlfn._xlws.FILTER(Before_Tbl[Last_Name],Before_Tbl[Last_Name]&lt;&gt;"")))</f>
        <v>1012</v>
      </c>
      <c r="F15" s="2" cm="1">
        <f t="array" ref="F15">COUNTA(Before_Tbl[Age])-ROWS(_xlfn.UNIQUE(_xlfn._xlws.FILTER(Before_Tbl[Age],Before_Tbl[Age]&lt;&gt;"")))</f>
        <v>805</v>
      </c>
      <c r="G15" s="2" cm="1">
        <f t="array" ref="G15">COUNTA(Before_Tbl[Department_Region])-ROWS(_xlfn.UNIQUE(_xlfn._xlws.FILTER(Before_Tbl[Department_Region],Before_Tbl[Department_Region]&lt;&gt;"")))</f>
        <v>984</v>
      </c>
      <c r="H15" s="2" cm="1">
        <f t="array" ref="H15">COUNTA(Before_Tbl[Status])-ROWS(_xlfn.UNIQUE(_xlfn._xlws.FILTER(Before_Tbl[Status],Before_Tbl[Status]&lt;&gt;"")))</f>
        <v>1017</v>
      </c>
      <c r="I15" s="2" cm="1">
        <f t="array" ref="I15">COUNTA(Before_Tbl[Join_Date])-ROWS(_xlfn.UNIQUE(_xlfn._xlws.FILTER(Before_Tbl[Join_Date],Before_Tbl[Join_Date]&lt;&gt;"")))</f>
        <v>260</v>
      </c>
      <c r="J15" s="2" cm="1">
        <f t="array" ref="J15">COUNTA(Before_Tbl[Salary])-ROWS(_xlfn.UNIQUE(_xlfn._xlws.FILTER(Before_Tbl[Salary],Before_Tbl[Salary]&lt;&gt;"")))</f>
        <v>41</v>
      </c>
      <c r="K15" s="2" cm="1">
        <f t="array" ref="K15">COUNTA(Before_Tbl[Email])-ROWS(_xlfn.UNIQUE(_xlfn._xlws.FILTER(Before_Tbl[Email],Before_Tbl[Email]&lt;&gt;"")))</f>
        <v>956</v>
      </c>
      <c r="L15" s="2" cm="1">
        <f t="array" ref="L15">COUNTA(Before_Tbl[Phone])-ROWS(_xlfn.UNIQUE(_xlfn._xlws.FILTER(Before_Tbl[Phone],Before_Tbl[Phone]&lt;&gt;"")))</f>
        <v>0</v>
      </c>
      <c r="M15" s="2" cm="1">
        <f t="array" ref="M15">COUNTA(Before_Tbl[Performance_Score])-ROWS(_xlfn.UNIQUE(_xlfn._xlws.FILTER(Before_Tbl[Performance_Score],Before_Tbl[Performance_Score]&lt;&gt;"")))</f>
        <v>1016</v>
      </c>
      <c r="N15" s="29" cm="1">
        <f t="array" ref="N15">COUNTA(Before_Tbl[Remote_Work])-ROWS(_xlfn.UNIQUE(_xlfn._xlws.FILTER(Before_Tbl[Remote_Work],Before_Tbl[Remote_Work]&lt;&gt;"")))</f>
        <v>1018</v>
      </c>
    </row>
    <row r="16" spans="2:14" x14ac:dyDescent="0.35">
      <c r="B16" s="28" t="s">
        <v>1626</v>
      </c>
      <c r="C16" s="2" cm="1">
        <f t="array" ref="C16">ROWS(_xlfn.UNIQUE(_xlfn._xlws.FILTER(Before_Tbl[Employee_ID],Before_Tbl[Employee_ID]&lt;&gt;"")))</f>
        <v>1020</v>
      </c>
      <c r="D16" s="2" cm="1">
        <f t="array" ref="D16">ROWS(_xlfn.UNIQUE(_xlfn._xlws.FILTER(Before_Tbl[First_Name],Before_Tbl[First_Name]&lt;&gt;"")))</f>
        <v>8</v>
      </c>
      <c r="E16" s="2" cm="1">
        <f t="array" ref="E16">ROWS(_xlfn.UNIQUE(_xlfn._xlws.FILTER(Before_Tbl[Last_Name],Before_Tbl[Last_Name]&lt;&gt;"")))</f>
        <v>8</v>
      </c>
      <c r="F16" s="2" cm="1">
        <f t="array" ref="F16">ROWS(_xlfn.UNIQUE(_xlfn._xlws.FILTER(Before_Tbl[Age],Before_Tbl[Age]&lt;&gt;"")))</f>
        <v>4</v>
      </c>
      <c r="G16" s="2" cm="1">
        <f t="array" ref="G16">ROWS(_xlfn.UNIQUE(_xlfn._xlws.FILTER(Before_Tbl[Department_Region],Before_Tbl[Department_Region]&lt;&gt;"")))</f>
        <v>36</v>
      </c>
      <c r="H16" s="2" cm="1">
        <f t="array" ref="H16">ROWS(_xlfn.UNIQUE(_xlfn._xlws.FILTER(Before_Tbl[Status],Before_Tbl[Status]&lt;&gt;"")))</f>
        <v>3</v>
      </c>
      <c r="I16" s="2" cm="1">
        <f t="array" ref="I16">ROWS(_xlfn.UNIQUE(_xlfn._xlws.FILTER(Before_Tbl[Join_Date],Before_Tbl[Join_Date]&lt;&gt;"")))</f>
        <v>760</v>
      </c>
      <c r="J16" s="2" cm="1">
        <f t="array" ref="J16">ROWS(_xlfn.UNIQUE(_xlfn._xlws.FILTER(Before_Tbl[Salary],Before_Tbl[Salary]&lt;&gt;"")))</f>
        <v>979</v>
      </c>
      <c r="K16" s="2" cm="1">
        <f t="array" ref="K16">ROWS(_xlfn.UNIQUE(_xlfn._xlws.FILTER(Before_Tbl[Email],Before_Tbl[Email]&lt;&gt;"")))</f>
        <v>64</v>
      </c>
      <c r="L16" s="2" cm="1">
        <f t="array" ref="L16">ROWS(_xlfn.UNIQUE(_xlfn._xlws.FILTER(Before_Tbl[Phone],Before_Tbl[Phone]&lt;&gt;"")))</f>
        <v>1020</v>
      </c>
      <c r="M16" s="2" cm="1">
        <f t="array" ref="M16">ROWS(_xlfn.UNIQUE(_xlfn._xlws.FILTER(Before_Tbl[Performance_Score],Before_Tbl[Performance_Score]&lt;&gt;"")))</f>
        <v>4</v>
      </c>
      <c r="N16" s="29" cm="1">
        <f t="array" ref="N16">ROWS(_xlfn.UNIQUE(_xlfn._xlws.FILTER(Before_Tbl[Remote_Work],Before_Tbl[Remote_Work]&lt;&gt;"")))</f>
        <v>2</v>
      </c>
    </row>
    <row r="17" spans="2:14" x14ac:dyDescent="0.35">
      <c r="B17" s="30" t="s">
        <v>1627</v>
      </c>
      <c r="C17" s="31">
        <f>SUM(C14:C16)</f>
        <v>1020</v>
      </c>
      <c r="D17" s="31">
        <f t="shared" ref="D17:N17" si="1">SUM(D14:D16)</f>
        <v>1020</v>
      </c>
      <c r="E17" s="31">
        <f t="shared" si="1"/>
        <v>1020</v>
      </c>
      <c r="F17" s="31">
        <f t="shared" si="1"/>
        <v>1020</v>
      </c>
      <c r="G17" s="31">
        <f t="shared" si="1"/>
        <v>1020</v>
      </c>
      <c r="H17" s="31">
        <f t="shared" si="1"/>
        <v>1020</v>
      </c>
      <c r="I17" s="31">
        <f t="shared" si="1"/>
        <v>1020</v>
      </c>
      <c r="J17" s="31">
        <f t="shared" si="1"/>
        <v>1020</v>
      </c>
      <c r="K17" s="31">
        <f t="shared" si="1"/>
        <v>1020</v>
      </c>
      <c r="L17" s="31">
        <f t="shared" si="1"/>
        <v>1020</v>
      </c>
      <c r="M17" s="31">
        <f t="shared" si="1"/>
        <v>1020</v>
      </c>
      <c r="N17" s="32">
        <f t="shared" si="1"/>
        <v>1020</v>
      </c>
    </row>
    <row r="19" spans="2:14" x14ac:dyDescent="0.35">
      <c r="B19" s="5" t="s">
        <v>1640</v>
      </c>
      <c r="C19" s="6" t="s">
        <v>1641</v>
      </c>
      <c r="D19" s="37" t="s">
        <v>1642</v>
      </c>
      <c r="E19" s="37"/>
      <c r="F19" s="37"/>
      <c r="G19" s="37"/>
      <c r="H19" s="37"/>
    </row>
    <row r="20" spans="2:14" ht="31" customHeight="1" x14ac:dyDescent="0.35">
      <c r="B20" s="24" t="s">
        <v>3</v>
      </c>
      <c r="C20" s="23">
        <f>MEDIAN(Before_Tbl[Age])</f>
        <v>30</v>
      </c>
      <c r="D20" s="38" t="s">
        <v>1643</v>
      </c>
      <c r="E20" s="38"/>
      <c r="F20" s="38"/>
      <c r="G20" s="38"/>
      <c r="H20" s="39"/>
    </row>
  </sheetData>
  <mergeCells count="5">
    <mergeCell ref="B4:N4"/>
    <mergeCell ref="B12:N12"/>
    <mergeCell ref="D19:H19"/>
    <mergeCell ref="D20:H20"/>
    <mergeCell ref="B2:N2"/>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76178-0245-41D9-9409-C1D5D87F2537}">
  <dimension ref="A1:AB1021"/>
  <sheetViews>
    <sheetView zoomScaleNormal="100" workbookViewId="0">
      <selection activeCell="AA2" sqref="AA2"/>
    </sheetView>
  </sheetViews>
  <sheetFormatPr defaultRowHeight="15.5" x14ac:dyDescent="0.35"/>
  <cols>
    <col min="1" max="1" width="14.4140625" bestFit="1" customWidth="1"/>
    <col min="2" max="2" width="12.9140625" bestFit="1" customWidth="1"/>
    <col min="3" max="3" width="12.5" bestFit="1" customWidth="1"/>
    <col min="4" max="4" width="6.1640625" bestFit="1" customWidth="1"/>
    <col min="5" max="5" width="20.25" bestFit="1" customWidth="1"/>
    <col min="6" max="6" width="8.08203125" bestFit="1" customWidth="1"/>
    <col min="7" max="7" width="11.5" bestFit="1" customWidth="1"/>
    <col min="8" max="8" width="11.25" bestFit="1" customWidth="1"/>
    <col min="9" max="9" width="30.9140625" bestFit="1" customWidth="1"/>
    <col min="10" max="10" width="14.5" customWidth="1"/>
    <col min="11" max="11" width="19.9140625" bestFit="1" customWidth="1"/>
    <col min="12" max="12" width="15.33203125" bestFit="1" customWidth="1"/>
    <col min="16" max="16" width="14.4140625" bestFit="1" customWidth="1"/>
    <col min="17" max="17" width="12.9140625" bestFit="1" customWidth="1"/>
    <col min="18" max="18" width="12.5" bestFit="1" customWidth="1"/>
    <col min="19" max="19" width="6.1640625" customWidth="1"/>
    <col min="20" max="20" width="18.08203125" bestFit="1" customWidth="1"/>
    <col min="21" max="21" width="13.9140625" bestFit="1" customWidth="1"/>
    <col min="22" max="22" width="8.08203125" bestFit="1" customWidth="1"/>
    <col min="23" max="23" width="16.25" bestFit="1" customWidth="1"/>
    <col min="24" max="24" width="13.58203125" bestFit="1" customWidth="1"/>
    <col min="25" max="25" width="26.08203125" bestFit="1" customWidth="1"/>
    <col min="26" max="26" width="14.5" customWidth="1"/>
    <col min="27" max="27" width="19.9140625" bestFit="1" customWidth="1"/>
    <col min="28" max="28" width="15.33203125" bestFit="1" customWidth="1"/>
  </cols>
  <sheetData>
    <row r="1" spans="1:28" x14ac:dyDescent="0.35">
      <c r="A1" s="2" t="s">
        <v>0</v>
      </c>
      <c r="B1" s="2" t="s">
        <v>1</v>
      </c>
      <c r="C1" s="2" t="s">
        <v>2</v>
      </c>
      <c r="D1" s="2" t="s">
        <v>3</v>
      </c>
      <c r="E1" s="2" t="s">
        <v>4</v>
      </c>
      <c r="F1" s="2" t="s">
        <v>5</v>
      </c>
      <c r="G1" s="2" t="s">
        <v>6</v>
      </c>
      <c r="H1" s="2" t="s">
        <v>7</v>
      </c>
      <c r="I1" s="2" t="s">
        <v>8</v>
      </c>
      <c r="J1" s="2" t="s">
        <v>9</v>
      </c>
      <c r="K1" s="2" t="s">
        <v>10</v>
      </c>
      <c r="L1" s="2" t="s">
        <v>11</v>
      </c>
      <c r="P1" s="2" t="s">
        <v>0</v>
      </c>
      <c r="Q1" s="2" t="s">
        <v>1</v>
      </c>
      <c r="R1" s="2" t="s">
        <v>2</v>
      </c>
      <c r="S1" s="2" t="s">
        <v>3</v>
      </c>
      <c r="T1" s="2" t="s">
        <v>1629</v>
      </c>
      <c r="U1" s="2" t="s">
        <v>1630</v>
      </c>
      <c r="V1" s="2" t="s">
        <v>5</v>
      </c>
      <c r="W1" s="2" t="s">
        <v>6</v>
      </c>
      <c r="X1" s="2" t="s">
        <v>7</v>
      </c>
      <c r="Y1" s="2" t="s">
        <v>8</v>
      </c>
      <c r="Z1" s="2" t="s">
        <v>9</v>
      </c>
      <c r="AA1" s="2" t="s">
        <v>10</v>
      </c>
      <c r="AB1" s="2" t="s">
        <v>11</v>
      </c>
    </row>
    <row r="2" spans="1:28" x14ac:dyDescent="0.35">
      <c r="A2" t="s">
        <v>12</v>
      </c>
      <c r="B2" t="s">
        <v>13</v>
      </c>
      <c r="C2" t="s">
        <v>14</v>
      </c>
      <c r="D2">
        <v>25</v>
      </c>
      <c r="E2" t="s">
        <v>15</v>
      </c>
      <c r="F2" t="s">
        <v>16</v>
      </c>
      <c r="G2" s="1">
        <v>44231</v>
      </c>
      <c r="H2">
        <v>59767.65</v>
      </c>
      <c r="I2" t="s">
        <v>17</v>
      </c>
      <c r="J2">
        <v>-1651623197</v>
      </c>
      <c r="K2" t="s">
        <v>18</v>
      </c>
      <c r="L2" t="b">
        <v>1</v>
      </c>
      <c r="P2" t="str">
        <f>TRIM(Before_Tbl[[#This Row],[Employee_ID]])</f>
        <v>EMP1000</v>
      </c>
      <c r="Q2" t="str">
        <f>TRIM(PROPER(Before_Tbl[[#This Row],[First_Name]]))</f>
        <v>Bob</v>
      </c>
      <c r="R2" t="str">
        <f>TRIM(PROPER(Before_Tbl[[#This Row],[Last_Name]]))</f>
        <v>Davis</v>
      </c>
      <c r="S2" s="25">
        <f t="shared" ref="S2:S65" si="0">IF(ISBLANK(D2),30,D2)</f>
        <v>25</v>
      </c>
      <c r="T2" t="str">
        <f>LEFT(Before_Tbl[[#This Row],[Department_Region]],FIND("-",Before_Tbl[[#This Row],[Department_Region]])-1)</f>
        <v>DevOps</v>
      </c>
      <c r="U2" t="str">
        <f>RIGHT(Before_Tbl[[#This Row],[Department_Region]],LEN(Before_Tbl[[#This Row],[Department_Region]])-FIND("-",Before_Tbl[[#This Row],[Department_Region]]))</f>
        <v>California</v>
      </c>
      <c r="V2" t="str">
        <f>TRIM(PROPER(Before_Tbl[[#This Row],[Status]]))</f>
        <v>Active</v>
      </c>
      <c r="W2" s="26">
        <v>44231</v>
      </c>
      <c r="X2" s="4">
        <v>59767.65</v>
      </c>
      <c r="Y2" t="str">
        <f>TRIM(LOWER(Before_Tbl[[#This Row],[Email]]))</f>
        <v>bob.davis@example.com</v>
      </c>
      <c r="Z2" s="2" t="str">
        <f>SUBSTITUTE(Before_Tbl[[#This Row],[Phone]],"-","")</f>
        <v>1651623197</v>
      </c>
      <c r="AA2" t="str">
        <f>TRIM(PROPER(Before_Tbl[[#This Row],[Performance_Score]]))</f>
        <v>Average</v>
      </c>
      <c r="AB2" s="2" t="str">
        <f>TRIM(UPPER(Before_Tbl[[#This Row],[Remote_Work]]))</f>
        <v>TRUE</v>
      </c>
    </row>
    <row r="3" spans="1:28" x14ac:dyDescent="0.35">
      <c r="A3" t="s">
        <v>19</v>
      </c>
      <c r="B3" t="s">
        <v>13</v>
      </c>
      <c r="C3" t="s">
        <v>20</v>
      </c>
      <c r="E3" t="s">
        <v>21</v>
      </c>
      <c r="F3" t="s">
        <v>16</v>
      </c>
      <c r="G3" s="1">
        <v>44111</v>
      </c>
      <c r="H3">
        <v>65304.66</v>
      </c>
      <c r="I3" t="s">
        <v>22</v>
      </c>
      <c r="J3">
        <v>-1898471390</v>
      </c>
      <c r="K3" t="s">
        <v>23</v>
      </c>
      <c r="L3" t="b">
        <v>1</v>
      </c>
      <c r="P3" t="str">
        <f>TRIM(Before_Tbl[[#This Row],[Employee_ID]])</f>
        <v>EMP1001</v>
      </c>
      <c r="Q3" t="str">
        <f>TRIM(PROPER(Before_Tbl[[#This Row],[First_Name]]))</f>
        <v>Bob</v>
      </c>
      <c r="R3" t="str">
        <f>TRIM(PROPER(Before_Tbl[[#This Row],[Last_Name]]))</f>
        <v>Brown</v>
      </c>
      <c r="S3" s="25">
        <f t="shared" si="0"/>
        <v>30</v>
      </c>
      <c r="T3" t="str">
        <f>LEFT(Before_Tbl[[#This Row],[Department_Region]],FIND("-",Before_Tbl[[#This Row],[Department_Region]])-1)</f>
        <v>Finance</v>
      </c>
      <c r="U3" t="str">
        <f>RIGHT(Before_Tbl[[#This Row],[Department_Region]],LEN(Before_Tbl[[#This Row],[Department_Region]])-FIND("-",Before_Tbl[[#This Row],[Department_Region]]))</f>
        <v>Texas</v>
      </c>
      <c r="V3" t="str">
        <f>TRIM(PROPER(Before_Tbl[[#This Row],[Status]]))</f>
        <v>Active</v>
      </c>
      <c r="W3" s="26">
        <v>44111</v>
      </c>
      <c r="X3" s="4">
        <v>65304.66</v>
      </c>
      <c r="Y3" t="str">
        <f>TRIM(LOWER(Before_Tbl[[#This Row],[Email]]))</f>
        <v>bob.brown@example.com</v>
      </c>
      <c r="Z3" s="2" t="str">
        <f>SUBSTITUTE(Before_Tbl[[#This Row],[Phone]],"-","")</f>
        <v>1898471390</v>
      </c>
      <c r="AA3" t="str">
        <f>TRIM(PROPER(Before_Tbl[[#This Row],[Performance_Score]]))</f>
        <v>Excellent</v>
      </c>
      <c r="AB3" s="2" t="str">
        <f>TRIM(UPPER(Before_Tbl[[#This Row],[Remote_Work]]))</f>
        <v>TRUE</v>
      </c>
    </row>
    <row r="4" spans="1:28" x14ac:dyDescent="0.35">
      <c r="A4" t="s">
        <v>24</v>
      </c>
      <c r="B4" t="s">
        <v>25</v>
      </c>
      <c r="C4" t="s">
        <v>26</v>
      </c>
      <c r="E4" t="s">
        <v>27</v>
      </c>
      <c r="F4" t="s">
        <v>28</v>
      </c>
      <c r="G4" s="1">
        <v>45119</v>
      </c>
      <c r="H4">
        <v>88145.9</v>
      </c>
      <c r="I4" t="s">
        <v>29</v>
      </c>
      <c r="J4">
        <v>-5596363211</v>
      </c>
      <c r="K4" t="s">
        <v>30</v>
      </c>
      <c r="L4" t="b">
        <v>1</v>
      </c>
      <c r="P4" t="str">
        <f>TRIM(Before_Tbl[[#This Row],[Employee_ID]])</f>
        <v>EMP1002</v>
      </c>
      <c r="Q4" t="str">
        <f>TRIM(PROPER(Before_Tbl[[#This Row],[First_Name]]))</f>
        <v>Alice</v>
      </c>
      <c r="R4" t="str">
        <f>TRIM(PROPER(Before_Tbl[[#This Row],[Last_Name]]))</f>
        <v>Jones</v>
      </c>
      <c r="S4" s="25">
        <f t="shared" si="0"/>
        <v>30</v>
      </c>
      <c r="T4" t="str">
        <f>LEFT(Before_Tbl[[#This Row],[Department_Region]],FIND("-",Before_Tbl[[#This Row],[Department_Region]])-1)</f>
        <v>Admin</v>
      </c>
      <c r="U4" t="str">
        <f>RIGHT(Before_Tbl[[#This Row],[Department_Region]],LEN(Before_Tbl[[#This Row],[Department_Region]])-FIND("-",Before_Tbl[[#This Row],[Department_Region]]))</f>
        <v>Nevada</v>
      </c>
      <c r="V4" t="str">
        <f>TRIM(PROPER(Before_Tbl[[#This Row],[Status]]))</f>
        <v>Pending</v>
      </c>
      <c r="W4" s="26">
        <v>45119</v>
      </c>
      <c r="X4" s="4">
        <v>88145.9</v>
      </c>
      <c r="Y4" t="str">
        <f>TRIM(LOWER(Before_Tbl[[#This Row],[Email]]))</f>
        <v>alice.jones@example.com</v>
      </c>
      <c r="Z4" s="2" t="str">
        <f>SUBSTITUTE(Before_Tbl[[#This Row],[Phone]],"-","")</f>
        <v>5596363211</v>
      </c>
      <c r="AA4" t="str">
        <f>TRIM(PROPER(Before_Tbl[[#This Row],[Performance_Score]]))</f>
        <v>Good</v>
      </c>
      <c r="AB4" s="2" t="str">
        <f>TRIM(UPPER(Before_Tbl[[#This Row],[Remote_Work]]))</f>
        <v>TRUE</v>
      </c>
    </row>
    <row r="5" spans="1:28" x14ac:dyDescent="0.35">
      <c r="A5" t="s">
        <v>31</v>
      </c>
      <c r="B5" t="s">
        <v>32</v>
      </c>
      <c r="C5" t="s">
        <v>14</v>
      </c>
      <c r="D5">
        <v>25</v>
      </c>
      <c r="E5" t="s">
        <v>27</v>
      </c>
      <c r="F5" t="s">
        <v>33</v>
      </c>
      <c r="G5" t="s">
        <v>34</v>
      </c>
      <c r="H5">
        <v>69450.990000000005</v>
      </c>
      <c r="I5" t="s">
        <v>35</v>
      </c>
      <c r="J5">
        <v>-3476490784</v>
      </c>
      <c r="K5" t="s">
        <v>30</v>
      </c>
      <c r="L5" t="b">
        <v>1</v>
      </c>
      <c r="P5" t="str">
        <f>TRIM(Before_Tbl[[#This Row],[Employee_ID]])</f>
        <v>EMP1003</v>
      </c>
      <c r="Q5" t="str">
        <f>TRIM(PROPER(Before_Tbl[[#This Row],[First_Name]]))</f>
        <v>Eva</v>
      </c>
      <c r="R5" t="str">
        <f>TRIM(PROPER(Before_Tbl[[#This Row],[Last_Name]]))</f>
        <v>Davis</v>
      </c>
      <c r="S5" s="25">
        <f t="shared" si="0"/>
        <v>25</v>
      </c>
      <c r="T5" t="str">
        <f>LEFT(Before_Tbl[[#This Row],[Department_Region]],FIND("-",Before_Tbl[[#This Row],[Department_Region]])-1)</f>
        <v>Admin</v>
      </c>
      <c r="U5" t="str">
        <f>RIGHT(Before_Tbl[[#This Row],[Department_Region]],LEN(Before_Tbl[[#This Row],[Department_Region]])-FIND("-",Before_Tbl[[#This Row],[Department_Region]]))</f>
        <v>Nevada</v>
      </c>
      <c r="V5" t="str">
        <f>TRIM(PROPER(Before_Tbl[[#This Row],[Status]]))</f>
        <v>Inactive</v>
      </c>
      <c r="W5" s="26">
        <v>44527</v>
      </c>
      <c r="X5" s="4">
        <v>69450.990000000005</v>
      </c>
      <c r="Y5" t="str">
        <f>TRIM(LOWER(Before_Tbl[[#This Row],[Email]]))</f>
        <v>eva.davis@example.com</v>
      </c>
      <c r="Z5" s="2" t="str">
        <f>SUBSTITUTE(Before_Tbl[[#This Row],[Phone]],"-","")</f>
        <v>3476490784</v>
      </c>
      <c r="AA5" t="str">
        <f>TRIM(PROPER(Before_Tbl[[#This Row],[Performance_Score]]))</f>
        <v>Good</v>
      </c>
      <c r="AB5" s="2" t="str">
        <f>TRIM(UPPER(Before_Tbl[[#This Row],[Remote_Work]]))</f>
        <v>TRUE</v>
      </c>
    </row>
    <row r="6" spans="1:28" x14ac:dyDescent="0.35">
      <c r="A6" t="s">
        <v>36</v>
      </c>
      <c r="B6" t="s">
        <v>37</v>
      </c>
      <c r="C6" t="s">
        <v>38</v>
      </c>
      <c r="D6">
        <v>25</v>
      </c>
      <c r="E6" t="s">
        <v>39</v>
      </c>
      <c r="F6" t="s">
        <v>16</v>
      </c>
      <c r="G6" s="1">
        <v>44682</v>
      </c>
      <c r="H6">
        <v>109324.61</v>
      </c>
      <c r="I6" t="s">
        <v>40</v>
      </c>
      <c r="J6">
        <v>-1586734256</v>
      </c>
      <c r="K6" t="s">
        <v>41</v>
      </c>
      <c r="L6" t="b">
        <v>0</v>
      </c>
      <c r="P6" t="str">
        <f>TRIM(Before_Tbl[[#This Row],[Employee_ID]])</f>
        <v>EMP1004</v>
      </c>
      <c r="Q6" t="str">
        <f>TRIM(PROPER(Before_Tbl[[#This Row],[First_Name]]))</f>
        <v>Frank</v>
      </c>
      <c r="R6" t="str">
        <f>TRIM(PROPER(Before_Tbl[[#This Row],[Last_Name]]))</f>
        <v>Williams</v>
      </c>
      <c r="S6" s="25">
        <f t="shared" si="0"/>
        <v>25</v>
      </c>
      <c r="T6" t="str">
        <f>LEFT(Before_Tbl[[#This Row],[Department_Region]],FIND("-",Before_Tbl[[#This Row],[Department_Region]])-1)</f>
        <v>Cloud Tech</v>
      </c>
      <c r="U6" t="str">
        <f>RIGHT(Before_Tbl[[#This Row],[Department_Region]],LEN(Before_Tbl[[#This Row],[Department_Region]])-FIND("-",Before_Tbl[[#This Row],[Department_Region]]))</f>
        <v>Florida</v>
      </c>
      <c r="V6" t="str">
        <f>TRIM(PROPER(Before_Tbl[[#This Row],[Status]]))</f>
        <v>Active</v>
      </c>
      <c r="W6" s="26">
        <v>44682</v>
      </c>
      <c r="X6" s="4">
        <v>109324.61</v>
      </c>
      <c r="Y6" t="str">
        <f>TRIM(LOWER(Before_Tbl[[#This Row],[Email]]))</f>
        <v>frank.williams@example.com</v>
      </c>
      <c r="Z6" s="2" t="str">
        <f>SUBSTITUTE(Before_Tbl[[#This Row],[Phone]],"-","")</f>
        <v>1586734256</v>
      </c>
      <c r="AA6" t="str">
        <f>TRIM(PROPER(Before_Tbl[[#This Row],[Performance_Score]]))</f>
        <v>Poor</v>
      </c>
      <c r="AB6" s="2" t="str">
        <f>TRIM(UPPER(Before_Tbl[[#This Row],[Remote_Work]]))</f>
        <v>FALSE</v>
      </c>
    </row>
    <row r="7" spans="1:28" x14ac:dyDescent="0.35">
      <c r="A7" t="s">
        <v>42</v>
      </c>
      <c r="B7" t="s">
        <v>25</v>
      </c>
      <c r="C7" t="s">
        <v>43</v>
      </c>
      <c r="D7">
        <v>40</v>
      </c>
      <c r="E7" t="s">
        <v>44</v>
      </c>
      <c r="F7" t="s">
        <v>33</v>
      </c>
      <c r="G7" s="1">
        <v>44110</v>
      </c>
      <c r="H7">
        <v>88642.84</v>
      </c>
      <c r="I7" t="s">
        <v>45</v>
      </c>
      <c r="J7">
        <v>-5409003485</v>
      </c>
      <c r="K7" t="s">
        <v>30</v>
      </c>
      <c r="L7" t="b">
        <v>0</v>
      </c>
      <c r="P7" t="str">
        <f>TRIM(Before_Tbl[[#This Row],[Employee_ID]])</f>
        <v>EMP1005</v>
      </c>
      <c r="Q7" t="str">
        <f>TRIM(PROPER(Before_Tbl[[#This Row],[First_Name]]))</f>
        <v>Alice</v>
      </c>
      <c r="R7" t="str">
        <f>TRIM(PROPER(Before_Tbl[[#This Row],[Last_Name]]))</f>
        <v>Garcia</v>
      </c>
      <c r="S7" s="25">
        <f t="shared" si="0"/>
        <v>40</v>
      </c>
      <c r="T7" t="str">
        <f>LEFT(Before_Tbl[[#This Row],[Department_Region]],FIND("-",Before_Tbl[[#This Row],[Department_Region]])-1)</f>
        <v>Sales</v>
      </c>
      <c r="U7" t="str">
        <f>RIGHT(Before_Tbl[[#This Row],[Department_Region]],LEN(Before_Tbl[[#This Row],[Department_Region]])-FIND("-",Before_Tbl[[#This Row],[Department_Region]]))</f>
        <v>Texas</v>
      </c>
      <c r="V7" t="str">
        <f>TRIM(PROPER(Before_Tbl[[#This Row],[Status]]))</f>
        <v>Inactive</v>
      </c>
      <c r="W7" s="26">
        <v>44110</v>
      </c>
      <c r="X7" s="4">
        <v>88642.84</v>
      </c>
      <c r="Y7" t="str">
        <f>TRIM(LOWER(Before_Tbl[[#This Row],[Email]]))</f>
        <v>alice.garcia@example.com</v>
      </c>
      <c r="Z7" s="2" t="str">
        <f>SUBSTITUTE(Before_Tbl[[#This Row],[Phone]],"-","")</f>
        <v>5409003485</v>
      </c>
      <c r="AA7" t="str">
        <f>TRIM(PROPER(Before_Tbl[[#This Row],[Performance_Score]]))</f>
        <v>Good</v>
      </c>
      <c r="AB7" s="2" t="str">
        <f>TRIM(UPPER(Before_Tbl[[#This Row],[Remote_Work]]))</f>
        <v>FALSE</v>
      </c>
    </row>
    <row r="8" spans="1:28" x14ac:dyDescent="0.35">
      <c r="A8" t="s">
        <v>46</v>
      </c>
      <c r="B8" t="s">
        <v>37</v>
      </c>
      <c r="C8" t="s">
        <v>26</v>
      </c>
      <c r="E8" t="s">
        <v>27</v>
      </c>
      <c r="F8" t="s">
        <v>16</v>
      </c>
      <c r="G8" s="1">
        <v>43894</v>
      </c>
      <c r="H8">
        <v>96288.43</v>
      </c>
      <c r="I8" t="s">
        <v>47</v>
      </c>
      <c r="J8">
        <v>-4518376063</v>
      </c>
      <c r="K8" t="s">
        <v>30</v>
      </c>
      <c r="L8" t="b">
        <v>0</v>
      </c>
      <c r="P8" t="str">
        <f>TRIM(Before_Tbl[[#This Row],[Employee_ID]])</f>
        <v>EMP1006</v>
      </c>
      <c r="Q8" t="str">
        <f>TRIM(PROPER(Before_Tbl[[#This Row],[First_Name]]))</f>
        <v>Frank</v>
      </c>
      <c r="R8" t="str">
        <f>TRIM(PROPER(Before_Tbl[[#This Row],[Last_Name]]))</f>
        <v>Jones</v>
      </c>
      <c r="S8" s="25">
        <f t="shared" si="0"/>
        <v>30</v>
      </c>
      <c r="T8" t="str">
        <f>LEFT(Before_Tbl[[#This Row],[Department_Region]],FIND("-",Before_Tbl[[#This Row],[Department_Region]])-1)</f>
        <v>Admin</v>
      </c>
      <c r="U8" t="str">
        <f>RIGHT(Before_Tbl[[#This Row],[Department_Region]],LEN(Before_Tbl[[#This Row],[Department_Region]])-FIND("-",Before_Tbl[[#This Row],[Department_Region]]))</f>
        <v>Nevada</v>
      </c>
      <c r="V8" t="str">
        <f>TRIM(PROPER(Before_Tbl[[#This Row],[Status]]))</f>
        <v>Active</v>
      </c>
      <c r="W8" s="26">
        <v>43894</v>
      </c>
      <c r="X8" s="4">
        <v>96288.43</v>
      </c>
      <c r="Y8" t="str">
        <f>TRIM(LOWER(Before_Tbl[[#This Row],[Email]]))</f>
        <v>frank.jones@example.com</v>
      </c>
      <c r="Z8" s="2" t="str">
        <f>SUBSTITUTE(Before_Tbl[[#This Row],[Phone]],"-","")</f>
        <v>4518376063</v>
      </c>
      <c r="AA8" t="str">
        <f>TRIM(PROPER(Before_Tbl[[#This Row],[Performance_Score]]))</f>
        <v>Good</v>
      </c>
      <c r="AB8" s="2" t="str">
        <f>TRIM(UPPER(Before_Tbl[[#This Row],[Remote_Work]]))</f>
        <v>FALSE</v>
      </c>
    </row>
    <row r="9" spans="1:28" x14ac:dyDescent="0.35">
      <c r="A9" t="s">
        <v>48</v>
      </c>
      <c r="B9" t="s">
        <v>13</v>
      </c>
      <c r="C9" t="s">
        <v>26</v>
      </c>
      <c r="D9">
        <v>30</v>
      </c>
      <c r="E9" t="s">
        <v>39</v>
      </c>
      <c r="F9" t="s">
        <v>33</v>
      </c>
      <c r="G9" t="s">
        <v>49</v>
      </c>
      <c r="H9">
        <v>94497.91</v>
      </c>
      <c r="I9" t="s">
        <v>50</v>
      </c>
      <c r="J9">
        <v>-4134327559</v>
      </c>
      <c r="K9" t="s">
        <v>18</v>
      </c>
      <c r="L9" t="b">
        <v>1</v>
      </c>
      <c r="P9" t="str">
        <f>TRIM(Before_Tbl[[#This Row],[Employee_ID]])</f>
        <v>EMP1007</v>
      </c>
      <c r="Q9" t="str">
        <f>TRIM(PROPER(Before_Tbl[[#This Row],[First_Name]]))</f>
        <v>Bob</v>
      </c>
      <c r="R9" t="str">
        <f>TRIM(PROPER(Before_Tbl[[#This Row],[Last_Name]]))</f>
        <v>Jones</v>
      </c>
      <c r="S9" s="25">
        <f t="shared" si="0"/>
        <v>30</v>
      </c>
      <c r="T9" t="str">
        <f>LEFT(Before_Tbl[[#This Row],[Department_Region]],FIND("-",Before_Tbl[[#This Row],[Department_Region]])-1)</f>
        <v>Cloud Tech</v>
      </c>
      <c r="U9" t="str">
        <f>RIGHT(Before_Tbl[[#This Row],[Department_Region]],LEN(Before_Tbl[[#This Row],[Department_Region]])-FIND("-",Before_Tbl[[#This Row],[Department_Region]]))</f>
        <v>Florida</v>
      </c>
      <c r="V9" t="str">
        <f>TRIM(PROPER(Before_Tbl[[#This Row],[Status]]))</f>
        <v>Inactive</v>
      </c>
      <c r="W9" s="26">
        <v>44759</v>
      </c>
      <c r="X9" s="4">
        <v>94497.91</v>
      </c>
      <c r="Y9" t="str">
        <f>TRIM(LOWER(Before_Tbl[[#This Row],[Email]]))</f>
        <v>bob.jones@example.com</v>
      </c>
      <c r="Z9" s="2" t="str">
        <f>SUBSTITUTE(Before_Tbl[[#This Row],[Phone]],"-","")</f>
        <v>4134327559</v>
      </c>
      <c r="AA9" t="str">
        <f>TRIM(PROPER(Before_Tbl[[#This Row],[Performance_Score]]))</f>
        <v>Average</v>
      </c>
      <c r="AB9" s="2" t="str">
        <f>TRIM(UPPER(Before_Tbl[[#This Row],[Remote_Work]]))</f>
        <v>TRUE</v>
      </c>
    </row>
    <row r="10" spans="1:28" x14ac:dyDescent="0.35">
      <c r="A10" t="s">
        <v>51</v>
      </c>
      <c r="B10" t="s">
        <v>37</v>
      </c>
      <c r="C10" t="s">
        <v>14</v>
      </c>
      <c r="D10">
        <v>35</v>
      </c>
      <c r="E10" t="s">
        <v>27</v>
      </c>
      <c r="F10" t="s">
        <v>33</v>
      </c>
      <c r="G10" s="1">
        <v>45150</v>
      </c>
      <c r="H10">
        <v>115565.82</v>
      </c>
      <c r="I10" t="s">
        <v>52</v>
      </c>
      <c r="J10">
        <v>-4177656123</v>
      </c>
      <c r="K10" t="s">
        <v>23</v>
      </c>
      <c r="L10" t="b">
        <v>1</v>
      </c>
      <c r="P10" t="str">
        <f>TRIM(Before_Tbl[[#This Row],[Employee_ID]])</f>
        <v>EMP1008</v>
      </c>
      <c r="Q10" t="str">
        <f>TRIM(PROPER(Before_Tbl[[#This Row],[First_Name]]))</f>
        <v>Frank</v>
      </c>
      <c r="R10" t="str">
        <f>TRIM(PROPER(Before_Tbl[[#This Row],[Last_Name]]))</f>
        <v>Davis</v>
      </c>
      <c r="S10" s="25">
        <f t="shared" si="0"/>
        <v>35</v>
      </c>
      <c r="T10" t="str">
        <f>LEFT(Before_Tbl[[#This Row],[Department_Region]],FIND("-",Before_Tbl[[#This Row],[Department_Region]])-1)</f>
        <v>Admin</v>
      </c>
      <c r="U10" t="str">
        <f>RIGHT(Before_Tbl[[#This Row],[Department_Region]],LEN(Before_Tbl[[#This Row],[Department_Region]])-FIND("-",Before_Tbl[[#This Row],[Department_Region]]))</f>
        <v>Nevada</v>
      </c>
      <c r="V10" t="str">
        <f>TRIM(PROPER(Before_Tbl[[#This Row],[Status]]))</f>
        <v>Inactive</v>
      </c>
      <c r="W10" s="26">
        <v>45150</v>
      </c>
      <c r="X10" s="4">
        <v>115565.82</v>
      </c>
      <c r="Y10" t="str">
        <f>TRIM(LOWER(Before_Tbl[[#This Row],[Email]]))</f>
        <v>frank.davis@example.com</v>
      </c>
      <c r="Z10" s="2" t="str">
        <f>SUBSTITUTE(Before_Tbl[[#This Row],[Phone]],"-","")</f>
        <v>4177656123</v>
      </c>
      <c r="AA10" t="str">
        <f>TRIM(PROPER(Before_Tbl[[#This Row],[Performance_Score]]))</f>
        <v>Excellent</v>
      </c>
      <c r="AB10" s="2" t="str">
        <f>TRIM(UPPER(Before_Tbl[[#This Row],[Remote_Work]]))</f>
        <v>TRUE</v>
      </c>
    </row>
    <row r="11" spans="1:28" x14ac:dyDescent="0.35">
      <c r="A11" t="s">
        <v>53</v>
      </c>
      <c r="B11" t="s">
        <v>54</v>
      </c>
      <c r="C11" t="s">
        <v>55</v>
      </c>
      <c r="E11" t="s">
        <v>56</v>
      </c>
      <c r="F11" t="s">
        <v>16</v>
      </c>
      <c r="G11" s="1">
        <v>44659</v>
      </c>
      <c r="H11">
        <v>76561.88</v>
      </c>
      <c r="I11" t="s">
        <v>57</v>
      </c>
      <c r="J11">
        <v>-8156985699</v>
      </c>
      <c r="K11" t="s">
        <v>23</v>
      </c>
      <c r="L11" t="b">
        <v>1</v>
      </c>
      <c r="P11" t="str">
        <f>TRIM(Before_Tbl[[#This Row],[Employee_ID]])</f>
        <v>EMP1009</v>
      </c>
      <c r="Q11" t="str">
        <f>TRIM(PROPER(Before_Tbl[[#This Row],[First_Name]]))</f>
        <v>Charlie</v>
      </c>
      <c r="R11" t="str">
        <f>TRIM(PROPER(Before_Tbl[[#This Row],[Last_Name]]))</f>
        <v>Johnson</v>
      </c>
      <c r="S11" s="25">
        <f t="shared" si="0"/>
        <v>30</v>
      </c>
      <c r="T11" t="str">
        <f>LEFT(Before_Tbl[[#This Row],[Department_Region]],FIND("-",Before_Tbl[[#This Row],[Department_Region]])-1)</f>
        <v>DevOps</v>
      </c>
      <c r="U11" t="str">
        <f>RIGHT(Before_Tbl[[#This Row],[Department_Region]],LEN(Before_Tbl[[#This Row],[Department_Region]])-FIND("-",Before_Tbl[[#This Row],[Department_Region]]))</f>
        <v>New York</v>
      </c>
      <c r="V11" t="str">
        <f>TRIM(PROPER(Before_Tbl[[#This Row],[Status]]))</f>
        <v>Active</v>
      </c>
      <c r="W11" s="26">
        <v>44659</v>
      </c>
      <c r="X11" s="4">
        <v>76561.88</v>
      </c>
      <c r="Y11" t="str">
        <f>TRIM(LOWER(Before_Tbl[[#This Row],[Email]]))</f>
        <v>charlie.johnson@example.com</v>
      </c>
      <c r="Z11" s="2" t="str">
        <f>SUBSTITUTE(Before_Tbl[[#This Row],[Phone]],"-","")</f>
        <v>8156985699</v>
      </c>
      <c r="AA11" t="str">
        <f>TRIM(PROPER(Before_Tbl[[#This Row],[Performance_Score]]))</f>
        <v>Excellent</v>
      </c>
      <c r="AB11" s="2" t="str">
        <f>TRIM(UPPER(Before_Tbl[[#This Row],[Remote_Work]]))</f>
        <v>TRUE</v>
      </c>
    </row>
    <row r="12" spans="1:28" x14ac:dyDescent="0.35">
      <c r="A12" t="s">
        <v>58</v>
      </c>
      <c r="B12" t="s">
        <v>59</v>
      </c>
      <c r="C12" t="s">
        <v>38</v>
      </c>
      <c r="D12">
        <v>35</v>
      </c>
      <c r="E12" t="s">
        <v>60</v>
      </c>
      <c r="F12" t="s">
        <v>16</v>
      </c>
      <c r="G12" s="1">
        <v>45450</v>
      </c>
      <c r="H12">
        <v>72081.710000000006</v>
      </c>
      <c r="I12" t="s">
        <v>61</v>
      </c>
      <c r="J12">
        <v>-2720634590</v>
      </c>
      <c r="K12" t="s">
        <v>18</v>
      </c>
      <c r="L12" t="b">
        <v>0</v>
      </c>
      <c r="P12" t="str">
        <f>TRIM(Before_Tbl[[#This Row],[Employee_ID]])</f>
        <v>EMP1010</v>
      </c>
      <c r="Q12" t="str">
        <f>TRIM(PROPER(Before_Tbl[[#This Row],[First_Name]]))</f>
        <v>David</v>
      </c>
      <c r="R12" t="str">
        <f>TRIM(PROPER(Before_Tbl[[#This Row],[Last_Name]]))</f>
        <v>Williams</v>
      </c>
      <c r="S12" s="25">
        <f t="shared" si="0"/>
        <v>35</v>
      </c>
      <c r="T12" t="str">
        <f>LEFT(Before_Tbl[[#This Row],[Department_Region]],FIND("-",Before_Tbl[[#This Row],[Department_Region]])-1)</f>
        <v>Cloud Tech</v>
      </c>
      <c r="U12" t="str">
        <f>RIGHT(Before_Tbl[[#This Row],[Department_Region]],LEN(Before_Tbl[[#This Row],[Department_Region]])-FIND("-",Before_Tbl[[#This Row],[Department_Region]]))</f>
        <v>New York</v>
      </c>
      <c r="V12" t="str">
        <f>TRIM(PROPER(Before_Tbl[[#This Row],[Status]]))</f>
        <v>Active</v>
      </c>
      <c r="W12" s="26">
        <v>45450</v>
      </c>
      <c r="X12" s="4">
        <v>72081.710000000006</v>
      </c>
      <c r="Y12" t="str">
        <f>TRIM(LOWER(Before_Tbl[[#This Row],[Email]]))</f>
        <v>david.williams@example.com</v>
      </c>
      <c r="Z12" s="2" t="str">
        <f>SUBSTITUTE(Before_Tbl[[#This Row],[Phone]],"-","")</f>
        <v>2720634590</v>
      </c>
      <c r="AA12" t="str">
        <f>TRIM(PROPER(Before_Tbl[[#This Row],[Performance_Score]]))</f>
        <v>Average</v>
      </c>
      <c r="AB12" s="2" t="str">
        <f>TRIM(UPPER(Before_Tbl[[#This Row],[Remote_Work]]))</f>
        <v>FALSE</v>
      </c>
    </row>
    <row r="13" spans="1:28" x14ac:dyDescent="0.35">
      <c r="A13" t="s">
        <v>62</v>
      </c>
      <c r="B13" t="s">
        <v>59</v>
      </c>
      <c r="C13" t="s">
        <v>14</v>
      </c>
      <c r="E13" t="s">
        <v>15</v>
      </c>
      <c r="F13" t="s">
        <v>16</v>
      </c>
      <c r="G13" s="1">
        <v>45025</v>
      </c>
      <c r="H13">
        <v>84946.19</v>
      </c>
      <c r="I13" t="s">
        <v>63</v>
      </c>
      <c r="J13">
        <v>-1238296576</v>
      </c>
      <c r="K13" t="s">
        <v>41</v>
      </c>
      <c r="L13" t="b">
        <v>1</v>
      </c>
      <c r="P13" t="str">
        <f>TRIM(Before_Tbl[[#This Row],[Employee_ID]])</f>
        <v>EMP1011</v>
      </c>
      <c r="Q13" t="str">
        <f>TRIM(PROPER(Before_Tbl[[#This Row],[First_Name]]))</f>
        <v>David</v>
      </c>
      <c r="R13" t="str">
        <f>TRIM(PROPER(Before_Tbl[[#This Row],[Last_Name]]))</f>
        <v>Davis</v>
      </c>
      <c r="S13" s="25">
        <f t="shared" si="0"/>
        <v>30</v>
      </c>
      <c r="T13" t="str">
        <f>LEFT(Before_Tbl[[#This Row],[Department_Region]],FIND("-",Before_Tbl[[#This Row],[Department_Region]])-1)</f>
        <v>DevOps</v>
      </c>
      <c r="U13" t="str">
        <f>RIGHT(Before_Tbl[[#This Row],[Department_Region]],LEN(Before_Tbl[[#This Row],[Department_Region]])-FIND("-",Before_Tbl[[#This Row],[Department_Region]]))</f>
        <v>California</v>
      </c>
      <c r="V13" t="str">
        <f>TRIM(PROPER(Before_Tbl[[#This Row],[Status]]))</f>
        <v>Active</v>
      </c>
      <c r="W13" s="26">
        <v>45025</v>
      </c>
      <c r="X13" s="4">
        <v>84946.19</v>
      </c>
      <c r="Y13" t="str">
        <f>TRIM(LOWER(Before_Tbl[[#This Row],[Email]]))</f>
        <v>david.davis@example.com</v>
      </c>
      <c r="Z13" s="2" t="str">
        <f>SUBSTITUTE(Before_Tbl[[#This Row],[Phone]],"-","")</f>
        <v>1238296576</v>
      </c>
      <c r="AA13" t="str">
        <f>TRIM(PROPER(Before_Tbl[[#This Row],[Performance_Score]]))</f>
        <v>Poor</v>
      </c>
      <c r="AB13" s="2" t="str">
        <f>TRIM(UPPER(Before_Tbl[[#This Row],[Remote_Work]]))</f>
        <v>TRUE</v>
      </c>
    </row>
    <row r="14" spans="1:28" x14ac:dyDescent="0.35">
      <c r="A14" t="s">
        <v>64</v>
      </c>
      <c r="B14" t="s">
        <v>65</v>
      </c>
      <c r="C14" t="s">
        <v>38</v>
      </c>
      <c r="D14">
        <v>30</v>
      </c>
      <c r="E14" t="s">
        <v>66</v>
      </c>
      <c r="F14" t="s">
        <v>16</v>
      </c>
      <c r="G14" s="1">
        <v>45415</v>
      </c>
      <c r="H14">
        <v>89295.77</v>
      </c>
      <c r="I14" t="s">
        <v>67</v>
      </c>
      <c r="J14">
        <v>-2429543164</v>
      </c>
      <c r="K14" t="s">
        <v>23</v>
      </c>
      <c r="L14" t="b">
        <v>0</v>
      </c>
      <c r="P14" t="str">
        <f>TRIM(Before_Tbl[[#This Row],[Employee_ID]])</f>
        <v>EMP1012</v>
      </c>
      <c r="Q14" t="str">
        <f>TRIM(PROPER(Before_Tbl[[#This Row],[First_Name]]))</f>
        <v>Heidi</v>
      </c>
      <c r="R14" t="str">
        <f>TRIM(PROPER(Before_Tbl[[#This Row],[Last_Name]]))</f>
        <v>Williams</v>
      </c>
      <c r="S14" s="25">
        <f t="shared" si="0"/>
        <v>30</v>
      </c>
      <c r="T14" t="str">
        <f>LEFT(Before_Tbl[[#This Row],[Department_Region]],FIND("-",Before_Tbl[[#This Row],[Department_Region]])-1)</f>
        <v>HR</v>
      </c>
      <c r="U14" t="str">
        <f>RIGHT(Before_Tbl[[#This Row],[Department_Region]],LEN(Before_Tbl[[#This Row],[Department_Region]])-FIND("-",Before_Tbl[[#This Row],[Department_Region]]))</f>
        <v>New York</v>
      </c>
      <c r="V14" t="str">
        <f>TRIM(PROPER(Before_Tbl[[#This Row],[Status]]))</f>
        <v>Active</v>
      </c>
      <c r="W14" s="26">
        <v>45415</v>
      </c>
      <c r="X14" s="4">
        <v>89295.77</v>
      </c>
      <c r="Y14" t="str">
        <f>TRIM(LOWER(Before_Tbl[[#This Row],[Email]]))</f>
        <v>heidi.williams@example.com</v>
      </c>
      <c r="Z14" s="2" t="str">
        <f>SUBSTITUTE(Before_Tbl[[#This Row],[Phone]],"-","")</f>
        <v>2429543164</v>
      </c>
      <c r="AA14" t="str">
        <f>TRIM(PROPER(Before_Tbl[[#This Row],[Performance_Score]]))</f>
        <v>Excellent</v>
      </c>
      <c r="AB14" s="2" t="str">
        <f>TRIM(UPPER(Before_Tbl[[#This Row],[Remote_Work]]))</f>
        <v>FALSE</v>
      </c>
    </row>
    <row r="15" spans="1:28" x14ac:dyDescent="0.35">
      <c r="A15" t="s">
        <v>68</v>
      </c>
      <c r="B15" t="s">
        <v>69</v>
      </c>
      <c r="C15" t="s">
        <v>38</v>
      </c>
      <c r="E15" t="s">
        <v>70</v>
      </c>
      <c r="F15" t="s">
        <v>16</v>
      </c>
      <c r="G15" s="1">
        <v>44114</v>
      </c>
      <c r="H15">
        <v>85666.84</v>
      </c>
      <c r="I15" t="s">
        <v>71</v>
      </c>
      <c r="J15">
        <v>-2669300892</v>
      </c>
      <c r="K15" t="s">
        <v>30</v>
      </c>
      <c r="L15" t="b">
        <v>0</v>
      </c>
      <c r="P15" t="str">
        <f>TRIM(Before_Tbl[[#This Row],[Employee_ID]])</f>
        <v>EMP1013</v>
      </c>
      <c r="Q15" t="str">
        <f>TRIM(PROPER(Before_Tbl[[#This Row],[First_Name]]))</f>
        <v>Grace</v>
      </c>
      <c r="R15" t="str">
        <f>TRIM(PROPER(Before_Tbl[[#This Row],[Last_Name]]))</f>
        <v>Williams</v>
      </c>
      <c r="S15" s="25">
        <f t="shared" si="0"/>
        <v>30</v>
      </c>
      <c r="T15" t="str">
        <f>LEFT(Before_Tbl[[#This Row],[Department_Region]],FIND("-",Before_Tbl[[#This Row],[Department_Region]])-1)</f>
        <v>Finance</v>
      </c>
      <c r="U15" t="str">
        <f>RIGHT(Before_Tbl[[#This Row],[Department_Region]],LEN(Before_Tbl[[#This Row],[Department_Region]])-FIND("-",Before_Tbl[[#This Row],[Department_Region]]))</f>
        <v>California</v>
      </c>
      <c r="V15" t="str">
        <f>TRIM(PROPER(Before_Tbl[[#This Row],[Status]]))</f>
        <v>Active</v>
      </c>
      <c r="W15" s="26">
        <v>44114</v>
      </c>
      <c r="X15" s="4">
        <v>85666.84</v>
      </c>
      <c r="Y15" t="str">
        <f>TRIM(LOWER(Before_Tbl[[#This Row],[Email]]))</f>
        <v>grace.williams@example.com</v>
      </c>
      <c r="Z15" s="2" t="str">
        <f>SUBSTITUTE(Before_Tbl[[#This Row],[Phone]],"-","")</f>
        <v>2669300892</v>
      </c>
      <c r="AA15" t="str">
        <f>TRIM(PROPER(Before_Tbl[[#This Row],[Performance_Score]]))</f>
        <v>Good</v>
      </c>
      <c r="AB15" s="2" t="str">
        <f>TRIM(UPPER(Before_Tbl[[#This Row],[Remote_Work]]))</f>
        <v>FALSE</v>
      </c>
    </row>
    <row r="16" spans="1:28" x14ac:dyDescent="0.35">
      <c r="A16" t="s">
        <v>72</v>
      </c>
      <c r="B16" t="s">
        <v>25</v>
      </c>
      <c r="C16" t="s">
        <v>43</v>
      </c>
      <c r="D16">
        <v>25</v>
      </c>
      <c r="E16" t="s">
        <v>27</v>
      </c>
      <c r="F16" t="s">
        <v>16</v>
      </c>
      <c r="G16" s="1">
        <v>45571</v>
      </c>
      <c r="H16">
        <v>97633.68</v>
      </c>
      <c r="I16" t="s">
        <v>45</v>
      </c>
      <c r="J16">
        <v>-1734206968</v>
      </c>
      <c r="K16" t="s">
        <v>23</v>
      </c>
      <c r="L16" t="b">
        <v>1</v>
      </c>
      <c r="P16" t="str">
        <f>TRIM(Before_Tbl[[#This Row],[Employee_ID]])</f>
        <v>EMP1014</v>
      </c>
      <c r="Q16" t="str">
        <f>TRIM(PROPER(Before_Tbl[[#This Row],[First_Name]]))</f>
        <v>Alice</v>
      </c>
      <c r="R16" t="str">
        <f>TRIM(PROPER(Before_Tbl[[#This Row],[Last_Name]]))</f>
        <v>Garcia</v>
      </c>
      <c r="S16" s="25">
        <f t="shared" si="0"/>
        <v>25</v>
      </c>
      <c r="T16" t="str">
        <f>LEFT(Before_Tbl[[#This Row],[Department_Region]],FIND("-",Before_Tbl[[#This Row],[Department_Region]])-1)</f>
        <v>Admin</v>
      </c>
      <c r="U16" t="str">
        <f>RIGHT(Before_Tbl[[#This Row],[Department_Region]],LEN(Before_Tbl[[#This Row],[Department_Region]])-FIND("-",Before_Tbl[[#This Row],[Department_Region]]))</f>
        <v>Nevada</v>
      </c>
      <c r="V16" t="str">
        <f>TRIM(PROPER(Before_Tbl[[#This Row],[Status]]))</f>
        <v>Active</v>
      </c>
      <c r="W16" s="26">
        <v>45571</v>
      </c>
      <c r="X16" s="4">
        <v>97633.68</v>
      </c>
      <c r="Y16" t="str">
        <f>TRIM(LOWER(Before_Tbl[[#This Row],[Email]]))</f>
        <v>alice.garcia@example.com</v>
      </c>
      <c r="Z16" s="2" t="str">
        <f>SUBSTITUTE(Before_Tbl[[#This Row],[Phone]],"-","")</f>
        <v>1734206968</v>
      </c>
      <c r="AA16" t="str">
        <f>TRIM(PROPER(Before_Tbl[[#This Row],[Performance_Score]]))</f>
        <v>Excellent</v>
      </c>
      <c r="AB16" s="2" t="str">
        <f>TRIM(UPPER(Before_Tbl[[#This Row],[Remote_Work]]))</f>
        <v>TRUE</v>
      </c>
    </row>
    <row r="17" spans="1:28" x14ac:dyDescent="0.35">
      <c r="A17" t="s">
        <v>73</v>
      </c>
      <c r="B17" t="s">
        <v>69</v>
      </c>
      <c r="C17" t="s">
        <v>26</v>
      </c>
      <c r="D17">
        <v>40</v>
      </c>
      <c r="E17" t="s">
        <v>74</v>
      </c>
      <c r="F17" t="s">
        <v>28</v>
      </c>
      <c r="G17" t="s">
        <v>75</v>
      </c>
      <c r="H17">
        <v>117975.49</v>
      </c>
      <c r="I17" t="s">
        <v>76</v>
      </c>
      <c r="J17">
        <v>-4215291085</v>
      </c>
      <c r="K17" t="s">
        <v>30</v>
      </c>
      <c r="L17" t="b">
        <v>1</v>
      </c>
      <c r="P17" t="str">
        <f>TRIM(Before_Tbl[[#This Row],[Employee_ID]])</f>
        <v>EMP1015</v>
      </c>
      <c r="Q17" t="str">
        <f>TRIM(PROPER(Before_Tbl[[#This Row],[First_Name]]))</f>
        <v>Grace</v>
      </c>
      <c r="R17" t="str">
        <f>TRIM(PROPER(Before_Tbl[[#This Row],[Last_Name]]))</f>
        <v>Jones</v>
      </c>
      <c r="S17" s="25">
        <f t="shared" si="0"/>
        <v>40</v>
      </c>
      <c r="T17" t="str">
        <f>LEFT(Before_Tbl[[#This Row],[Department_Region]],FIND("-",Before_Tbl[[#This Row],[Department_Region]])-1)</f>
        <v>Sales</v>
      </c>
      <c r="U17" t="str">
        <f>RIGHT(Before_Tbl[[#This Row],[Department_Region]],LEN(Before_Tbl[[#This Row],[Department_Region]])-FIND("-",Before_Tbl[[#This Row],[Department_Region]]))</f>
        <v>Florida</v>
      </c>
      <c r="V17" t="str">
        <f>TRIM(PROPER(Before_Tbl[[#This Row],[Status]]))</f>
        <v>Pending</v>
      </c>
      <c r="W17" s="26">
        <v>44345</v>
      </c>
      <c r="X17" s="4">
        <v>117975.49</v>
      </c>
      <c r="Y17" t="str">
        <f>TRIM(LOWER(Before_Tbl[[#This Row],[Email]]))</f>
        <v>grace.jones@example.com</v>
      </c>
      <c r="Z17" s="2" t="str">
        <f>SUBSTITUTE(Before_Tbl[[#This Row],[Phone]],"-","")</f>
        <v>4215291085</v>
      </c>
      <c r="AA17" t="str">
        <f>TRIM(PROPER(Before_Tbl[[#This Row],[Performance_Score]]))</f>
        <v>Good</v>
      </c>
      <c r="AB17" s="2" t="str">
        <f>TRIM(UPPER(Before_Tbl[[#This Row],[Remote_Work]]))</f>
        <v>TRUE</v>
      </c>
    </row>
    <row r="18" spans="1:28" x14ac:dyDescent="0.35">
      <c r="A18" t="s">
        <v>77</v>
      </c>
      <c r="B18" t="s">
        <v>25</v>
      </c>
      <c r="C18" t="s">
        <v>20</v>
      </c>
      <c r="D18">
        <v>25</v>
      </c>
      <c r="E18" t="s">
        <v>78</v>
      </c>
      <c r="F18" t="s">
        <v>33</v>
      </c>
      <c r="G18" t="s">
        <v>79</v>
      </c>
      <c r="H18">
        <v>94867.33</v>
      </c>
      <c r="I18" t="s">
        <v>80</v>
      </c>
      <c r="J18">
        <v>-7713334475</v>
      </c>
      <c r="K18" t="s">
        <v>41</v>
      </c>
      <c r="L18" t="b">
        <v>0</v>
      </c>
      <c r="P18" t="str">
        <f>TRIM(Before_Tbl[[#This Row],[Employee_ID]])</f>
        <v>EMP1016</v>
      </c>
      <c r="Q18" t="str">
        <f>TRIM(PROPER(Before_Tbl[[#This Row],[First_Name]]))</f>
        <v>Alice</v>
      </c>
      <c r="R18" t="str">
        <f>TRIM(PROPER(Before_Tbl[[#This Row],[Last_Name]]))</f>
        <v>Brown</v>
      </c>
      <c r="S18" s="25">
        <f t="shared" si="0"/>
        <v>25</v>
      </c>
      <c r="T18" t="str">
        <f>LEFT(Before_Tbl[[#This Row],[Department_Region]],FIND("-",Before_Tbl[[#This Row],[Department_Region]])-1)</f>
        <v>DevOps</v>
      </c>
      <c r="U18" t="str">
        <f>RIGHT(Before_Tbl[[#This Row],[Department_Region]],LEN(Before_Tbl[[#This Row],[Department_Region]])-FIND("-",Before_Tbl[[#This Row],[Department_Region]]))</f>
        <v>Illinois</v>
      </c>
      <c r="V18" t="str">
        <f>TRIM(PROPER(Before_Tbl[[#This Row],[Status]]))</f>
        <v>Inactive</v>
      </c>
      <c r="W18" s="26">
        <v>45405</v>
      </c>
      <c r="X18" s="4">
        <v>94867.33</v>
      </c>
      <c r="Y18" t="str">
        <f>TRIM(LOWER(Before_Tbl[[#This Row],[Email]]))</f>
        <v>alice.brown@example.com</v>
      </c>
      <c r="Z18" s="2" t="str">
        <f>SUBSTITUTE(Before_Tbl[[#This Row],[Phone]],"-","")</f>
        <v>7713334475</v>
      </c>
      <c r="AA18" t="str">
        <f>TRIM(PROPER(Before_Tbl[[#This Row],[Performance_Score]]))</f>
        <v>Poor</v>
      </c>
      <c r="AB18" s="2" t="str">
        <f>TRIM(UPPER(Before_Tbl[[#This Row],[Remote_Work]]))</f>
        <v>FALSE</v>
      </c>
    </row>
    <row r="19" spans="1:28" x14ac:dyDescent="0.35">
      <c r="A19" t="s">
        <v>81</v>
      </c>
      <c r="B19" t="s">
        <v>69</v>
      </c>
      <c r="C19" t="s">
        <v>43</v>
      </c>
      <c r="D19">
        <v>30</v>
      </c>
      <c r="E19" t="s">
        <v>21</v>
      </c>
      <c r="F19" t="s">
        <v>28</v>
      </c>
      <c r="G19" t="s">
        <v>82</v>
      </c>
      <c r="H19">
        <v>100377.65</v>
      </c>
      <c r="I19" t="s">
        <v>83</v>
      </c>
      <c r="J19">
        <v>-2639343625</v>
      </c>
      <c r="K19" t="s">
        <v>18</v>
      </c>
      <c r="L19" t="b">
        <v>1</v>
      </c>
      <c r="P19" t="str">
        <f>TRIM(Before_Tbl[[#This Row],[Employee_ID]])</f>
        <v>EMP1017</v>
      </c>
      <c r="Q19" t="str">
        <f>TRIM(PROPER(Before_Tbl[[#This Row],[First_Name]]))</f>
        <v>Grace</v>
      </c>
      <c r="R19" t="str">
        <f>TRIM(PROPER(Before_Tbl[[#This Row],[Last_Name]]))</f>
        <v>Garcia</v>
      </c>
      <c r="S19" s="25">
        <f t="shared" si="0"/>
        <v>30</v>
      </c>
      <c r="T19" t="str">
        <f>LEFT(Before_Tbl[[#This Row],[Department_Region]],FIND("-",Before_Tbl[[#This Row],[Department_Region]])-1)</f>
        <v>Finance</v>
      </c>
      <c r="U19" t="str">
        <f>RIGHT(Before_Tbl[[#This Row],[Department_Region]],LEN(Before_Tbl[[#This Row],[Department_Region]])-FIND("-",Before_Tbl[[#This Row],[Department_Region]]))</f>
        <v>Texas</v>
      </c>
      <c r="V19" t="str">
        <f>TRIM(PROPER(Before_Tbl[[#This Row],[Status]]))</f>
        <v>Pending</v>
      </c>
      <c r="W19" s="26">
        <v>45624</v>
      </c>
      <c r="X19" s="4">
        <v>100377.65</v>
      </c>
      <c r="Y19" t="str">
        <f>TRIM(LOWER(Before_Tbl[[#This Row],[Email]]))</f>
        <v>grace.garcia@example.com</v>
      </c>
      <c r="Z19" s="2" t="str">
        <f>SUBSTITUTE(Before_Tbl[[#This Row],[Phone]],"-","")</f>
        <v>2639343625</v>
      </c>
      <c r="AA19" t="str">
        <f>TRIM(PROPER(Before_Tbl[[#This Row],[Performance_Score]]))</f>
        <v>Average</v>
      </c>
      <c r="AB19" s="2" t="str">
        <f>TRIM(UPPER(Before_Tbl[[#This Row],[Remote_Work]]))</f>
        <v>TRUE</v>
      </c>
    </row>
    <row r="20" spans="1:28" x14ac:dyDescent="0.35">
      <c r="A20" t="s">
        <v>84</v>
      </c>
      <c r="B20" t="s">
        <v>54</v>
      </c>
      <c r="C20" t="s">
        <v>43</v>
      </c>
      <c r="E20" t="s">
        <v>85</v>
      </c>
      <c r="F20" t="s">
        <v>33</v>
      </c>
      <c r="G20" t="s">
        <v>86</v>
      </c>
      <c r="H20">
        <v>94726.46</v>
      </c>
      <c r="I20" t="s">
        <v>87</v>
      </c>
      <c r="J20">
        <v>-2044397358</v>
      </c>
      <c r="K20" t="s">
        <v>23</v>
      </c>
      <c r="L20" t="b">
        <v>0</v>
      </c>
      <c r="P20" t="str">
        <f>TRIM(Before_Tbl[[#This Row],[Employee_ID]])</f>
        <v>EMP1018</v>
      </c>
      <c r="Q20" t="str">
        <f>TRIM(PROPER(Before_Tbl[[#This Row],[First_Name]]))</f>
        <v>Charlie</v>
      </c>
      <c r="R20" t="str">
        <f>TRIM(PROPER(Before_Tbl[[#This Row],[Last_Name]]))</f>
        <v>Garcia</v>
      </c>
      <c r="S20" s="25">
        <f t="shared" si="0"/>
        <v>30</v>
      </c>
      <c r="T20" t="str">
        <f>LEFT(Before_Tbl[[#This Row],[Department_Region]],FIND("-",Before_Tbl[[#This Row],[Department_Region]])-1)</f>
        <v>Cloud Tech</v>
      </c>
      <c r="U20" t="str">
        <f>RIGHT(Before_Tbl[[#This Row],[Department_Region]],LEN(Before_Tbl[[#This Row],[Department_Region]])-FIND("-",Before_Tbl[[#This Row],[Department_Region]]))</f>
        <v>Nevada</v>
      </c>
      <c r="V20" t="str">
        <f>TRIM(PROPER(Before_Tbl[[#This Row],[Status]]))</f>
        <v>Inactive</v>
      </c>
      <c r="W20" s="26">
        <v>45554</v>
      </c>
      <c r="X20" s="4">
        <v>94726.46</v>
      </c>
      <c r="Y20" t="str">
        <f>TRIM(LOWER(Before_Tbl[[#This Row],[Email]]))</f>
        <v>charlie.garcia@example.com</v>
      </c>
      <c r="Z20" s="2" t="str">
        <f>SUBSTITUTE(Before_Tbl[[#This Row],[Phone]],"-","")</f>
        <v>2044397358</v>
      </c>
      <c r="AA20" t="str">
        <f>TRIM(PROPER(Before_Tbl[[#This Row],[Performance_Score]]))</f>
        <v>Excellent</v>
      </c>
      <c r="AB20" s="2" t="str">
        <f>TRIM(UPPER(Before_Tbl[[#This Row],[Remote_Work]]))</f>
        <v>FALSE</v>
      </c>
    </row>
    <row r="21" spans="1:28" x14ac:dyDescent="0.35">
      <c r="A21" t="s">
        <v>88</v>
      </c>
      <c r="B21" t="s">
        <v>54</v>
      </c>
      <c r="C21" t="s">
        <v>38</v>
      </c>
      <c r="D21">
        <v>35</v>
      </c>
      <c r="E21" t="s">
        <v>89</v>
      </c>
      <c r="F21" t="s">
        <v>28</v>
      </c>
      <c r="G21" s="1">
        <v>43862</v>
      </c>
      <c r="H21">
        <v>91926.12</v>
      </c>
      <c r="I21" t="s">
        <v>90</v>
      </c>
      <c r="J21">
        <v>-7107256365</v>
      </c>
      <c r="K21" t="s">
        <v>18</v>
      </c>
      <c r="L21" t="b">
        <v>1</v>
      </c>
      <c r="P21" t="str">
        <f>TRIM(Before_Tbl[[#This Row],[Employee_ID]])</f>
        <v>EMP1019</v>
      </c>
      <c r="Q21" t="str">
        <f>TRIM(PROPER(Before_Tbl[[#This Row],[First_Name]]))</f>
        <v>Charlie</v>
      </c>
      <c r="R21" t="str">
        <f>TRIM(PROPER(Before_Tbl[[#This Row],[Last_Name]]))</f>
        <v>Williams</v>
      </c>
      <c r="S21" s="25">
        <f t="shared" si="0"/>
        <v>35</v>
      </c>
      <c r="T21" t="str">
        <f>LEFT(Before_Tbl[[#This Row],[Department_Region]],FIND("-",Before_Tbl[[#This Row],[Department_Region]])-1)</f>
        <v>Admin</v>
      </c>
      <c r="U21" t="str">
        <f>RIGHT(Before_Tbl[[#This Row],[Department_Region]],LEN(Before_Tbl[[#This Row],[Department_Region]])-FIND("-",Before_Tbl[[#This Row],[Department_Region]]))</f>
        <v>Illinois</v>
      </c>
      <c r="V21" t="str">
        <f>TRIM(PROPER(Before_Tbl[[#This Row],[Status]]))</f>
        <v>Pending</v>
      </c>
      <c r="W21" s="26">
        <v>43862</v>
      </c>
      <c r="X21" s="4">
        <v>91926.12</v>
      </c>
      <c r="Y21" t="str">
        <f>TRIM(LOWER(Before_Tbl[[#This Row],[Email]]))</f>
        <v>charlie.williams@example.com</v>
      </c>
      <c r="Z21" s="2" t="str">
        <f>SUBSTITUTE(Before_Tbl[[#This Row],[Phone]],"-","")</f>
        <v>7107256365</v>
      </c>
      <c r="AA21" t="str">
        <f>TRIM(PROPER(Before_Tbl[[#This Row],[Performance_Score]]))</f>
        <v>Average</v>
      </c>
      <c r="AB21" s="2" t="str">
        <f>TRIM(UPPER(Before_Tbl[[#This Row],[Remote_Work]]))</f>
        <v>TRUE</v>
      </c>
    </row>
    <row r="22" spans="1:28" x14ac:dyDescent="0.35">
      <c r="A22" t="s">
        <v>91</v>
      </c>
      <c r="B22" t="s">
        <v>13</v>
      </c>
      <c r="C22" t="s">
        <v>92</v>
      </c>
      <c r="D22">
        <v>35</v>
      </c>
      <c r="E22" t="s">
        <v>66</v>
      </c>
      <c r="F22" t="s">
        <v>16</v>
      </c>
      <c r="G22" s="1">
        <v>44413</v>
      </c>
      <c r="H22">
        <v>111460.67</v>
      </c>
      <c r="I22" t="s">
        <v>93</v>
      </c>
      <c r="J22">
        <v>-9411800536</v>
      </c>
      <c r="K22" t="s">
        <v>23</v>
      </c>
      <c r="L22" t="b">
        <v>1</v>
      </c>
      <c r="P22" t="str">
        <f>TRIM(Before_Tbl[[#This Row],[Employee_ID]])</f>
        <v>EMP1020</v>
      </c>
      <c r="Q22" t="str">
        <f>TRIM(PROPER(Before_Tbl[[#This Row],[First_Name]]))</f>
        <v>Bob</v>
      </c>
      <c r="R22" t="str">
        <f>TRIM(PROPER(Before_Tbl[[#This Row],[Last_Name]]))</f>
        <v>Miller</v>
      </c>
      <c r="S22" s="25">
        <f t="shared" si="0"/>
        <v>35</v>
      </c>
      <c r="T22" t="str">
        <f>LEFT(Before_Tbl[[#This Row],[Department_Region]],FIND("-",Before_Tbl[[#This Row],[Department_Region]])-1)</f>
        <v>HR</v>
      </c>
      <c r="U22" t="str">
        <f>RIGHT(Before_Tbl[[#This Row],[Department_Region]],LEN(Before_Tbl[[#This Row],[Department_Region]])-FIND("-",Before_Tbl[[#This Row],[Department_Region]]))</f>
        <v>New York</v>
      </c>
      <c r="V22" t="str">
        <f>TRIM(PROPER(Before_Tbl[[#This Row],[Status]]))</f>
        <v>Active</v>
      </c>
      <c r="W22" s="26">
        <v>44413</v>
      </c>
      <c r="X22" s="4">
        <v>111460.67</v>
      </c>
      <c r="Y22" t="str">
        <f>TRIM(LOWER(Before_Tbl[[#This Row],[Email]]))</f>
        <v>bob.miller@example.com</v>
      </c>
      <c r="Z22" s="2" t="str">
        <f>SUBSTITUTE(Before_Tbl[[#This Row],[Phone]],"-","")</f>
        <v>9411800536</v>
      </c>
      <c r="AA22" t="str">
        <f>TRIM(PROPER(Before_Tbl[[#This Row],[Performance_Score]]))</f>
        <v>Excellent</v>
      </c>
      <c r="AB22" s="2" t="str">
        <f>TRIM(UPPER(Before_Tbl[[#This Row],[Remote_Work]]))</f>
        <v>TRUE</v>
      </c>
    </row>
    <row r="23" spans="1:28" x14ac:dyDescent="0.35">
      <c r="A23" t="s">
        <v>94</v>
      </c>
      <c r="B23" t="s">
        <v>13</v>
      </c>
      <c r="C23" t="s">
        <v>26</v>
      </c>
      <c r="D23">
        <v>40</v>
      </c>
      <c r="E23" t="s">
        <v>95</v>
      </c>
      <c r="F23" t="s">
        <v>16</v>
      </c>
      <c r="G23" t="s">
        <v>96</v>
      </c>
      <c r="H23">
        <v>96182.56</v>
      </c>
      <c r="I23" t="s">
        <v>50</v>
      </c>
      <c r="J23">
        <v>-5990048963</v>
      </c>
      <c r="K23" t="s">
        <v>30</v>
      </c>
      <c r="L23" t="b">
        <v>0</v>
      </c>
      <c r="P23" t="str">
        <f>TRIM(Before_Tbl[[#This Row],[Employee_ID]])</f>
        <v>EMP1021</v>
      </c>
      <c r="Q23" t="str">
        <f>TRIM(PROPER(Before_Tbl[[#This Row],[First_Name]]))</f>
        <v>Bob</v>
      </c>
      <c r="R23" t="str">
        <f>TRIM(PROPER(Before_Tbl[[#This Row],[Last_Name]]))</f>
        <v>Jones</v>
      </c>
      <c r="S23" s="25">
        <f t="shared" si="0"/>
        <v>40</v>
      </c>
      <c r="T23" t="str">
        <f>LEFT(Before_Tbl[[#This Row],[Department_Region]],FIND("-",Before_Tbl[[#This Row],[Department_Region]])-1)</f>
        <v>Cloud Tech</v>
      </c>
      <c r="U23" t="str">
        <f>RIGHT(Before_Tbl[[#This Row],[Department_Region]],LEN(Before_Tbl[[#This Row],[Department_Region]])-FIND("-",Before_Tbl[[#This Row],[Department_Region]]))</f>
        <v>Illinois</v>
      </c>
      <c r="V23" t="str">
        <f>TRIM(PROPER(Before_Tbl[[#This Row],[Status]]))</f>
        <v>Active</v>
      </c>
      <c r="W23" s="26">
        <v>44093</v>
      </c>
      <c r="X23" s="4">
        <v>96182.56</v>
      </c>
      <c r="Y23" t="str">
        <f>TRIM(LOWER(Before_Tbl[[#This Row],[Email]]))</f>
        <v>bob.jones@example.com</v>
      </c>
      <c r="Z23" s="2" t="str">
        <f>SUBSTITUTE(Before_Tbl[[#This Row],[Phone]],"-","")</f>
        <v>5990048963</v>
      </c>
      <c r="AA23" t="str">
        <f>TRIM(PROPER(Before_Tbl[[#This Row],[Performance_Score]]))</f>
        <v>Good</v>
      </c>
      <c r="AB23" s="2" t="str">
        <f>TRIM(UPPER(Before_Tbl[[#This Row],[Remote_Work]]))</f>
        <v>FALSE</v>
      </c>
    </row>
    <row r="24" spans="1:28" x14ac:dyDescent="0.35">
      <c r="A24" t="s">
        <v>97</v>
      </c>
      <c r="B24" t="s">
        <v>54</v>
      </c>
      <c r="C24" t="s">
        <v>55</v>
      </c>
      <c r="D24">
        <v>35</v>
      </c>
      <c r="E24" t="s">
        <v>98</v>
      </c>
      <c r="F24" t="s">
        <v>33</v>
      </c>
      <c r="G24" s="1">
        <v>44442</v>
      </c>
      <c r="H24">
        <v>115023.94</v>
      </c>
      <c r="I24" t="s">
        <v>57</v>
      </c>
      <c r="J24">
        <v>-6528092427</v>
      </c>
      <c r="K24" t="s">
        <v>18</v>
      </c>
      <c r="L24" t="b">
        <v>1</v>
      </c>
      <c r="P24" t="str">
        <f>TRIM(Before_Tbl[[#This Row],[Employee_ID]])</f>
        <v>EMP1022</v>
      </c>
      <c r="Q24" t="str">
        <f>TRIM(PROPER(Before_Tbl[[#This Row],[First_Name]]))</f>
        <v>Charlie</v>
      </c>
      <c r="R24" t="str">
        <f>TRIM(PROPER(Before_Tbl[[#This Row],[Last_Name]]))</f>
        <v>Johnson</v>
      </c>
      <c r="S24" s="25">
        <f t="shared" si="0"/>
        <v>35</v>
      </c>
      <c r="T24" t="str">
        <f>LEFT(Before_Tbl[[#This Row],[Department_Region]],FIND("-",Before_Tbl[[#This Row],[Department_Region]])-1)</f>
        <v>Sales</v>
      </c>
      <c r="U24" t="str">
        <f>RIGHT(Before_Tbl[[#This Row],[Department_Region]],LEN(Before_Tbl[[#This Row],[Department_Region]])-FIND("-",Before_Tbl[[#This Row],[Department_Region]]))</f>
        <v>Illinois</v>
      </c>
      <c r="V24" t="str">
        <f>TRIM(PROPER(Before_Tbl[[#This Row],[Status]]))</f>
        <v>Inactive</v>
      </c>
      <c r="W24" s="26">
        <v>44442</v>
      </c>
      <c r="X24" s="4">
        <v>115023.94</v>
      </c>
      <c r="Y24" t="str">
        <f>TRIM(LOWER(Before_Tbl[[#This Row],[Email]]))</f>
        <v>charlie.johnson@example.com</v>
      </c>
      <c r="Z24" s="2" t="str">
        <f>SUBSTITUTE(Before_Tbl[[#This Row],[Phone]],"-","")</f>
        <v>6528092427</v>
      </c>
      <c r="AA24" t="str">
        <f>TRIM(PROPER(Before_Tbl[[#This Row],[Performance_Score]]))</f>
        <v>Average</v>
      </c>
      <c r="AB24" s="2" t="str">
        <f>TRIM(UPPER(Before_Tbl[[#This Row],[Remote_Work]]))</f>
        <v>TRUE</v>
      </c>
    </row>
    <row r="25" spans="1:28" x14ac:dyDescent="0.35">
      <c r="A25" t="s">
        <v>99</v>
      </c>
      <c r="B25" t="s">
        <v>59</v>
      </c>
      <c r="C25" t="s">
        <v>43</v>
      </c>
      <c r="D25">
        <v>35</v>
      </c>
      <c r="E25" t="s">
        <v>100</v>
      </c>
      <c r="F25" t="s">
        <v>28</v>
      </c>
      <c r="G25" s="1">
        <v>44622</v>
      </c>
      <c r="H25">
        <v>80667.009999999995</v>
      </c>
      <c r="I25" t="s">
        <v>101</v>
      </c>
      <c r="J25">
        <v>-7572158623</v>
      </c>
      <c r="K25" t="s">
        <v>23</v>
      </c>
      <c r="L25" t="b">
        <v>0</v>
      </c>
      <c r="P25" t="str">
        <f>TRIM(Before_Tbl[[#This Row],[Employee_ID]])</f>
        <v>EMP1023</v>
      </c>
      <c r="Q25" t="str">
        <f>TRIM(PROPER(Before_Tbl[[#This Row],[First_Name]]))</f>
        <v>David</v>
      </c>
      <c r="R25" t="str">
        <f>TRIM(PROPER(Before_Tbl[[#This Row],[Last_Name]]))</f>
        <v>Garcia</v>
      </c>
      <c r="S25" s="25">
        <f t="shared" si="0"/>
        <v>35</v>
      </c>
      <c r="T25" t="str">
        <f>LEFT(Before_Tbl[[#This Row],[Department_Region]],FIND("-",Before_Tbl[[#This Row],[Department_Region]])-1)</f>
        <v>Finance</v>
      </c>
      <c r="U25" t="str">
        <f>RIGHT(Before_Tbl[[#This Row],[Department_Region]],LEN(Before_Tbl[[#This Row],[Department_Region]])-FIND("-",Before_Tbl[[#This Row],[Department_Region]]))</f>
        <v>Nevada</v>
      </c>
      <c r="V25" t="str">
        <f>TRIM(PROPER(Before_Tbl[[#This Row],[Status]]))</f>
        <v>Pending</v>
      </c>
      <c r="W25" s="26">
        <v>44622</v>
      </c>
      <c r="X25" s="4">
        <v>80667.009999999995</v>
      </c>
      <c r="Y25" t="str">
        <f>TRIM(LOWER(Before_Tbl[[#This Row],[Email]]))</f>
        <v>david.garcia@example.com</v>
      </c>
      <c r="Z25" s="2" t="str">
        <f>SUBSTITUTE(Before_Tbl[[#This Row],[Phone]],"-","")</f>
        <v>7572158623</v>
      </c>
      <c r="AA25" t="str">
        <f>TRIM(PROPER(Before_Tbl[[#This Row],[Performance_Score]]))</f>
        <v>Excellent</v>
      </c>
      <c r="AB25" s="2" t="str">
        <f>TRIM(UPPER(Before_Tbl[[#This Row],[Remote_Work]]))</f>
        <v>FALSE</v>
      </c>
    </row>
    <row r="26" spans="1:28" x14ac:dyDescent="0.35">
      <c r="A26" t="s">
        <v>102</v>
      </c>
      <c r="B26" t="s">
        <v>13</v>
      </c>
      <c r="C26" t="s">
        <v>20</v>
      </c>
      <c r="D26">
        <v>30</v>
      </c>
      <c r="E26" t="s">
        <v>103</v>
      </c>
      <c r="F26" t="s">
        <v>33</v>
      </c>
      <c r="G26" t="s">
        <v>104</v>
      </c>
      <c r="H26">
        <v>91181.61</v>
      </c>
      <c r="I26" t="s">
        <v>22</v>
      </c>
      <c r="J26">
        <v>-1502745643</v>
      </c>
      <c r="K26" t="s">
        <v>30</v>
      </c>
      <c r="L26" t="b">
        <v>1</v>
      </c>
      <c r="P26" t="str">
        <f>TRIM(Before_Tbl[[#This Row],[Employee_ID]])</f>
        <v>EMP1024</v>
      </c>
      <c r="Q26" t="str">
        <f>TRIM(PROPER(Before_Tbl[[#This Row],[First_Name]]))</f>
        <v>Bob</v>
      </c>
      <c r="R26" t="str">
        <f>TRIM(PROPER(Before_Tbl[[#This Row],[Last_Name]]))</f>
        <v>Brown</v>
      </c>
      <c r="S26" s="25">
        <f t="shared" si="0"/>
        <v>30</v>
      </c>
      <c r="T26" t="str">
        <f>LEFT(Before_Tbl[[#This Row],[Department_Region]],FIND("-",Before_Tbl[[#This Row],[Department_Region]])-1)</f>
        <v>Admin</v>
      </c>
      <c r="U26" t="str">
        <f>RIGHT(Before_Tbl[[#This Row],[Department_Region]],LEN(Before_Tbl[[#This Row],[Department_Region]])-FIND("-",Before_Tbl[[#This Row],[Department_Region]]))</f>
        <v>Texas</v>
      </c>
      <c r="V26" t="str">
        <f>TRIM(PROPER(Before_Tbl[[#This Row],[Status]]))</f>
        <v>Inactive</v>
      </c>
      <c r="W26" s="26">
        <v>43874</v>
      </c>
      <c r="X26" s="4">
        <v>91181.61</v>
      </c>
      <c r="Y26" t="str">
        <f>TRIM(LOWER(Before_Tbl[[#This Row],[Email]]))</f>
        <v>bob.brown@example.com</v>
      </c>
      <c r="Z26" s="2" t="str">
        <f>SUBSTITUTE(Before_Tbl[[#This Row],[Phone]],"-","")</f>
        <v>1502745643</v>
      </c>
      <c r="AA26" t="str">
        <f>TRIM(PROPER(Before_Tbl[[#This Row],[Performance_Score]]))</f>
        <v>Good</v>
      </c>
      <c r="AB26" s="2" t="str">
        <f>TRIM(UPPER(Before_Tbl[[#This Row],[Remote_Work]]))</f>
        <v>TRUE</v>
      </c>
    </row>
    <row r="27" spans="1:28" x14ac:dyDescent="0.35">
      <c r="A27" t="s">
        <v>105</v>
      </c>
      <c r="B27" t="s">
        <v>59</v>
      </c>
      <c r="C27" t="s">
        <v>92</v>
      </c>
      <c r="D27">
        <v>25</v>
      </c>
      <c r="E27" t="s">
        <v>85</v>
      </c>
      <c r="F27" t="s">
        <v>28</v>
      </c>
      <c r="G27" t="s">
        <v>106</v>
      </c>
      <c r="H27">
        <v>66025.919999999998</v>
      </c>
      <c r="I27" t="s">
        <v>107</v>
      </c>
      <c r="J27">
        <v>-9485625727</v>
      </c>
      <c r="K27" t="s">
        <v>18</v>
      </c>
      <c r="L27" t="b">
        <v>0</v>
      </c>
      <c r="P27" t="str">
        <f>TRIM(Before_Tbl[[#This Row],[Employee_ID]])</f>
        <v>EMP1025</v>
      </c>
      <c r="Q27" t="str">
        <f>TRIM(PROPER(Before_Tbl[[#This Row],[First_Name]]))</f>
        <v>David</v>
      </c>
      <c r="R27" t="str">
        <f>TRIM(PROPER(Before_Tbl[[#This Row],[Last_Name]]))</f>
        <v>Miller</v>
      </c>
      <c r="S27" s="25">
        <f t="shared" si="0"/>
        <v>25</v>
      </c>
      <c r="T27" t="str">
        <f>LEFT(Before_Tbl[[#This Row],[Department_Region]],FIND("-",Before_Tbl[[#This Row],[Department_Region]])-1)</f>
        <v>Cloud Tech</v>
      </c>
      <c r="U27" t="str">
        <f>RIGHT(Before_Tbl[[#This Row],[Department_Region]],LEN(Before_Tbl[[#This Row],[Department_Region]])-FIND("-",Before_Tbl[[#This Row],[Department_Region]]))</f>
        <v>Nevada</v>
      </c>
      <c r="V27" t="str">
        <f>TRIM(PROPER(Before_Tbl[[#This Row],[Status]]))</f>
        <v>Pending</v>
      </c>
      <c r="W27" s="26">
        <v>43951</v>
      </c>
      <c r="X27" s="4">
        <v>66025.919999999998</v>
      </c>
      <c r="Y27" t="str">
        <f>TRIM(LOWER(Before_Tbl[[#This Row],[Email]]))</f>
        <v>david.miller@example.com</v>
      </c>
      <c r="Z27" s="2" t="str">
        <f>SUBSTITUTE(Before_Tbl[[#This Row],[Phone]],"-","")</f>
        <v>9485625727</v>
      </c>
      <c r="AA27" t="str">
        <f>TRIM(PROPER(Before_Tbl[[#This Row],[Performance_Score]]))</f>
        <v>Average</v>
      </c>
      <c r="AB27" s="2" t="str">
        <f>TRIM(UPPER(Before_Tbl[[#This Row],[Remote_Work]]))</f>
        <v>FALSE</v>
      </c>
    </row>
    <row r="28" spans="1:28" x14ac:dyDescent="0.35">
      <c r="A28" t="s">
        <v>108</v>
      </c>
      <c r="B28" t="s">
        <v>37</v>
      </c>
      <c r="C28" t="s">
        <v>92</v>
      </c>
      <c r="D28">
        <v>25</v>
      </c>
      <c r="E28" t="s">
        <v>109</v>
      </c>
      <c r="F28" t="s">
        <v>33</v>
      </c>
      <c r="G28" s="1">
        <v>44967</v>
      </c>
      <c r="H28">
        <v>83979.01</v>
      </c>
      <c r="I28" t="s">
        <v>110</v>
      </c>
      <c r="J28">
        <v>-7032032073</v>
      </c>
      <c r="K28" t="s">
        <v>18</v>
      </c>
      <c r="L28" t="b">
        <v>0</v>
      </c>
      <c r="P28" t="str">
        <f>TRIM(Before_Tbl[[#This Row],[Employee_ID]])</f>
        <v>EMP1026</v>
      </c>
      <c r="Q28" t="str">
        <f>TRIM(PROPER(Before_Tbl[[#This Row],[First_Name]]))</f>
        <v>Frank</v>
      </c>
      <c r="R28" t="str">
        <f>TRIM(PROPER(Before_Tbl[[#This Row],[Last_Name]]))</f>
        <v>Miller</v>
      </c>
      <c r="S28" s="25">
        <f t="shared" si="0"/>
        <v>25</v>
      </c>
      <c r="T28" t="str">
        <f>LEFT(Before_Tbl[[#This Row],[Department_Region]],FIND("-",Before_Tbl[[#This Row],[Department_Region]])-1)</f>
        <v>Sales</v>
      </c>
      <c r="U28" t="str">
        <f>RIGHT(Before_Tbl[[#This Row],[Department_Region]],LEN(Before_Tbl[[#This Row],[Department_Region]])-FIND("-",Before_Tbl[[#This Row],[Department_Region]]))</f>
        <v>New York</v>
      </c>
      <c r="V28" t="str">
        <f>TRIM(PROPER(Before_Tbl[[#This Row],[Status]]))</f>
        <v>Inactive</v>
      </c>
      <c r="W28" s="26">
        <v>44967</v>
      </c>
      <c r="X28" s="4">
        <v>83979.01</v>
      </c>
      <c r="Y28" t="str">
        <f>TRIM(LOWER(Before_Tbl[[#This Row],[Email]]))</f>
        <v>frank.miller@example.com</v>
      </c>
      <c r="Z28" s="2" t="str">
        <f>SUBSTITUTE(Before_Tbl[[#This Row],[Phone]],"-","")</f>
        <v>7032032073</v>
      </c>
      <c r="AA28" t="str">
        <f>TRIM(PROPER(Before_Tbl[[#This Row],[Performance_Score]]))</f>
        <v>Average</v>
      </c>
      <c r="AB28" s="2" t="str">
        <f>TRIM(UPPER(Before_Tbl[[#This Row],[Remote_Work]]))</f>
        <v>FALSE</v>
      </c>
    </row>
    <row r="29" spans="1:28" x14ac:dyDescent="0.35">
      <c r="A29" t="s">
        <v>111</v>
      </c>
      <c r="B29" t="s">
        <v>65</v>
      </c>
      <c r="C29" t="s">
        <v>55</v>
      </c>
      <c r="D29">
        <v>30</v>
      </c>
      <c r="E29" t="s">
        <v>112</v>
      </c>
      <c r="F29" t="s">
        <v>16</v>
      </c>
      <c r="G29" s="1">
        <v>44172</v>
      </c>
      <c r="H29">
        <v>56785.16</v>
      </c>
      <c r="I29" t="s">
        <v>113</v>
      </c>
      <c r="J29">
        <v>-2761707586</v>
      </c>
      <c r="K29" t="s">
        <v>23</v>
      </c>
      <c r="L29" t="b">
        <v>1</v>
      </c>
      <c r="P29" t="str">
        <f>TRIM(Before_Tbl[[#This Row],[Employee_ID]])</f>
        <v>EMP1027</v>
      </c>
      <c r="Q29" t="str">
        <f>TRIM(PROPER(Before_Tbl[[#This Row],[First_Name]]))</f>
        <v>Heidi</v>
      </c>
      <c r="R29" t="str">
        <f>TRIM(PROPER(Before_Tbl[[#This Row],[Last_Name]]))</f>
        <v>Johnson</v>
      </c>
      <c r="S29" s="25">
        <f t="shared" si="0"/>
        <v>30</v>
      </c>
      <c r="T29" t="str">
        <f>LEFT(Before_Tbl[[#This Row],[Department_Region]],FIND("-",Before_Tbl[[#This Row],[Department_Region]])-1)</f>
        <v>Finance</v>
      </c>
      <c r="U29" t="str">
        <f>RIGHT(Before_Tbl[[#This Row],[Department_Region]],LEN(Before_Tbl[[#This Row],[Department_Region]])-FIND("-",Before_Tbl[[#This Row],[Department_Region]]))</f>
        <v>Florida</v>
      </c>
      <c r="V29" t="str">
        <f>TRIM(PROPER(Before_Tbl[[#This Row],[Status]]))</f>
        <v>Active</v>
      </c>
      <c r="W29" s="26">
        <v>44172</v>
      </c>
      <c r="X29" s="4">
        <v>56785.16</v>
      </c>
      <c r="Y29" t="str">
        <f>TRIM(LOWER(Before_Tbl[[#This Row],[Email]]))</f>
        <v>heidi.johnson@example.com</v>
      </c>
      <c r="Z29" s="2" t="str">
        <f>SUBSTITUTE(Before_Tbl[[#This Row],[Phone]],"-","")</f>
        <v>2761707586</v>
      </c>
      <c r="AA29" t="str">
        <f>TRIM(PROPER(Before_Tbl[[#This Row],[Performance_Score]]))</f>
        <v>Excellent</v>
      </c>
      <c r="AB29" s="2" t="str">
        <f>TRIM(UPPER(Before_Tbl[[#This Row],[Remote_Work]]))</f>
        <v>TRUE</v>
      </c>
    </row>
    <row r="30" spans="1:28" x14ac:dyDescent="0.35">
      <c r="A30" t="s">
        <v>114</v>
      </c>
      <c r="B30" t="s">
        <v>69</v>
      </c>
      <c r="C30" t="s">
        <v>43</v>
      </c>
      <c r="D30">
        <v>40</v>
      </c>
      <c r="E30" t="s">
        <v>100</v>
      </c>
      <c r="F30" t="s">
        <v>16</v>
      </c>
      <c r="G30" s="1">
        <v>45240</v>
      </c>
      <c r="H30">
        <v>95741.88</v>
      </c>
      <c r="I30" t="s">
        <v>83</v>
      </c>
      <c r="J30">
        <v>-7712151341</v>
      </c>
      <c r="K30" t="s">
        <v>23</v>
      </c>
      <c r="L30" t="b">
        <v>0</v>
      </c>
      <c r="P30" t="str">
        <f>TRIM(Before_Tbl[[#This Row],[Employee_ID]])</f>
        <v>EMP1028</v>
      </c>
      <c r="Q30" t="str">
        <f>TRIM(PROPER(Before_Tbl[[#This Row],[First_Name]]))</f>
        <v>Grace</v>
      </c>
      <c r="R30" t="str">
        <f>TRIM(PROPER(Before_Tbl[[#This Row],[Last_Name]]))</f>
        <v>Garcia</v>
      </c>
      <c r="S30" s="25">
        <f t="shared" si="0"/>
        <v>40</v>
      </c>
      <c r="T30" t="str">
        <f>LEFT(Before_Tbl[[#This Row],[Department_Region]],FIND("-",Before_Tbl[[#This Row],[Department_Region]])-1)</f>
        <v>Finance</v>
      </c>
      <c r="U30" t="str">
        <f>RIGHT(Before_Tbl[[#This Row],[Department_Region]],LEN(Before_Tbl[[#This Row],[Department_Region]])-FIND("-",Before_Tbl[[#This Row],[Department_Region]]))</f>
        <v>Nevada</v>
      </c>
      <c r="V30" t="str">
        <f>TRIM(PROPER(Before_Tbl[[#This Row],[Status]]))</f>
        <v>Active</v>
      </c>
      <c r="W30" s="26">
        <v>45240</v>
      </c>
      <c r="X30" s="4">
        <v>95741.88</v>
      </c>
      <c r="Y30" t="str">
        <f>TRIM(LOWER(Before_Tbl[[#This Row],[Email]]))</f>
        <v>grace.garcia@example.com</v>
      </c>
      <c r="Z30" s="2" t="str">
        <f>SUBSTITUTE(Before_Tbl[[#This Row],[Phone]],"-","")</f>
        <v>7712151341</v>
      </c>
      <c r="AA30" t="str">
        <f>TRIM(PROPER(Before_Tbl[[#This Row],[Performance_Score]]))</f>
        <v>Excellent</v>
      </c>
      <c r="AB30" s="2" t="str">
        <f>TRIM(UPPER(Before_Tbl[[#This Row],[Remote_Work]]))</f>
        <v>FALSE</v>
      </c>
    </row>
    <row r="31" spans="1:28" x14ac:dyDescent="0.35">
      <c r="A31" t="s">
        <v>115</v>
      </c>
      <c r="B31" t="s">
        <v>25</v>
      </c>
      <c r="C31" t="s">
        <v>20</v>
      </c>
      <c r="D31">
        <v>40</v>
      </c>
      <c r="E31" t="s">
        <v>15</v>
      </c>
      <c r="F31" t="s">
        <v>16</v>
      </c>
      <c r="G31" t="s">
        <v>116</v>
      </c>
      <c r="H31">
        <v>63411.31</v>
      </c>
      <c r="I31" t="s">
        <v>80</v>
      </c>
      <c r="J31">
        <v>-2849939088</v>
      </c>
      <c r="K31" t="s">
        <v>23</v>
      </c>
      <c r="L31" t="b">
        <v>1</v>
      </c>
      <c r="P31" t="str">
        <f>TRIM(Before_Tbl[[#This Row],[Employee_ID]])</f>
        <v>EMP1029</v>
      </c>
      <c r="Q31" t="str">
        <f>TRIM(PROPER(Before_Tbl[[#This Row],[First_Name]]))</f>
        <v>Alice</v>
      </c>
      <c r="R31" t="str">
        <f>TRIM(PROPER(Before_Tbl[[#This Row],[Last_Name]]))</f>
        <v>Brown</v>
      </c>
      <c r="S31" s="25">
        <f t="shared" si="0"/>
        <v>40</v>
      </c>
      <c r="T31" t="str">
        <f>LEFT(Before_Tbl[[#This Row],[Department_Region]],FIND("-",Before_Tbl[[#This Row],[Department_Region]])-1)</f>
        <v>DevOps</v>
      </c>
      <c r="U31" t="str">
        <f>RIGHT(Before_Tbl[[#This Row],[Department_Region]],LEN(Before_Tbl[[#This Row],[Department_Region]])-FIND("-",Before_Tbl[[#This Row],[Department_Region]]))</f>
        <v>California</v>
      </c>
      <c r="V31" t="str">
        <f>TRIM(PROPER(Before_Tbl[[#This Row],[Status]]))</f>
        <v>Active</v>
      </c>
      <c r="W31" s="26">
        <v>44340</v>
      </c>
      <c r="X31" s="4">
        <v>63411.31</v>
      </c>
      <c r="Y31" t="str">
        <f>TRIM(LOWER(Before_Tbl[[#This Row],[Email]]))</f>
        <v>alice.brown@example.com</v>
      </c>
      <c r="Z31" s="2" t="str">
        <f>SUBSTITUTE(Before_Tbl[[#This Row],[Phone]],"-","")</f>
        <v>2849939088</v>
      </c>
      <c r="AA31" t="str">
        <f>TRIM(PROPER(Before_Tbl[[#This Row],[Performance_Score]]))</f>
        <v>Excellent</v>
      </c>
      <c r="AB31" s="2" t="str">
        <f>TRIM(UPPER(Before_Tbl[[#This Row],[Remote_Work]]))</f>
        <v>TRUE</v>
      </c>
    </row>
    <row r="32" spans="1:28" x14ac:dyDescent="0.35">
      <c r="A32" t="s">
        <v>117</v>
      </c>
      <c r="B32" t="s">
        <v>54</v>
      </c>
      <c r="C32" t="s">
        <v>26</v>
      </c>
      <c r="D32">
        <v>40</v>
      </c>
      <c r="E32" t="s">
        <v>118</v>
      </c>
      <c r="F32" t="s">
        <v>33</v>
      </c>
      <c r="G32" t="s">
        <v>119</v>
      </c>
      <c r="H32">
        <v>111214.02</v>
      </c>
      <c r="I32" t="s">
        <v>120</v>
      </c>
      <c r="J32">
        <v>-2613715040</v>
      </c>
      <c r="K32" t="s">
        <v>30</v>
      </c>
      <c r="L32" t="b">
        <v>1</v>
      </c>
      <c r="P32" t="str">
        <f>TRIM(Before_Tbl[[#This Row],[Employee_ID]])</f>
        <v>EMP1030</v>
      </c>
      <c r="Q32" t="str">
        <f>TRIM(PROPER(Before_Tbl[[#This Row],[First_Name]]))</f>
        <v>Charlie</v>
      </c>
      <c r="R32" t="str">
        <f>TRIM(PROPER(Before_Tbl[[#This Row],[Last_Name]]))</f>
        <v>Jones</v>
      </c>
      <c r="S32" s="25">
        <f t="shared" si="0"/>
        <v>40</v>
      </c>
      <c r="T32" t="str">
        <f>LEFT(Before_Tbl[[#This Row],[Department_Region]],FIND("-",Before_Tbl[[#This Row],[Department_Region]])-1)</f>
        <v>Admin</v>
      </c>
      <c r="U32" t="str">
        <f>RIGHT(Before_Tbl[[#This Row],[Department_Region]],LEN(Before_Tbl[[#This Row],[Department_Region]])-FIND("-",Before_Tbl[[#This Row],[Department_Region]]))</f>
        <v>California</v>
      </c>
      <c r="V32" t="str">
        <f>TRIM(PROPER(Before_Tbl[[#This Row],[Status]]))</f>
        <v>Inactive</v>
      </c>
      <c r="W32" s="26">
        <v>44342</v>
      </c>
      <c r="X32" s="4">
        <v>111214.02</v>
      </c>
      <c r="Y32" t="str">
        <f>TRIM(LOWER(Before_Tbl[[#This Row],[Email]]))</f>
        <v>charlie.jones@example.com</v>
      </c>
      <c r="Z32" s="2" t="str">
        <f>SUBSTITUTE(Before_Tbl[[#This Row],[Phone]],"-","")</f>
        <v>2613715040</v>
      </c>
      <c r="AA32" t="str">
        <f>TRIM(PROPER(Before_Tbl[[#This Row],[Performance_Score]]))</f>
        <v>Good</v>
      </c>
      <c r="AB32" s="2" t="str">
        <f>TRIM(UPPER(Before_Tbl[[#This Row],[Remote_Work]]))</f>
        <v>TRUE</v>
      </c>
    </row>
    <row r="33" spans="1:28" x14ac:dyDescent="0.35">
      <c r="A33" t="s">
        <v>121</v>
      </c>
      <c r="B33" t="s">
        <v>13</v>
      </c>
      <c r="C33" t="s">
        <v>122</v>
      </c>
      <c r="D33">
        <v>25</v>
      </c>
      <c r="E33" t="s">
        <v>78</v>
      </c>
      <c r="F33" t="s">
        <v>16</v>
      </c>
      <c r="G33" s="1">
        <v>44111</v>
      </c>
      <c r="H33">
        <v>114845.69</v>
      </c>
      <c r="I33" t="s">
        <v>123</v>
      </c>
      <c r="J33">
        <v>-6591520176</v>
      </c>
      <c r="K33" t="s">
        <v>23</v>
      </c>
      <c r="L33" t="b">
        <v>1</v>
      </c>
      <c r="P33" t="str">
        <f>TRIM(Before_Tbl[[#This Row],[Employee_ID]])</f>
        <v>EMP1031</v>
      </c>
      <c r="Q33" t="str">
        <f>TRIM(PROPER(Before_Tbl[[#This Row],[First_Name]]))</f>
        <v>Bob</v>
      </c>
      <c r="R33" t="str">
        <f>TRIM(PROPER(Before_Tbl[[#This Row],[Last_Name]]))</f>
        <v>Smith</v>
      </c>
      <c r="S33" s="25">
        <f t="shared" si="0"/>
        <v>25</v>
      </c>
      <c r="T33" t="str">
        <f>LEFT(Before_Tbl[[#This Row],[Department_Region]],FIND("-",Before_Tbl[[#This Row],[Department_Region]])-1)</f>
        <v>DevOps</v>
      </c>
      <c r="U33" t="str">
        <f>RIGHT(Before_Tbl[[#This Row],[Department_Region]],LEN(Before_Tbl[[#This Row],[Department_Region]])-FIND("-",Before_Tbl[[#This Row],[Department_Region]]))</f>
        <v>Illinois</v>
      </c>
      <c r="V33" t="str">
        <f>TRIM(PROPER(Before_Tbl[[#This Row],[Status]]))</f>
        <v>Active</v>
      </c>
      <c r="W33" s="26">
        <v>44111</v>
      </c>
      <c r="X33" s="4">
        <v>114845.69</v>
      </c>
      <c r="Y33" t="str">
        <f>TRIM(LOWER(Before_Tbl[[#This Row],[Email]]))</f>
        <v>bob.smith@example.com</v>
      </c>
      <c r="Z33" s="2" t="str">
        <f>SUBSTITUTE(Before_Tbl[[#This Row],[Phone]],"-","")</f>
        <v>6591520176</v>
      </c>
      <c r="AA33" t="str">
        <f>TRIM(PROPER(Before_Tbl[[#This Row],[Performance_Score]]))</f>
        <v>Excellent</v>
      </c>
      <c r="AB33" s="2" t="str">
        <f>TRIM(UPPER(Before_Tbl[[#This Row],[Remote_Work]]))</f>
        <v>TRUE</v>
      </c>
    </row>
    <row r="34" spans="1:28" x14ac:dyDescent="0.35">
      <c r="A34" t="s">
        <v>124</v>
      </c>
      <c r="B34" t="s">
        <v>54</v>
      </c>
      <c r="C34" t="s">
        <v>20</v>
      </c>
      <c r="D34">
        <v>40</v>
      </c>
      <c r="E34" t="s">
        <v>112</v>
      </c>
      <c r="F34" t="s">
        <v>16</v>
      </c>
      <c r="G34" s="1">
        <v>45423</v>
      </c>
      <c r="H34">
        <v>78072.820000000007</v>
      </c>
      <c r="I34" t="s">
        <v>125</v>
      </c>
      <c r="J34">
        <v>-7490509758</v>
      </c>
      <c r="K34" t="s">
        <v>18</v>
      </c>
      <c r="L34" t="b">
        <v>0</v>
      </c>
      <c r="P34" t="str">
        <f>TRIM(Before_Tbl[[#This Row],[Employee_ID]])</f>
        <v>EMP1032</v>
      </c>
      <c r="Q34" t="str">
        <f>TRIM(PROPER(Before_Tbl[[#This Row],[First_Name]]))</f>
        <v>Charlie</v>
      </c>
      <c r="R34" t="str">
        <f>TRIM(PROPER(Before_Tbl[[#This Row],[Last_Name]]))</f>
        <v>Brown</v>
      </c>
      <c r="S34" s="25">
        <f t="shared" si="0"/>
        <v>40</v>
      </c>
      <c r="T34" t="str">
        <f>LEFT(Before_Tbl[[#This Row],[Department_Region]],FIND("-",Before_Tbl[[#This Row],[Department_Region]])-1)</f>
        <v>Finance</v>
      </c>
      <c r="U34" t="str">
        <f>RIGHT(Before_Tbl[[#This Row],[Department_Region]],LEN(Before_Tbl[[#This Row],[Department_Region]])-FIND("-",Before_Tbl[[#This Row],[Department_Region]]))</f>
        <v>Florida</v>
      </c>
      <c r="V34" t="str">
        <f>TRIM(PROPER(Before_Tbl[[#This Row],[Status]]))</f>
        <v>Active</v>
      </c>
      <c r="W34" s="26">
        <v>45423</v>
      </c>
      <c r="X34" s="4">
        <v>78072.820000000007</v>
      </c>
      <c r="Y34" t="str">
        <f>TRIM(LOWER(Before_Tbl[[#This Row],[Email]]))</f>
        <v>charlie.brown@example.com</v>
      </c>
      <c r="Z34" s="2" t="str">
        <f>SUBSTITUTE(Before_Tbl[[#This Row],[Phone]],"-","")</f>
        <v>7490509758</v>
      </c>
      <c r="AA34" t="str">
        <f>TRIM(PROPER(Before_Tbl[[#This Row],[Performance_Score]]))</f>
        <v>Average</v>
      </c>
      <c r="AB34" s="2" t="str">
        <f>TRIM(UPPER(Before_Tbl[[#This Row],[Remote_Work]]))</f>
        <v>FALSE</v>
      </c>
    </row>
    <row r="35" spans="1:28" x14ac:dyDescent="0.35">
      <c r="A35" t="s">
        <v>126</v>
      </c>
      <c r="B35" t="s">
        <v>69</v>
      </c>
      <c r="C35" t="s">
        <v>55</v>
      </c>
      <c r="D35">
        <v>25</v>
      </c>
      <c r="E35" t="s">
        <v>70</v>
      </c>
      <c r="F35" t="s">
        <v>33</v>
      </c>
      <c r="G35" s="1">
        <v>44385</v>
      </c>
      <c r="H35">
        <v>79610.52</v>
      </c>
      <c r="I35" t="s">
        <v>127</v>
      </c>
      <c r="J35">
        <v>-2304501895</v>
      </c>
      <c r="K35" t="s">
        <v>18</v>
      </c>
      <c r="L35" t="b">
        <v>0</v>
      </c>
      <c r="P35" t="str">
        <f>TRIM(Before_Tbl[[#This Row],[Employee_ID]])</f>
        <v>EMP1033</v>
      </c>
      <c r="Q35" t="str">
        <f>TRIM(PROPER(Before_Tbl[[#This Row],[First_Name]]))</f>
        <v>Grace</v>
      </c>
      <c r="R35" t="str">
        <f>TRIM(PROPER(Before_Tbl[[#This Row],[Last_Name]]))</f>
        <v>Johnson</v>
      </c>
      <c r="S35" s="25">
        <f t="shared" si="0"/>
        <v>25</v>
      </c>
      <c r="T35" t="str">
        <f>LEFT(Before_Tbl[[#This Row],[Department_Region]],FIND("-",Before_Tbl[[#This Row],[Department_Region]])-1)</f>
        <v>Finance</v>
      </c>
      <c r="U35" t="str">
        <f>RIGHT(Before_Tbl[[#This Row],[Department_Region]],LEN(Before_Tbl[[#This Row],[Department_Region]])-FIND("-",Before_Tbl[[#This Row],[Department_Region]]))</f>
        <v>California</v>
      </c>
      <c r="V35" t="str">
        <f>TRIM(PROPER(Before_Tbl[[#This Row],[Status]]))</f>
        <v>Inactive</v>
      </c>
      <c r="W35" s="26">
        <v>44385</v>
      </c>
      <c r="X35" s="4">
        <v>79610.52</v>
      </c>
      <c r="Y35" t="str">
        <f>TRIM(LOWER(Before_Tbl[[#This Row],[Email]]))</f>
        <v>grace.johnson@example.com</v>
      </c>
      <c r="Z35" s="2" t="str">
        <f>SUBSTITUTE(Before_Tbl[[#This Row],[Phone]],"-","")</f>
        <v>2304501895</v>
      </c>
      <c r="AA35" t="str">
        <f>TRIM(PROPER(Before_Tbl[[#This Row],[Performance_Score]]))</f>
        <v>Average</v>
      </c>
      <c r="AB35" s="2" t="str">
        <f>TRIM(UPPER(Before_Tbl[[#This Row],[Remote_Work]]))</f>
        <v>FALSE</v>
      </c>
    </row>
    <row r="36" spans="1:28" x14ac:dyDescent="0.35">
      <c r="A36" t="s">
        <v>128</v>
      </c>
      <c r="B36" t="s">
        <v>65</v>
      </c>
      <c r="C36" t="s">
        <v>92</v>
      </c>
      <c r="D36">
        <v>30</v>
      </c>
      <c r="E36" t="s">
        <v>118</v>
      </c>
      <c r="F36" t="s">
        <v>16</v>
      </c>
      <c r="G36" t="s">
        <v>129</v>
      </c>
      <c r="H36">
        <v>90542.62</v>
      </c>
      <c r="I36" t="s">
        <v>130</v>
      </c>
      <c r="J36">
        <v>-1642361031</v>
      </c>
      <c r="K36" t="s">
        <v>23</v>
      </c>
      <c r="L36" t="b">
        <v>1</v>
      </c>
      <c r="P36" t="str">
        <f>TRIM(Before_Tbl[[#This Row],[Employee_ID]])</f>
        <v>EMP1034</v>
      </c>
      <c r="Q36" t="str">
        <f>TRIM(PROPER(Before_Tbl[[#This Row],[First_Name]]))</f>
        <v>Heidi</v>
      </c>
      <c r="R36" t="str">
        <f>TRIM(PROPER(Before_Tbl[[#This Row],[Last_Name]]))</f>
        <v>Miller</v>
      </c>
      <c r="S36" s="25">
        <f t="shared" si="0"/>
        <v>30</v>
      </c>
      <c r="T36" t="str">
        <f>LEFT(Before_Tbl[[#This Row],[Department_Region]],FIND("-",Before_Tbl[[#This Row],[Department_Region]])-1)</f>
        <v>Admin</v>
      </c>
      <c r="U36" t="str">
        <f>RIGHT(Before_Tbl[[#This Row],[Department_Region]],LEN(Before_Tbl[[#This Row],[Department_Region]])-FIND("-",Before_Tbl[[#This Row],[Department_Region]]))</f>
        <v>California</v>
      </c>
      <c r="V36" t="str">
        <f>TRIM(PROPER(Before_Tbl[[#This Row],[Status]]))</f>
        <v>Active</v>
      </c>
      <c r="W36" s="26">
        <v>43950</v>
      </c>
      <c r="X36" s="4">
        <v>90542.62</v>
      </c>
      <c r="Y36" t="str">
        <f>TRIM(LOWER(Before_Tbl[[#This Row],[Email]]))</f>
        <v>heidi.miller@example.com</v>
      </c>
      <c r="Z36" s="2" t="str">
        <f>SUBSTITUTE(Before_Tbl[[#This Row],[Phone]],"-","")</f>
        <v>1642361031</v>
      </c>
      <c r="AA36" t="str">
        <f>TRIM(PROPER(Before_Tbl[[#This Row],[Performance_Score]]))</f>
        <v>Excellent</v>
      </c>
      <c r="AB36" s="2" t="str">
        <f>TRIM(UPPER(Before_Tbl[[#This Row],[Remote_Work]]))</f>
        <v>TRUE</v>
      </c>
    </row>
    <row r="37" spans="1:28" x14ac:dyDescent="0.35">
      <c r="A37" t="s">
        <v>131</v>
      </c>
      <c r="B37" t="s">
        <v>37</v>
      </c>
      <c r="C37" t="s">
        <v>26</v>
      </c>
      <c r="D37">
        <v>25</v>
      </c>
      <c r="E37" t="s">
        <v>95</v>
      </c>
      <c r="F37" t="s">
        <v>33</v>
      </c>
      <c r="G37" t="s">
        <v>132</v>
      </c>
      <c r="H37">
        <v>114357.1</v>
      </c>
      <c r="I37" t="s">
        <v>47</v>
      </c>
      <c r="J37">
        <v>-6642147648</v>
      </c>
      <c r="K37" t="s">
        <v>23</v>
      </c>
      <c r="L37" t="b">
        <v>1</v>
      </c>
      <c r="P37" t="str">
        <f>TRIM(Before_Tbl[[#This Row],[Employee_ID]])</f>
        <v>EMP1035</v>
      </c>
      <c r="Q37" t="str">
        <f>TRIM(PROPER(Before_Tbl[[#This Row],[First_Name]]))</f>
        <v>Frank</v>
      </c>
      <c r="R37" t="str">
        <f>TRIM(PROPER(Before_Tbl[[#This Row],[Last_Name]]))</f>
        <v>Jones</v>
      </c>
      <c r="S37" s="25">
        <f t="shared" si="0"/>
        <v>25</v>
      </c>
      <c r="T37" t="str">
        <f>LEFT(Before_Tbl[[#This Row],[Department_Region]],FIND("-",Before_Tbl[[#This Row],[Department_Region]])-1)</f>
        <v>Cloud Tech</v>
      </c>
      <c r="U37" t="str">
        <f>RIGHT(Before_Tbl[[#This Row],[Department_Region]],LEN(Before_Tbl[[#This Row],[Department_Region]])-FIND("-",Before_Tbl[[#This Row],[Department_Region]]))</f>
        <v>Illinois</v>
      </c>
      <c r="V37" t="str">
        <f>TRIM(PROPER(Before_Tbl[[#This Row],[Status]]))</f>
        <v>Inactive</v>
      </c>
      <c r="W37" s="26">
        <v>44860</v>
      </c>
      <c r="X37" s="4">
        <v>114357.1</v>
      </c>
      <c r="Y37" t="str">
        <f>TRIM(LOWER(Before_Tbl[[#This Row],[Email]]))</f>
        <v>frank.jones@example.com</v>
      </c>
      <c r="Z37" s="2" t="str">
        <f>SUBSTITUTE(Before_Tbl[[#This Row],[Phone]],"-","")</f>
        <v>6642147648</v>
      </c>
      <c r="AA37" t="str">
        <f>TRIM(PROPER(Before_Tbl[[#This Row],[Performance_Score]]))</f>
        <v>Excellent</v>
      </c>
      <c r="AB37" s="2" t="str">
        <f>TRIM(UPPER(Before_Tbl[[#This Row],[Remote_Work]]))</f>
        <v>TRUE</v>
      </c>
    </row>
    <row r="38" spans="1:28" x14ac:dyDescent="0.35">
      <c r="A38" t="s">
        <v>133</v>
      </c>
      <c r="B38" t="s">
        <v>25</v>
      </c>
      <c r="C38" t="s">
        <v>20</v>
      </c>
      <c r="E38" t="s">
        <v>60</v>
      </c>
      <c r="F38" t="s">
        <v>16</v>
      </c>
      <c r="G38" s="1">
        <v>44990</v>
      </c>
      <c r="H38">
        <v>54757.26</v>
      </c>
      <c r="I38" t="s">
        <v>80</v>
      </c>
      <c r="J38">
        <v>-2515837766</v>
      </c>
      <c r="K38" t="s">
        <v>41</v>
      </c>
      <c r="L38" t="b">
        <v>0</v>
      </c>
      <c r="P38" t="str">
        <f>TRIM(Before_Tbl[[#This Row],[Employee_ID]])</f>
        <v>EMP1036</v>
      </c>
      <c r="Q38" t="str">
        <f>TRIM(PROPER(Before_Tbl[[#This Row],[First_Name]]))</f>
        <v>Alice</v>
      </c>
      <c r="R38" t="str">
        <f>TRIM(PROPER(Before_Tbl[[#This Row],[Last_Name]]))</f>
        <v>Brown</v>
      </c>
      <c r="S38" s="25">
        <f t="shared" si="0"/>
        <v>30</v>
      </c>
      <c r="T38" t="str">
        <f>LEFT(Before_Tbl[[#This Row],[Department_Region]],FIND("-",Before_Tbl[[#This Row],[Department_Region]])-1)</f>
        <v>Cloud Tech</v>
      </c>
      <c r="U38" t="str">
        <f>RIGHT(Before_Tbl[[#This Row],[Department_Region]],LEN(Before_Tbl[[#This Row],[Department_Region]])-FIND("-",Before_Tbl[[#This Row],[Department_Region]]))</f>
        <v>New York</v>
      </c>
      <c r="V38" t="str">
        <f>TRIM(PROPER(Before_Tbl[[#This Row],[Status]]))</f>
        <v>Active</v>
      </c>
      <c r="W38" s="26">
        <v>44990</v>
      </c>
      <c r="X38" s="4">
        <v>54757.26</v>
      </c>
      <c r="Y38" t="str">
        <f>TRIM(LOWER(Before_Tbl[[#This Row],[Email]]))</f>
        <v>alice.brown@example.com</v>
      </c>
      <c r="Z38" s="2" t="str">
        <f>SUBSTITUTE(Before_Tbl[[#This Row],[Phone]],"-","")</f>
        <v>2515837766</v>
      </c>
      <c r="AA38" t="str">
        <f>TRIM(PROPER(Before_Tbl[[#This Row],[Performance_Score]]))</f>
        <v>Poor</v>
      </c>
      <c r="AB38" s="2" t="str">
        <f>TRIM(UPPER(Before_Tbl[[#This Row],[Remote_Work]]))</f>
        <v>FALSE</v>
      </c>
    </row>
    <row r="39" spans="1:28" x14ac:dyDescent="0.35">
      <c r="A39" t="s">
        <v>134</v>
      </c>
      <c r="B39" t="s">
        <v>69</v>
      </c>
      <c r="C39" t="s">
        <v>122</v>
      </c>
      <c r="D39">
        <v>25</v>
      </c>
      <c r="E39" t="s">
        <v>109</v>
      </c>
      <c r="F39" t="s">
        <v>28</v>
      </c>
      <c r="G39" s="1">
        <v>44962</v>
      </c>
      <c r="H39">
        <v>52781.919999999998</v>
      </c>
      <c r="I39" t="s">
        <v>135</v>
      </c>
      <c r="J39">
        <v>-4996165925</v>
      </c>
      <c r="K39" t="s">
        <v>18</v>
      </c>
      <c r="L39" t="b">
        <v>1</v>
      </c>
      <c r="P39" t="str">
        <f>TRIM(Before_Tbl[[#This Row],[Employee_ID]])</f>
        <v>EMP1037</v>
      </c>
      <c r="Q39" t="str">
        <f>TRIM(PROPER(Before_Tbl[[#This Row],[First_Name]]))</f>
        <v>Grace</v>
      </c>
      <c r="R39" t="str">
        <f>TRIM(PROPER(Before_Tbl[[#This Row],[Last_Name]]))</f>
        <v>Smith</v>
      </c>
      <c r="S39" s="25">
        <f t="shared" si="0"/>
        <v>25</v>
      </c>
      <c r="T39" t="str">
        <f>LEFT(Before_Tbl[[#This Row],[Department_Region]],FIND("-",Before_Tbl[[#This Row],[Department_Region]])-1)</f>
        <v>Sales</v>
      </c>
      <c r="U39" t="str">
        <f>RIGHT(Before_Tbl[[#This Row],[Department_Region]],LEN(Before_Tbl[[#This Row],[Department_Region]])-FIND("-",Before_Tbl[[#This Row],[Department_Region]]))</f>
        <v>New York</v>
      </c>
      <c r="V39" t="str">
        <f>TRIM(PROPER(Before_Tbl[[#This Row],[Status]]))</f>
        <v>Pending</v>
      </c>
      <c r="W39" s="26">
        <v>44962</v>
      </c>
      <c r="X39" s="4">
        <v>52781.919999999998</v>
      </c>
      <c r="Y39" t="str">
        <f>TRIM(LOWER(Before_Tbl[[#This Row],[Email]]))</f>
        <v>grace.smith@example.com</v>
      </c>
      <c r="Z39" s="2" t="str">
        <f>SUBSTITUTE(Before_Tbl[[#This Row],[Phone]],"-","")</f>
        <v>4996165925</v>
      </c>
      <c r="AA39" t="str">
        <f>TRIM(PROPER(Before_Tbl[[#This Row],[Performance_Score]]))</f>
        <v>Average</v>
      </c>
      <c r="AB39" s="2" t="str">
        <f>TRIM(UPPER(Before_Tbl[[#This Row],[Remote_Work]]))</f>
        <v>TRUE</v>
      </c>
    </row>
    <row r="40" spans="1:28" x14ac:dyDescent="0.35">
      <c r="A40" t="s">
        <v>136</v>
      </c>
      <c r="B40" t="s">
        <v>37</v>
      </c>
      <c r="C40" t="s">
        <v>122</v>
      </c>
      <c r="D40">
        <v>35</v>
      </c>
      <c r="E40" t="s">
        <v>27</v>
      </c>
      <c r="F40" t="s">
        <v>28</v>
      </c>
      <c r="G40" s="1">
        <v>44326</v>
      </c>
      <c r="H40">
        <v>66708.02</v>
      </c>
      <c r="I40" t="s">
        <v>137</v>
      </c>
      <c r="J40">
        <v>-6108573277</v>
      </c>
      <c r="K40" t="s">
        <v>30</v>
      </c>
      <c r="L40" t="b">
        <v>1</v>
      </c>
      <c r="P40" t="str">
        <f>TRIM(Before_Tbl[[#This Row],[Employee_ID]])</f>
        <v>EMP1038</v>
      </c>
      <c r="Q40" t="str">
        <f>TRIM(PROPER(Before_Tbl[[#This Row],[First_Name]]))</f>
        <v>Frank</v>
      </c>
      <c r="R40" t="str">
        <f>TRIM(PROPER(Before_Tbl[[#This Row],[Last_Name]]))</f>
        <v>Smith</v>
      </c>
      <c r="S40" s="25">
        <f t="shared" si="0"/>
        <v>35</v>
      </c>
      <c r="T40" t="str">
        <f>LEFT(Before_Tbl[[#This Row],[Department_Region]],FIND("-",Before_Tbl[[#This Row],[Department_Region]])-1)</f>
        <v>Admin</v>
      </c>
      <c r="U40" t="str">
        <f>RIGHT(Before_Tbl[[#This Row],[Department_Region]],LEN(Before_Tbl[[#This Row],[Department_Region]])-FIND("-",Before_Tbl[[#This Row],[Department_Region]]))</f>
        <v>Nevada</v>
      </c>
      <c r="V40" t="str">
        <f>TRIM(PROPER(Before_Tbl[[#This Row],[Status]]))</f>
        <v>Pending</v>
      </c>
      <c r="W40" s="26">
        <v>44326</v>
      </c>
      <c r="X40" s="4">
        <v>66708.02</v>
      </c>
      <c r="Y40" t="str">
        <f>TRIM(LOWER(Before_Tbl[[#This Row],[Email]]))</f>
        <v>frank.smith@example.com</v>
      </c>
      <c r="Z40" s="2" t="str">
        <f>SUBSTITUTE(Before_Tbl[[#This Row],[Phone]],"-","")</f>
        <v>6108573277</v>
      </c>
      <c r="AA40" t="str">
        <f>TRIM(PROPER(Before_Tbl[[#This Row],[Performance_Score]]))</f>
        <v>Good</v>
      </c>
      <c r="AB40" s="2" t="str">
        <f>TRIM(UPPER(Before_Tbl[[#This Row],[Remote_Work]]))</f>
        <v>TRUE</v>
      </c>
    </row>
    <row r="41" spans="1:28" x14ac:dyDescent="0.35">
      <c r="A41" t="s">
        <v>138</v>
      </c>
      <c r="B41" t="s">
        <v>32</v>
      </c>
      <c r="C41" t="s">
        <v>38</v>
      </c>
      <c r="D41">
        <v>40</v>
      </c>
      <c r="E41" t="s">
        <v>139</v>
      </c>
      <c r="F41" t="s">
        <v>16</v>
      </c>
      <c r="G41" t="s">
        <v>140</v>
      </c>
      <c r="H41">
        <v>93481.15</v>
      </c>
      <c r="I41" t="s">
        <v>141</v>
      </c>
      <c r="J41">
        <v>-8147617421</v>
      </c>
      <c r="K41" t="s">
        <v>41</v>
      </c>
      <c r="L41" t="b">
        <v>0</v>
      </c>
      <c r="P41" t="str">
        <f>TRIM(Before_Tbl[[#This Row],[Employee_ID]])</f>
        <v>EMP1039</v>
      </c>
      <c r="Q41" t="str">
        <f>TRIM(PROPER(Before_Tbl[[#This Row],[First_Name]]))</f>
        <v>Eva</v>
      </c>
      <c r="R41" t="str">
        <f>TRIM(PROPER(Before_Tbl[[#This Row],[Last_Name]]))</f>
        <v>Williams</v>
      </c>
      <c r="S41" s="25">
        <f t="shared" si="0"/>
        <v>40</v>
      </c>
      <c r="T41" t="str">
        <f>LEFT(Before_Tbl[[#This Row],[Department_Region]],FIND("-",Before_Tbl[[#This Row],[Department_Region]])-1)</f>
        <v>HR</v>
      </c>
      <c r="U41" t="str">
        <f>RIGHT(Before_Tbl[[#This Row],[Department_Region]],LEN(Before_Tbl[[#This Row],[Department_Region]])-FIND("-",Before_Tbl[[#This Row],[Department_Region]]))</f>
        <v>Texas</v>
      </c>
      <c r="V41" t="str">
        <f>TRIM(PROPER(Before_Tbl[[#This Row],[Status]]))</f>
        <v>Active</v>
      </c>
      <c r="W41" s="26">
        <v>44769</v>
      </c>
      <c r="X41" s="4">
        <v>93481.15</v>
      </c>
      <c r="Y41" t="str">
        <f>TRIM(LOWER(Before_Tbl[[#This Row],[Email]]))</f>
        <v>eva.williams@example.com</v>
      </c>
      <c r="Z41" s="2" t="str">
        <f>SUBSTITUTE(Before_Tbl[[#This Row],[Phone]],"-","")</f>
        <v>8147617421</v>
      </c>
      <c r="AA41" t="str">
        <f>TRIM(PROPER(Before_Tbl[[#This Row],[Performance_Score]]))</f>
        <v>Poor</v>
      </c>
      <c r="AB41" s="2" t="str">
        <f>TRIM(UPPER(Before_Tbl[[#This Row],[Remote_Work]]))</f>
        <v>FALSE</v>
      </c>
    </row>
    <row r="42" spans="1:28" x14ac:dyDescent="0.35">
      <c r="A42" t="s">
        <v>142</v>
      </c>
      <c r="B42" t="s">
        <v>13</v>
      </c>
      <c r="C42" t="s">
        <v>38</v>
      </c>
      <c r="D42">
        <v>25</v>
      </c>
      <c r="E42" t="s">
        <v>109</v>
      </c>
      <c r="F42" t="s">
        <v>28</v>
      </c>
      <c r="G42" t="s">
        <v>143</v>
      </c>
      <c r="H42">
        <v>59271.96</v>
      </c>
      <c r="I42" t="s">
        <v>144</v>
      </c>
      <c r="J42">
        <v>-4386490809</v>
      </c>
      <c r="K42" t="s">
        <v>23</v>
      </c>
      <c r="L42" t="b">
        <v>1</v>
      </c>
      <c r="P42" t="str">
        <f>TRIM(Before_Tbl[[#This Row],[Employee_ID]])</f>
        <v>EMP1040</v>
      </c>
      <c r="Q42" t="str">
        <f>TRIM(PROPER(Before_Tbl[[#This Row],[First_Name]]))</f>
        <v>Bob</v>
      </c>
      <c r="R42" t="str">
        <f>TRIM(PROPER(Before_Tbl[[#This Row],[Last_Name]]))</f>
        <v>Williams</v>
      </c>
      <c r="S42" s="25">
        <f t="shared" si="0"/>
        <v>25</v>
      </c>
      <c r="T42" t="str">
        <f>LEFT(Before_Tbl[[#This Row],[Department_Region]],FIND("-",Before_Tbl[[#This Row],[Department_Region]])-1)</f>
        <v>Sales</v>
      </c>
      <c r="U42" t="str">
        <f>RIGHT(Before_Tbl[[#This Row],[Department_Region]],LEN(Before_Tbl[[#This Row],[Department_Region]])-FIND("-",Before_Tbl[[#This Row],[Department_Region]]))</f>
        <v>New York</v>
      </c>
      <c r="V42" t="str">
        <f>TRIM(PROPER(Before_Tbl[[#This Row],[Status]]))</f>
        <v>Pending</v>
      </c>
      <c r="W42" s="26">
        <v>44374</v>
      </c>
      <c r="X42" s="4">
        <v>59271.96</v>
      </c>
      <c r="Y42" t="str">
        <f>TRIM(LOWER(Before_Tbl[[#This Row],[Email]]))</f>
        <v>bob.williams@example.com</v>
      </c>
      <c r="Z42" s="2" t="str">
        <f>SUBSTITUTE(Before_Tbl[[#This Row],[Phone]],"-","")</f>
        <v>4386490809</v>
      </c>
      <c r="AA42" t="str">
        <f>TRIM(PROPER(Before_Tbl[[#This Row],[Performance_Score]]))</f>
        <v>Excellent</v>
      </c>
      <c r="AB42" s="2" t="str">
        <f>TRIM(UPPER(Before_Tbl[[#This Row],[Remote_Work]]))</f>
        <v>TRUE</v>
      </c>
    </row>
    <row r="43" spans="1:28" x14ac:dyDescent="0.35">
      <c r="A43" t="s">
        <v>145</v>
      </c>
      <c r="B43" t="s">
        <v>13</v>
      </c>
      <c r="C43" t="s">
        <v>14</v>
      </c>
      <c r="D43">
        <v>30</v>
      </c>
      <c r="E43" t="s">
        <v>146</v>
      </c>
      <c r="F43" t="s">
        <v>16</v>
      </c>
      <c r="G43" t="s">
        <v>147</v>
      </c>
      <c r="H43">
        <v>108362.15</v>
      </c>
      <c r="I43" t="s">
        <v>17</v>
      </c>
      <c r="J43">
        <v>-8186617944</v>
      </c>
      <c r="K43" t="s">
        <v>23</v>
      </c>
      <c r="L43" t="b">
        <v>0</v>
      </c>
      <c r="P43" t="str">
        <f>TRIM(Before_Tbl[[#This Row],[Employee_ID]])</f>
        <v>EMP1041</v>
      </c>
      <c r="Q43" t="str">
        <f>TRIM(PROPER(Before_Tbl[[#This Row],[First_Name]]))</f>
        <v>Bob</v>
      </c>
      <c r="R43" t="str">
        <f>TRIM(PROPER(Before_Tbl[[#This Row],[Last_Name]]))</f>
        <v>Davis</v>
      </c>
      <c r="S43" s="25">
        <f t="shared" si="0"/>
        <v>30</v>
      </c>
      <c r="T43" t="str">
        <f>LEFT(Before_Tbl[[#This Row],[Department_Region]],FIND("-",Before_Tbl[[#This Row],[Department_Region]])-1)</f>
        <v>HR</v>
      </c>
      <c r="U43" t="str">
        <f>RIGHT(Before_Tbl[[#This Row],[Department_Region]],LEN(Before_Tbl[[#This Row],[Department_Region]])-FIND("-",Before_Tbl[[#This Row],[Department_Region]]))</f>
        <v>California</v>
      </c>
      <c r="V43" t="str">
        <f>TRIM(PROPER(Before_Tbl[[#This Row],[Status]]))</f>
        <v>Active</v>
      </c>
      <c r="W43" s="26">
        <v>44728</v>
      </c>
      <c r="X43" s="4">
        <v>108362.15</v>
      </c>
      <c r="Y43" t="str">
        <f>TRIM(LOWER(Before_Tbl[[#This Row],[Email]]))</f>
        <v>bob.davis@example.com</v>
      </c>
      <c r="Z43" s="2" t="str">
        <f>SUBSTITUTE(Before_Tbl[[#This Row],[Phone]],"-","")</f>
        <v>8186617944</v>
      </c>
      <c r="AA43" t="str">
        <f>TRIM(PROPER(Before_Tbl[[#This Row],[Performance_Score]]))</f>
        <v>Excellent</v>
      </c>
      <c r="AB43" s="2" t="str">
        <f>TRIM(UPPER(Before_Tbl[[#This Row],[Remote_Work]]))</f>
        <v>FALSE</v>
      </c>
    </row>
    <row r="44" spans="1:28" x14ac:dyDescent="0.35">
      <c r="A44" t="s">
        <v>148</v>
      </c>
      <c r="B44" t="s">
        <v>25</v>
      </c>
      <c r="C44" t="s">
        <v>55</v>
      </c>
      <c r="E44" t="s">
        <v>149</v>
      </c>
      <c r="F44" t="s">
        <v>16</v>
      </c>
      <c r="G44" s="1">
        <v>45363</v>
      </c>
      <c r="H44">
        <v>59400.38</v>
      </c>
      <c r="I44" t="s">
        <v>150</v>
      </c>
      <c r="J44">
        <v>-4918017225</v>
      </c>
      <c r="K44" t="s">
        <v>18</v>
      </c>
      <c r="L44" t="b">
        <v>1</v>
      </c>
      <c r="P44" t="str">
        <f>TRIM(Before_Tbl[[#This Row],[Employee_ID]])</f>
        <v>EMP1042</v>
      </c>
      <c r="Q44" t="str">
        <f>TRIM(PROPER(Before_Tbl[[#This Row],[First_Name]]))</f>
        <v>Alice</v>
      </c>
      <c r="R44" t="str">
        <f>TRIM(PROPER(Before_Tbl[[#This Row],[Last_Name]]))</f>
        <v>Johnson</v>
      </c>
      <c r="S44" s="25">
        <f t="shared" si="0"/>
        <v>30</v>
      </c>
      <c r="T44" t="str">
        <f>LEFT(Before_Tbl[[#This Row],[Department_Region]],FIND("-",Before_Tbl[[#This Row],[Department_Region]])-1)</f>
        <v>HR</v>
      </c>
      <c r="U44" t="str">
        <f>RIGHT(Before_Tbl[[#This Row],[Department_Region]],LEN(Before_Tbl[[#This Row],[Department_Region]])-FIND("-",Before_Tbl[[#This Row],[Department_Region]]))</f>
        <v>Nevada</v>
      </c>
      <c r="V44" t="str">
        <f>TRIM(PROPER(Before_Tbl[[#This Row],[Status]]))</f>
        <v>Active</v>
      </c>
      <c r="W44" s="26">
        <v>45363</v>
      </c>
      <c r="X44" s="4">
        <v>59400.38</v>
      </c>
      <c r="Y44" t="str">
        <f>TRIM(LOWER(Before_Tbl[[#This Row],[Email]]))</f>
        <v>alice.johnson@example.com</v>
      </c>
      <c r="Z44" s="2" t="str">
        <f>SUBSTITUTE(Before_Tbl[[#This Row],[Phone]],"-","")</f>
        <v>4918017225</v>
      </c>
      <c r="AA44" t="str">
        <f>TRIM(PROPER(Before_Tbl[[#This Row],[Performance_Score]]))</f>
        <v>Average</v>
      </c>
      <c r="AB44" s="2" t="str">
        <f>TRIM(UPPER(Before_Tbl[[#This Row],[Remote_Work]]))</f>
        <v>TRUE</v>
      </c>
    </row>
    <row r="45" spans="1:28" x14ac:dyDescent="0.35">
      <c r="A45" t="s">
        <v>151</v>
      </c>
      <c r="B45" t="s">
        <v>13</v>
      </c>
      <c r="C45" t="s">
        <v>43</v>
      </c>
      <c r="E45" t="s">
        <v>118</v>
      </c>
      <c r="F45" t="s">
        <v>33</v>
      </c>
      <c r="G45" t="s">
        <v>152</v>
      </c>
      <c r="H45">
        <v>64744.08</v>
      </c>
      <c r="I45" t="s">
        <v>153</v>
      </c>
      <c r="J45">
        <v>-164597793</v>
      </c>
      <c r="K45" t="s">
        <v>23</v>
      </c>
      <c r="L45" t="b">
        <v>0</v>
      </c>
      <c r="P45" t="str">
        <f>TRIM(Before_Tbl[[#This Row],[Employee_ID]])</f>
        <v>EMP1043</v>
      </c>
      <c r="Q45" t="str">
        <f>TRIM(PROPER(Before_Tbl[[#This Row],[First_Name]]))</f>
        <v>Bob</v>
      </c>
      <c r="R45" t="str">
        <f>TRIM(PROPER(Before_Tbl[[#This Row],[Last_Name]]))</f>
        <v>Garcia</v>
      </c>
      <c r="S45" s="25">
        <f t="shared" si="0"/>
        <v>30</v>
      </c>
      <c r="T45" t="str">
        <f>LEFT(Before_Tbl[[#This Row],[Department_Region]],FIND("-",Before_Tbl[[#This Row],[Department_Region]])-1)</f>
        <v>Admin</v>
      </c>
      <c r="U45" t="str">
        <f>RIGHT(Before_Tbl[[#This Row],[Department_Region]],LEN(Before_Tbl[[#This Row],[Department_Region]])-FIND("-",Before_Tbl[[#This Row],[Department_Region]]))</f>
        <v>California</v>
      </c>
      <c r="V45" t="str">
        <f>TRIM(PROPER(Before_Tbl[[#This Row],[Status]]))</f>
        <v>Inactive</v>
      </c>
      <c r="W45" s="26">
        <v>45069</v>
      </c>
      <c r="X45" s="4">
        <v>64744.08</v>
      </c>
      <c r="Y45" t="str">
        <f>TRIM(LOWER(Before_Tbl[[#This Row],[Email]]))</f>
        <v>bob.garcia@example.com</v>
      </c>
      <c r="Z45" s="2" t="str">
        <f>SUBSTITUTE(Before_Tbl[[#This Row],[Phone]],"-","")</f>
        <v>164597793</v>
      </c>
      <c r="AA45" t="str">
        <f>TRIM(PROPER(Before_Tbl[[#This Row],[Performance_Score]]))</f>
        <v>Excellent</v>
      </c>
      <c r="AB45" s="2" t="str">
        <f>TRIM(UPPER(Before_Tbl[[#This Row],[Remote_Work]]))</f>
        <v>FALSE</v>
      </c>
    </row>
    <row r="46" spans="1:28" x14ac:dyDescent="0.35">
      <c r="A46" t="s">
        <v>154</v>
      </c>
      <c r="B46" t="s">
        <v>32</v>
      </c>
      <c r="C46" t="s">
        <v>20</v>
      </c>
      <c r="E46" t="s">
        <v>70</v>
      </c>
      <c r="F46" t="s">
        <v>16</v>
      </c>
      <c r="G46" s="1">
        <v>44050</v>
      </c>
      <c r="H46">
        <v>94399.91</v>
      </c>
      <c r="I46" t="s">
        <v>155</v>
      </c>
      <c r="J46">
        <v>-5232194167</v>
      </c>
      <c r="K46" t="s">
        <v>30</v>
      </c>
      <c r="L46" t="b">
        <v>1</v>
      </c>
      <c r="P46" t="str">
        <f>TRIM(Before_Tbl[[#This Row],[Employee_ID]])</f>
        <v>EMP1044</v>
      </c>
      <c r="Q46" t="str">
        <f>TRIM(PROPER(Before_Tbl[[#This Row],[First_Name]]))</f>
        <v>Eva</v>
      </c>
      <c r="R46" t="str">
        <f>TRIM(PROPER(Before_Tbl[[#This Row],[Last_Name]]))</f>
        <v>Brown</v>
      </c>
      <c r="S46" s="25">
        <f t="shared" si="0"/>
        <v>30</v>
      </c>
      <c r="T46" t="str">
        <f>LEFT(Before_Tbl[[#This Row],[Department_Region]],FIND("-",Before_Tbl[[#This Row],[Department_Region]])-1)</f>
        <v>Finance</v>
      </c>
      <c r="U46" t="str">
        <f>RIGHT(Before_Tbl[[#This Row],[Department_Region]],LEN(Before_Tbl[[#This Row],[Department_Region]])-FIND("-",Before_Tbl[[#This Row],[Department_Region]]))</f>
        <v>California</v>
      </c>
      <c r="V46" t="str">
        <f>TRIM(PROPER(Before_Tbl[[#This Row],[Status]]))</f>
        <v>Active</v>
      </c>
      <c r="W46" s="26">
        <v>44050</v>
      </c>
      <c r="X46" s="4">
        <v>94399.91</v>
      </c>
      <c r="Y46" t="str">
        <f>TRIM(LOWER(Before_Tbl[[#This Row],[Email]]))</f>
        <v>eva.brown@example.com</v>
      </c>
      <c r="Z46" s="2" t="str">
        <f>SUBSTITUTE(Before_Tbl[[#This Row],[Phone]],"-","")</f>
        <v>5232194167</v>
      </c>
      <c r="AA46" t="str">
        <f>TRIM(PROPER(Before_Tbl[[#This Row],[Performance_Score]]))</f>
        <v>Good</v>
      </c>
      <c r="AB46" s="2" t="str">
        <f>TRIM(UPPER(Before_Tbl[[#This Row],[Remote_Work]]))</f>
        <v>TRUE</v>
      </c>
    </row>
    <row r="47" spans="1:28" x14ac:dyDescent="0.35">
      <c r="A47" t="s">
        <v>156</v>
      </c>
      <c r="B47" t="s">
        <v>25</v>
      </c>
      <c r="C47" t="s">
        <v>20</v>
      </c>
      <c r="D47">
        <v>25</v>
      </c>
      <c r="E47" t="s">
        <v>66</v>
      </c>
      <c r="F47" t="s">
        <v>28</v>
      </c>
      <c r="G47" t="s">
        <v>157</v>
      </c>
      <c r="H47">
        <v>61310.74</v>
      </c>
      <c r="I47" t="s">
        <v>80</v>
      </c>
      <c r="J47">
        <v>-61027768</v>
      </c>
      <c r="K47" t="s">
        <v>18</v>
      </c>
      <c r="L47" t="b">
        <v>1</v>
      </c>
      <c r="P47" t="str">
        <f>TRIM(Before_Tbl[[#This Row],[Employee_ID]])</f>
        <v>EMP1045</v>
      </c>
      <c r="Q47" t="str">
        <f>TRIM(PROPER(Before_Tbl[[#This Row],[First_Name]]))</f>
        <v>Alice</v>
      </c>
      <c r="R47" t="str">
        <f>TRIM(PROPER(Before_Tbl[[#This Row],[Last_Name]]))</f>
        <v>Brown</v>
      </c>
      <c r="S47" s="25">
        <f t="shared" si="0"/>
        <v>25</v>
      </c>
      <c r="T47" t="str">
        <f>LEFT(Before_Tbl[[#This Row],[Department_Region]],FIND("-",Before_Tbl[[#This Row],[Department_Region]])-1)</f>
        <v>HR</v>
      </c>
      <c r="U47" t="str">
        <f>RIGHT(Before_Tbl[[#This Row],[Department_Region]],LEN(Before_Tbl[[#This Row],[Department_Region]])-FIND("-",Before_Tbl[[#This Row],[Department_Region]]))</f>
        <v>New York</v>
      </c>
      <c r="V47" t="str">
        <f>TRIM(PROPER(Before_Tbl[[#This Row],[Status]]))</f>
        <v>Pending</v>
      </c>
      <c r="W47" s="26">
        <v>44367</v>
      </c>
      <c r="X47" s="4">
        <v>61310.74</v>
      </c>
      <c r="Y47" t="str">
        <f>TRIM(LOWER(Before_Tbl[[#This Row],[Email]]))</f>
        <v>alice.brown@example.com</v>
      </c>
      <c r="Z47" s="2" t="str">
        <f>SUBSTITUTE(Before_Tbl[[#This Row],[Phone]],"-","")</f>
        <v>61027768</v>
      </c>
      <c r="AA47" t="str">
        <f>TRIM(PROPER(Before_Tbl[[#This Row],[Performance_Score]]))</f>
        <v>Average</v>
      </c>
      <c r="AB47" s="2" t="str">
        <f>TRIM(UPPER(Before_Tbl[[#This Row],[Remote_Work]]))</f>
        <v>TRUE</v>
      </c>
    </row>
    <row r="48" spans="1:28" x14ac:dyDescent="0.35">
      <c r="A48" t="s">
        <v>158</v>
      </c>
      <c r="B48" t="s">
        <v>69</v>
      </c>
      <c r="C48" t="s">
        <v>43</v>
      </c>
      <c r="E48" t="s">
        <v>159</v>
      </c>
      <c r="F48" t="s">
        <v>16</v>
      </c>
      <c r="G48" t="s">
        <v>160</v>
      </c>
      <c r="H48">
        <v>98371.37</v>
      </c>
      <c r="I48" t="s">
        <v>83</v>
      </c>
      <c r="J48">
        <v>-7499564121</v>
      </c>
      <c r="K48" t="s">
        <v>23</v>
      </c>
      <c r="L48" t="b">
        <v>0</v>
      </c>
      <c r="P48" t="str">
        <f>TRIM(Before_Tbl[[#This Row],[Employee_ID]])</f>
        <v>EMP1046</v>
      </c>
      <c r="Q48" t="str">
        <f>TRIM(PROPER(Before_Tbl[[#This Row],[First_Name]]))</f>
        <v>Grace</v>
      </c>
      <c r="R48" t="str">
        <f>TRIM(PROPER(Before_Tbl[[#This Row],[Last_Name]]))</f>
        <v>Garcia</v>
      </c>
      <c r="S48" s="25">
        <f t="shared" si="0"/>
        <v>30</v>
      </c>
      <c r="T48" t="str">
        <f>LEFT(Before_Tbl[[#This Row],[Department_Region]],FIND("-",Before_Tbl[[#This Row],[Department_Region]])-1)</f>
        <v>Cloud Tech</v>
      </c>
      <c r="U48" t="str">
        <f>RIGHT(Before_Tbl[[#This Row],[Department_Region]],LEN(Before_Tbl[[#This Row],[Department_Region]])-FIND("-",Before_Tbl[[#This Row],[Department_Region]]))</f>
        <v>Texas</v>
      </c>
      <c r="V48" t="str">
        <f>TRIM(PROPER(Before_Tbl[[#This Row],[Status]]))</f>
        <v>Active</v>
      </c>
      <c r="W48" s="26">
        <v>45639</v>
      </c>
      <c r="X48" s="4">
        <v>98371.37</v>
      </c>
      <c r="Y48" t="str">
        <f>TRIM(LOWER(Before_Tbl[[#This Row],[Email]]))</f>
        <v>grace.garcia@example.com</v>
      </c>
      <c r="Z48" s="2" t="str">
        <f>SUBSTITUTE(Before_Tbl[[#This Row],[Phone]],"-","")</f>
        <v>7499564121</v>
      </c>
      <c r="AA48" t="str">
        <f>TRIM(PROPER(Before_Tbl[[#This Row],[Performance_Score]]))</f>
        <v>Excellent</v>
      </c>
      <c r="AB48" s="2" t="str">
        <f>TRIM(UPPER(Before_Tbl[[#This Row],[Remote_Work]]))</f>
        <v>FALSE</v>
      </c>
    </row>
    <row r="49" spans="1:28" x14ac:dyDescent="0.35">
      <c r="A49" t="s">
        <v>161</v>
      </c>
      <c r="B49" t="s">
        <v>25</v>
      </c>
      <c r="C49" t="s">
        <v>14</v>
      </c>
      <c r="D49">
        <v>35</v>
      </c>
      <c r="E49" t="s">
        <v>98</v>
      </c>
      <c r="F49" t="s">
        <v>16</v>
      </c>
      <c r="G49" t="s">
        <v>162</v>
      </c>
      <c r="H49">
        <v>58921.19</v>
      </c>
      <c r="I49" t="s">
        <v>163</v>
      </c>
      <c r="J49">
        <v>-310303722</v>
      </c>
      <c r="K49" t="s">
        <v>18</v>
      </c>
      <c r="L49" t="b">
        <v>1</v>
      </c>
      <c r="P49" t="str">
        <f>TRIM(Before_Tbl[[#This Row],[Employee_ID]])</f>
        <v>EMP1047</v>
      </c>
      <c r="Q49" t="str">
        <f>TRIM(PROPER(Before_Tbl[[#This Row],[First_Name]]))</f>
        <v>Alice</v>
      </c>
      <c r="R49" t="str">
        <f>TRIM(PROPER(Before_Tbl[[#This Row],[Last_Name]]))</f>
        <v>Davis</v>
      </c>
      <c r="S49" s="25">
        <f t="shared" si="0"/>
        <v>35</v>
      </c>
      <c r="T49" t="str">
        <f>LEFT(Before_Tbl[[#This Row],[Department_Region]],FIND("-",Before_Tbl[[#This Row],[Department_Region]])-1)</f>
        <v>Sales</v>
      </c>
      <c r="U49" t="str">
        <f>RIGHT(Before_Tbl[[#This Row],[Department_Region]],LEN(Before_Tbl[[#This Row],[Department_Region]])-FIND("-",Before_Tbl[[#This Row],[Department_Region]]))</f>
        <v>Illinois</v>
      </c>
      <c r="V49" t="str">
        <f>TRIM(PROPER(Before_Tbl[[#This Row],[Status]]))</f>
        <v>Active</v>
      </c>
      <c r="W49" s="26">
        <v>44711</v>
      </c>
      <c r="X49" s="4">
        <v>58921.19</v>
      </c>
      <c r="Y49" t="str">
        <f>TRIM(LOWER(Before_Tbl[[#This Row],[Email]]))</f>
        <v>alice.davis@example.com</v>
      </c>
      <c r="Z49" s="2" t="str">
        <f>SUBSTITUTE(Before_Tbl[[#This Row],[Phone]],"-","")</f>
        <v>310303722</v>
      </c>
      <c r="AA49" t="str">
        <f>TRIM(PROPER(Before_Tbl[[#This Row],[Performance_Score]]))</f>
        <v>Average</v>
      </c>
      <c r="AB49" s="2" t="str">
        <f>TRIM(UPPER(Before_Tbl[[#This Row],[Remote_Work]]))</f>
        <v>TRUE</v>
      </c>
    </row>
    <row r="50" spans="1:28" x14ac:dyDescent="0.35">
      <c r="A50" t="s">
        <v>164</v>
      </c>
      <c r="B50" t="s">
        <v>25</v>
      </c>
      <c r="C50" t="s">
        <v>92</v>
      </c>
      <c r="D50">
        <v>35</v>
      </c>
      <c r="E50" t="s">
        <v>27</v>
      </c>
      <c r="F50" t="s">
        <v>16</v>
      </c>
      <c r="G50" t="s">
        <v>165</v>
      </c>
      <c r="H50">
        <v>57195.55</v>
      </c>
      <c r="I50" t="s">
        <v>166</v>
      </c>
      <c r="J50">
        <v>-6831472759</v>
      </c>
      <c r="K50" t="s">
        <v>23</v>
      </c>
      <c r="L50" t="b">
        <v>0</v>
      </c>
      <c r="P50" t="str">
        <f>TRIM(Before_Tbl[[#This Row],[Employee_ID]])</f>
        <v>EMP1048</v>
      </c>
      <c r="Q50" t="str">
        <f>TRIM(PROPER(Before_Tbl[[#This Row],[First_Name]]))</f>
        <v>Alice</v>
      </c>
      <c r="R50" t="str">
        <f>TRIM(PROPER(Before_Tbl[[#This Row],[Last_Name]]))</f>
        <v>Miller</v>
      </c>
      <c r="S50" s="25">
        <f t="shared" si="0"/>
        <v>35</v>
      </c>
      <c r="T50" t="str">
        <f>LEFT(Before_Tbl[[#This Row],[Department_Region]],FIND("-",Before_Tbl[[#This Row],[Department_Region]])-1)</f>
        <v>Admin</v>
      </c>
      <c r="U50" t="str">
        <f>RIGHT(Before_Tbl[[#This Row],[Department_Region]],LEN(Before_Tbl[[#This Row],[Department_Region]])-FIND("-",Before_Tbl[[#This Row],[Department_Region]]))</f>
        <v>Nevada</v>
      </c>
      <c r="V50" t="str">
        <f>TRIM(PROPER(Before_Tbl[[#This Row],[Status]]))</f>
        <v>Active</v>
      </c>
      <c r="W50" s="26">
        <v>45196</v>
      </c>
      <c r="X50" s="4">
        <v>57195.55</v>
      </c>
      <c r="Y50" t="str">
        <f>TRIM(LOWER(Before_Tbl[[#This Row],[Email]]))</f>
        <v>alice.miller@example.com</v>
      </c>
      <c r="Z50" s="2" t="str">
        <f>SUBSTITUTE(Before_Tbl[[#This Row],[Phone]],"-","")</f>
        <v>6831472759</v>
      </c>
      <c r="AA50" t="str">
        <f>TRIM(PROPER(Before_Tbl[[#This Row],[Performance_Score]]))</f>
        <v>Excellent</v>
      </c>
      <c r="AB50" s="2" t="str">
        <f>TRIM(UPPER(Before_Tbl[[#This Row],[Remote_Work]]))</f>
        <v>FALSE</v>
      </c>
    </row>
    <row r="51" spans="1:28" x14ac:dyDescent="0.35">
      <c r="A51" t="s">
        <v>167</v>
      </c>
      <c r="B51" t="s">
        <v>69</v>
      </c>
      <c r="C51" t="s">
        <v>92</v>
      </c>
      <c r="E51" t="s">
        <v>56</v>
      </c>
      <c r="F51" t="s">
        <v>16</v>
      </c>
      <c r="G51" s="1">
        <v>45423</v>
      </c>
      <c r="H51">
        <v>61375.12</v>
      </c>
      <c r="I51" t="s">
        <v>168</v>
      </c>
      <c r="J51">
        <v>-1227770792</v>
      </c>
      <c r="K51" t="s">
        <v>23</v>
      </c>
      <c r="L51" t="b">
        <v>1</v>
      </c>
      <c r="P51" t="str">
        <f>TRIM(Before_Tbl[[#This Row],[Employee_ID]])</f>
        <v>EMP1049</v>
      </c>
      <c r="Q51" t="str">
        <f>TRIM(PROPER(Before_Tbl[[#This Row],[First_Name]]))</f>
        <v>Grace</v>
      </c>
      <c r="R51" t="str">
        <f>TRIM(PROPER(Before_Tbl[[#This Row],[Last_Name]]))</f>
        <v>Miller</v>
      </c>
      <c r="S51" s="25">
        <f t="shared" si="0"/>
        <v>30</v>
      </c>
      <c r="T51" t="str">
        <f>LEFT(Before_Tbl[[#This Row],[Department_Region]],FIND("-",Before_Tbl[[#This Row],[Department_Region]])-1)</f>
        <v>DevOps</v>
      </c>
      <c r="U51" t="str">
        <f>RIGHT(Before_Tbl[[#This Row],[Department_Region]],LEN(Before_Tbl[[#This Row],[Department_Region]])-FIND("-",Before_Tbl[[#This Row],[Department_Region]]))</f>
        <v>New York</v>
      </c>
      <c r="V51" t="str">
        <f>TRIM(PROPER(Before_Tbl[[#This Row],[Status]]))</f>
        <v>Active</v>
      </c>
      <c r="W51" s="26">
        <v>45423</v>
      </c>
      <c r="X51" s="4">
        <v>61375.12</v>
      </c>
      <c r="Y51" t="str">
        <f>TRIM(LOWER(Before_Tbl[[#This Row],[Email]]))</f>
        <v>grace.miller@example.com</v>
      </c>
      <c r="Z51" s="2" t="str">
        <f>SUBSTITUTE(Before_Tbl[[#This Row],[Phone]],"-","")</f>
        <v>1227770792</v>
      </c>
      <c r="AA51" t="str">
        <f>TRIM(PROPER(Before_Tbl[[#This Row],[Performance_Score]]))</f>
        <v>Excellent</v>
      </c>
      <c r="AB51" s="2" t="str">
        <f>TRIM(UPPER(Before_Tbl[[#This Row],[Remote_Work]]))</f>
        <v>TRUE</v>
      </c>
    </row>
    <row r="52" spans="1:28" x14ac:dyDescent="0.35">
      <c r="A52" t="s">
        <v>169</v>
      </c>
      <c r="B52" t="s">
        <v>54</v>
      </c>
      <c r="C52" t="s">
        <v>14</v>
      </c>
      <c r="D52">
        <v>40</v>
      </c>
      <c r="E52" t="s">
        <v>60</v>
      </c>
      <c r="F52" t="s">
        <v>28</v>
      </c>
      <c r="G52" s="1">
        <v>44511</v>
      </c>
      <c r="H52">
        <v>104767.05</v>
      </c>
      <c r="I52" t="s">
        <v>170</v>
      </c>
      <c r="J52">
        <v>-3496050165</v>
      </c>
      <c r="K52" t="s">
        <v>23</v>
      </c>
      <c r="L52" t="b">
        <v>0</v>
      </c>
      <c r="P52" t="str">
        <f>TRIM(Before_Tbl[[#This Row],[Employee_ID]])</f>
        <v>EMP1050</v>
      </c>
      <c r="Q52" t="str">
        <f>TRIM(PROPER(Before_Tbl[[#This Row],[First_Name]]))</f>
        <v>Charlie</v>
      </c>
      <c r="R52" t="str">
        <f>TRIM(PROPER(Before_Tbl[[#This Row],[Last_Name]]))</f>
        <v>Davis</v>
      </c>
      <c r="S52" s="25">
        <f t="shared" si="0"/>
        <v>40</v>
      </c>
      <c r="T52" t="str">
        <f>LEFT(Before_Tbl[[#This Row],[Department_Region]],FIND("-",Before_Tbl[[#This Row],[Department_Region]])-1)</f>
        <v>Cloud Tech</v>
      </c>
      <c r="U52" t="str">
        <f>RIGHT(Before_Tbl[[#This Row],[Department_Region]],LEN(Before_Tbl[[#This Row],[Department_Region]])-FIND("-",Before_Tbl[[#This Row],[Department_Region]]))</f>
        <v>New York</v>
      </c>
      <c r="V52" t="str">
        <f>TRIM(PROPER(Before_Tbl[[#This Row],[Status]]))</f>
        <v>Pending</v>
      </c>
      <c r="W52" s="26">
        <v>44511</v>
      </c>
      <c r="X52" s="4">
        <v>104767.05</v>
      </c>
      <c r="Y52" t="str">
        <f>TRIM(LOWER(Before_Tbl[[#This Row],[Email]]))</f>
        <v>charlie.davis@example.com</v>
      </c>
      <c r="Z52" s="2" t="str">
        <f>SUBSTITUTE(Before_Tbl[[#This Row],[Phone]],"-","")</f>
        <v>3496050165</v>
      </c>
      <c r="AA52" t="str">
        <f>TRIM(PROPER(Before_Tbl[[#This Row],[Performance_Score]]))</f>
        <v>Excellent</v>
      </c>
      <c r="AB52" s="2" t="str">
        <f>TRIM(UPPER(Before_Tbl[[#This Row],[Remote_Work]]))</f>
        <v>FALSE</v>
      </c>
    </row>
    <row r="53" spans="1:28" x14ac:dyDescent="0.35">
      <c r="A53" t="s">
        <v>171</v>
      </c>
      <c r="B53" t="s">
        <v>59</v>
      </c>
      <c r="C53" t="s">
        <v>92</v>
      </c>
      <c r="D53">
        <v>35</v>
      </c>
      <c r="E53" t="s">
        <v>27</v>
      </c>
      <c r="F53" t="s">
        <v>16</v>
      </c>
      <c r="G53" t="s">
        <v>172</v>
      </c>
      <c r="H53">
        <v>111051.67</v>
      </c>
      <c r="I53" t="s">
        <v>107</v>
      </c>
      <c r="J53">
        <v>-7998407677</v>
      </c>
      <c r="K53" t="s">
        <v>30</v>
      </c>
      <c r="L53" t="b">
        <v>0</v>
      </c>
      <c r="P53" t="str">
        <f>TRIM(Before_Tbl[[#This Row],[Employee_ID]])</f>
        <v>EMP1051</v>
      </c>
      <c r="Q53" t="str">
        <f>TRIM(PROPER(Before_Tbl[[#This Row],[First_Name]]))</f>
        <v>David</v>
      </c>
      <c r="R53" t="str">
        <f>TRIM(PROPER(Before_Tbl[[#This Row],[Last_Name]]))</f>
        <v>Miller</v>
      </c>
      <c r="S53" s="25">
        <f t="shared" si="0"/>
        <v>35</v>
      </c>
      <c r="T53" t="str">
        <f>LEFT(Before_Tbl[[#This Row],[Department_Region]],FIND("-",Before_Tbl[[#This Row],[Department_Region]])-1)</f>
        <v>Admin</v>
      </c>
      <c r="U53" t="str">
        <f>RIGHT(Before_Tbl[[#This Row],[Department_Region]],LEN(Before_Tbl[[#This Row],[Department_Region]])-FIND("-",Before_Tbl[[#This Row],[Department_Region]]))</f>
        <v>Nevada</v>
      </c>
      <c r="V53" t="str">
        <f>TRIM(PROPER(Before_Tbl[[#This Row],[Status]]))</f>
        <v>Active</v>
      </c>
      <c r="W53" s="26">
        <v>44614</v>
      </c>
      <c r="X53" s="4">
        <v>111051.67</v>
      </c>
      <c r="Y53" t="str">
        <f>TRIM(LOWER(Before_Tbl[[#This Row],[Email]]))</f>
        <v>david.miller@example.com</v>
      </c>
      <c r="Z53" s="2" t="str">
        <f>SUBSTITUTE(Before_Tbl[[#This Row],[Phone]],"-","")</f>
        <v>7998407677</v>
      </c>
      <c r="AA53" t="str">
        <f>TRIM(PROPER(Before_Tbl[[#This Row],[Performance_Score]]))</f>
        <v>Good</v>
      </c>
      <c r="AB53" s="2" t="str">
        <f>TRIM(UPPER(Before_Tbl[[#This Row],[Remote_Work]]))</f>
        <v>FALSE</v>
      </c>
    </row>
    <row r="54" spans="1:28" x14ac:dyDescent="0.35">
      <c r="A54" t="s">
        <v>173</v>
      </c>
      <c r="B54" t="s">
        <v>59</v>
      </c>
      <c r="C54" t="s">
        <v>38</v>
      </c>
      <c r="D54">
        <v>30</v>
      </c>
      <c r="E54" t="s">
        <v>70</v>
      </c>
      <c r="F54" t="s">
        <v>33</v>
      </c>
      <c r="G54" s="1">
        <v>45481</v>
      </c>
      <c r="H54">
        <v>105674.18</v>
      </c>
      <c r="I54" t="s">
        <v>61</v>
      </c>
      <c r="J54">
        <v>-9973080694</v>
      </c>
      <c r="K54" t="s">
        <v>30</v>
      </c>
      <c r="L54" t="b">
        <v>0</v>
      </c>
      <c r="P54" t="str">
        <f>TRIM(Before_Tbl[[#This Row],[Employee_ID]])</f>
        <v>EMP1052</v>
      </c>
      <c r="Q54" t="str">
        <f>TRIM(PROPER(Before_Tbl[[#This Row],[First_Name]]))</f>
        <v>David</v>
      </c>
      <c r="R54" t="str">
        <f>TRIM(PROPER(Before_Tbl[[#This Row],[Last_Name]]))</f>
        <v>Williams</v>
      </c>
      <c r="S54" s="25">
        <f t="shared" si="0"/>
        <v>30</v>
      </c>
      <c r="T54" t="str">
        <f>LEFT(Before_Tbl[[#This Row],[Department_Region]],FIND("-",Before_Tbl[[#This Row],[Department_Region]])-1)</f>
        <v>Finance</v>
      </c>
      <c r="U54" t="str">
        <f>RIGHT(Before_Tbl[[#This Row],[Department_Region]],LEN(Before_Tbl[[#This Row],[Department_Region]])-FIND("-",Before_Tbl[[#This Row],[Department_Region]]))</f>
        <v>California</v>
      </c>
      <c r="V54" t="str">
        <f>TRIM(PROPER(Before_Tbl[[#This Row],[Status]]))</f>
        <v>Inactive</v>
      </c>
      <c r="W54" s="26">
        <v>45481</v>
      </c>
      <c r="X54" s="4">
        <v>105674.18</v>
      </c>
      <c r="Y54" t="str">
        <f>TRIM(LOWER(Before_Tbl[[#This Row],[Email]]))</f>
        <v>david.williams@example.com</v>
      </c>
      <c r="Z54" s="2" t="str">
        <f>SUBSTITUTE(Before_Tbl[[#This Row],[Phone]],"-","")</f>
        <v>9973080694</v>
      </c>
      <c r="AA54" t="str">
        <f>TRIM(PROPER(Before_Tbl[[#This Row],[Performance_Score]]))</f>
        <v>Good</v>
      </c>
      <c r="AB54" s="2" t="str">
        <f>TRIM(UPPER(Before_Tbl[[#This Row],[Remote_Work]]))</f>
        <v>FALSE</v>
      </c>
    </row>
    <row r="55" spans="1:28" x14ac:dyDescent="0.35">
      <c r="A55" t="s">
        <v>174</v>
      </c>
      <c r="B55" t="s">
        <v>25</v>
      </c>
      <c r="C55" t="s">
        <v>20</v>
      </c>
      <c r="D55">
        <v>30</v>
      </c>
      <c r="E55" t="s">
        <v>70</v>
      </c>
      <c r="F55" t="s">
        <v>33</v>
      </c>
      <c r="G55" s="1">
        <v>45423</v>
      </c>
      <c r="H55">
        <v>54859.45</v>
      </c>
      <c r="I55" t="s">
        <v>80</v>
      </c>
      <c r="J55">
        <v>-8146717956</v>
      </c>
      <c r="K55" t="s">
        <v>18</v>
      </c>
      <c r="L55" t="b">
        <v>0</v>
      </c>
      <c r="P55" t="str">
        <f>TRIM(Before_Tbl[[#This Row],[Employee_ID]])</f>
        <v>EMP1053</v>
      </c>
      <c r="Q55" t="str">
        <f>TRIM(PROPER(Before_Tbl[[#This Row],[First_Name]]))</f>
        <v>Alice</v>
      </c>
      <c r="R55" t="str">
        <f>TRIM(PROPER(Before_Tbl[[#This Row],[Last_Name]]))</f>
        <v>Brown</v>
      </c>
      <c r="S55" s="25">
        <f t="shared" si="0"/>
        <v>30</v>
      </c>
      <c r="T55" t="str">
        <f>LEFT(Before_Tbl[[#This Row],[Department_Region]],FIND("-",Before_Tbl[[#This Row],[Department_Region]])-1)</f>
        <v>Finance</v>
      </c>
      <c r="U55" t="str">
        <f>RIGHT(Before_Tbl[[#This Row],[Department_Region]],LEN(Before_Tbl[[#This Row],[Department_Region]])-FIND("-",Before_Tbl[[#This Row],[Department_Region]]))</f>
        <v>California</v>
      </c>
      <c r="V55" t="str">
        <f>TRIM(PROPER(Before_Tbl[[#This Row],[Status]]))</f>
        <v>Inactive</v>
      </c>
      <c r="W55" s="26">
        <v>45423</v>
      </c>
      <c r="X55" s="4">
        <v>54859.45</v>
      </c>
      <c r="Y55" t="str">
        <f>TRIM(LOWER(Before_Tbl[[#This Row],[Email]]))</f>
        <v>alice.brown@example.com</v>
      </c>
      <c r="Z55" s="2" t="str">
        <f>SUBSTITUTE(Before_Tbl[[#This Row],[Phone]],"-","")</f>
        <v>8146717956</v>
      </c>
      <c r="AA55" t="str">
        <f>TRIM(PROPER(Before_Tbl[[#This Row],[Performance_Score]]))</f>
        <v>Average</v>
      </c>
      <c r="AB55" s="2" t="str">
        <f>TRIM(UPPER(Before_Tbl[[#This Row],[Remote_Work]]))</f>
        <v>FALSE</v>
      </c>
    </row>
    <row r="56" spans="1:28" x14ac:dyDescent="0.35">
      <c r="A56" t="s">
        <v>175</v>
      </c>
      <c r="B56" t="s">
        <v>37</v>
      </c>
      <c r="C56" t="s">
        <v>14</v>
      </c>
      <c r="E56" t="s">
        <v>100</v>
      </c>
      <c r="F56" t="s">
        <v>28</v>
      </c>
      <c r="G56" s="1">
        <v>44450</v>
      </c>
      <c r="H56">
        <v>115746.6</v>
      </c>
      <c r="I56" t="s">
        <v>52</v>
      </c>
      <c r="J56">
        <v>-6024375737</v>
      </c>
      <c r="K56" t="s">
        <v>23</v>
      </c>
      <c r="L56" t="b">
        <v>1</v>
      </c>
      <c r="P56" t="str">
        <f>TRIM(Before_Tbl[[#This Row],[Employee_ID]])</f>
        <v>EMP1054</v>
      </c>
      <c r="Q56" t="str">
        <f>TRIM(PROPER(Before_Tbl[[#This Row],[First_Name]]))</f>
        <v>Frank</v>
      </c>
      <c r="R56" t="str">
        <f>TRIM(PROPER(Before_Tbl[[#This Row],[Last_Name]]))</f>
        <v>Davis</v>
      </c>
      <c r="S56" s="25">
        <f t="shared" si="0"/>
        <v>30</v>
      </c>
      <c r="T56" t="str">
        <f>LEFT(Before_Tbl[[#This Row],[Department_Region]],FIND("-",Before_Tbl[[#This Row],[Department_Region]])-1)</f>
        <v>Finance</v>
      </c>
      <c r="U56" t="str">
        <f>RIGHT(Before_Tbl[[#This Row],[Department_Region]],LEN(Before_Tbl[[#This Row],[Department_Region]])-FIND("-",Before_Tbl[[#This Row],[Department_Region]]))</f>
        <v>Nevada</v>
      </c>
      <c r="V56" t="str">
        <f>TRIM(PROPER(Before_Tbl[[#This Row],[Status]]))</f>
        <v>Pending</v>
      </c>
      <c r="W56" s="26">
        <v>44450</v>
      </c>
      <c r="X56" s="4">
        <v>115746.6</v>
      </c>
      <c r="Y56" t="str">
        <f>TRIM(LOWER(Before_Tbl[[#This Row],[Email]]))</f>
        <v>frank.davis@example.com</v>
      </c>
      <c r="Z56" s="2" t="str">
        <f>SUBSTITUTE(Before_Tbl[[#This Row],[Phone]],"-","")</f>
        <v>6024375737</v>
      </c>
      <c r="AA56" t="str">
        <f>TRIM(PROPER(Before_Tbl[[#This Row],[Performance_Score]]))</f>
        <v>Excellent</v>
      </c>
      <c r="AB56" s="2" t="str">
        <f>TRIM(UPPER(Before_Tbl[[#This Row],[Remote_Work]]))</f>
        <v>TRUE</v>
      </c>
    </row>
    <row r="57" spans="1:28" x14ac:dyDescent="0.35">
      <c r="A57" t="s">
        <v>176</v>
      </c>
      <c r="B57" t="s">
        <v>32</v>
      </c>
      <c r="C57" t="s">
        <v>20</v>
      </c>
      <c r="D57">
        <v>30</v>
      </c>
      <c r="E57" t="s">
        <v>177</v>
      </c>
      <c r="F57" t="s">
        <v>16</v>
      </c>
      <c r="G57" s="1">
        <v>44112</v>
      </c>
      <c r="H57">
        <v>91759.99</v>
      </c>
      <c r="I57" t="s">
        <v>155</v>
      </c>
      <c r="J57">
        <v>-3959724664</v>
      </c>
      <c r="K57" t="s">
        <v>23</v>
      </c>
      <c r="L57" t="b">
        <v>1</v>
      </c>
      <c r="P57" t="str">
        <f>TRIM(Before_Tbl[[#This Row],[Employee_ID]])</f>
        <v>EMP1055</v>
      </c>
      <c r="Q57" t="str">
        <f>TRIM(PROPER(Before_Tbl[[#This Row],[First_Name]]))</f>
        <v>Eva</v>
      </c>
      <c r="R57" t="str">
        <f>TRIM(PROPER(Before_Tbl[[#This Row],[Last_Name]]))</f>
        <v>Brown</v>
      </c>
      <c r="S57" s="25">
        <f t="shared" si="0"/>
        <v>30</v>
      </c>
      <c r="T57" t="str">
        <f>LEFT(Before_Tbl[[#This Row],[Department_Region]],FIND("-",Before_Tbl[[#This Row],[Department_Region]])-1)</f>
        <v>Sales</v>
      </c>
      <c r="U57" t="str">
        <f>RIGHT(Before_Tbl[[#This Row],[Department_Region]],LEN(Before_Tbl[[#This Row],[Department_Region]])-FIND("-",Before_Tbl[[#This Row],[Department_Region]]))</f>
        <v>California</v>
      </c>
      <c r="V57" t="str">
        <f>TRIM(PROPER(Before_Tbl[[#This Row],[Status]]))</f>
        <v>Active</v>
      </c>
      <c r="W57" s="26">
        <v>44112</v>
      </c>
      <c r="X57" s="4">
        <v>91759.99</v>
      </c>
      <c r="Y57" t="str">
        <f>TRIM(LOWER(Before_Tbl[[#This Row],[Email]]))</f>
        <v>eva.brown@example.com</v>
      </c>
      <c r="Z57" s="2" t="str">
        <f>SUBSTITUTE(Before_Tbl[[#This Row],[Phone]],"-","")</f>
        <v>3959724664</v>
      </c>
      <c r="AA57" t="str">
        <f>TRIM(PROPER(Before_Tbl[[#This Row],[Performance_Score]]))</f>
        <v>Excellent</v>
      </c>
      <c r="AB57" s="2" t="str">
        <f>TRIM(UPPER(Before_Tbl[[#This Row],[Remote_Work]]))</f>
        <v>TRUE</v>
      </c>
    </row>
    <row r="58" spans="1:28" x14ac:dyDescent="0.35">
      <c r="A58" t="s">
        <v>178</v>
      </c>
      <c r="B58" t="s">
        <v>37</v>
      </c>
      <c r="C58" t="s">
        <v>43</v>
      </c>
      <c r="D58">
        <v>40</v>
      </c>
      <c r="E58" t="s">
        <v>98</v>
      </c>
      <c r="F58" t="s">
        <v>16</v>
      </c>
      <c r="G58" t="s">
        <v>179</v>
      </c>
      <c r="H58">
        <v>112965.33</v>
      </c>
      <c r="I58" t="s">
        <v>180</v>
      </c>
      <c r="J58">
        <v>-7293417222</v>
      </c>
      <c r="K58" t="s">
        <v>30</v>
      </c>
      <c r="L58" t="b">
        <v>0</v>
      </c>
      <c r="P58" t="str">
        <f>TRIM(Before_Tbl[[#This Row],[Employee_ID]])</f>
        <v>EMP1056</v>
      </c>
      <c r="Q58" t="str">
        <f>TRIM(PROPER(Before_Tbl[[#This Row],[First_Name]]))</f>
        <v>Frank</v>
      </c>
      <c r="R58" t="str">
        <f>TRIM(PROPER(Before_Tbl[[#This Row],[Last_Name]]))</f>
        <v>Garcia</v>
      </c>
      <c r="S58" s="25">
        <f t="shared" si="0"/>
        <v>40</v>
      </c>
      <c r="T58" t="str">
        <f>LEFT(Before_Tbl[[#This Row],[Department_Region]],FIND("-",Before_Tbl[[#This Row],[Department_Region]])-1)</f>
        <v>Sales</v>
      </c>
      <c r="U58" t="str">
        <f>RIGHT(Before_Tbl[[#This Row],[Department_Region]],LEN(Before_Tbl[[#This Row],[Department_Region]])-FIND("-",Before_Tbl[[#This Row],[Department_Region]]))</f>
        <v>Illinois</v>
      </c>
      <c r="V58" t="str">
        <f>TRIM(PROPER(Before_Tbl[[#This Row],[Status]]))</f>
        <v>Active</v>
      </c>
      <c r="W58" s="26">
        <v>44619</v>
      </c>
      <c r="X58" s="4">
        <v>112965.33</v>
      </c>
      <c r="Y58" t="str">
        <f>TRIM(LOWER(Before_Tbl[[#This Row],[Email]]))</f>
        <v>frank.garcia@example.com</v>
      </c>
      <c r="Z58" s="2" t="str">
        <f>SUBSTITUTE(Before_Tbl[[#This Row],[Phone]],"-","")</f>
        <v>7293417222</v>
      </c>
      <c r="AA58" t="str">
        <f>TRIM(PROPER(Before_Tbl[[#This Row],[Performance_Score]]))</f>
        <v>Good</v>
      </c>
      <c r="AB58" s="2" t="str">
        <f>TRIM(UPPER(Before_Tbl[[#This Row],[Remote_Work]]))</f>
        <v>FALSE</v>
      </c>
    </row>
    <row r="59" spans="1:28" x14ac:dyDescent="0.35">
      <c r="A59" t="s">
        <v>181</v>
      </c>
      <c r="B59" t="s">
        <v>25</v>
      </c>
      <c r="C59" t="s">
        <v>122</v>
      </c>
      <c r="D59">
        <v>40</v>
      </c>
      <c r="E59" t="s">
        <v>95</v>
      </c>
      <c r="F59" t="s">
        <v>28</v>
      </c>
      <c r="G59" s="1">
        <v>45118</v>
      </c>
      <c r="H59">
        <v>100360.1</v>
      </c>
      <c r="I59" t="s">
        <v>182</v>
      </c>
      <c r="J59">
        <v>-2971674337</v>
      </c>
      <c r="K59" t="s">
        <v>23</v>
      </c>
      <c r="L59" t="b">
        <v>0</v>
      </c>
      <c r="P59" t="str">
        <f>TRIM(Before_Tbl[[#This Row],[Employee_ID]])</f>
        <v>EMP1057</v>
      </c>
      <c r="Q59" t="str">
        <f>TRIM(PROPER(Before_Tbl[[#This Row],[First_Name]]))</f>
        <v>Alice</v>
      </c>
      <c r="R59" t="str">
        <f>TRIM(PROPER(Before_Tbl[[#This Row],[Last_Name]]))</f>
        <v>Smith</v>
      </c>
      <c r="S59" s="25">
        <f t="shared" si="0"/>
        <v>40</v>
      </c>
      <c r="T59" t="str">
        <f>LEFT(Before_Tbl[[#This Row],[Department_Region]],FIND("-",Before_Tbl[[#This Row],[Department_Region]])-1)</f>
        <v>Cloud Tech</v>
      </c>
      <c r="U59" t="str">
        <f>RIGHT(Before_Tbl[[#This Row],[Department_Region]],LEN(Before_Tbl[[#This Row],[Department_Region]])-FIND("-",Before_Tbl[[#This Row],[Department_Region]]))</f>
        <v>Illinois</v>
      </c>
      <c r="V59" t="str">
        <f>TRIM(PROPER(Before_Tbl[[#This Row],[Status]]))</f>
        <v>Pending</v>
      </c>
      <c r="W59" s="26">
        <v>45118</v>
      </c>
      <c r="X59" s="4">
        <v>100360.1</v>
      </c>
      <c r="Y59" t="str">
        <f>TRIM(LOWER(Before_Tbl[[#This Row],[Email]]))</f>
        <v>alice.smith@example.com</v>
      </c>
      <c r="Z59" s="2" t="str">
        <f>SUBSTITUTE(Before_Tbl[[#This Row],[Phone]],"-","")</f>
        <v>2971674337</v>
      </c>
      <c r="AA59" t="str">
        <f>TRIM(PROPER(Before_Tbl[[#This Row],[Performance_Score]]))</f>
        <v>Excellent</v>
      </c>
      <c r="AB59" s="2" t="str">
        <f>TRIM(UPPER(Before_Tbl[[#This Row],[Remote_Work]]))</f>
        <v>FALSE</v>
      </c>
    </row>
    <row r="60" spans="1:28" x14ac:dyDescent="0.35">
      <c r="A60" t="s">
        <v>183</v>
      </c>
      <c r="B60" t="s">
        <v>59</v>
      </c>
      <c r="C60" t="s">
        <v>38</v>
      </c>
      <c r="D60">
        <v>35</v>
      </c>
      <c r="E60" t="s">
        <v>21</v>
      </c>
      <c r="F60" t="s">
        <v>28</v>
      </c>
      <c r="G60" s="1">
        <v>44388</v>
      </c>
      <c r="H60">
        <v>93620.88</v>
      </c>
      <c r="I60" t="s">
        <v>61</v>
      </c>
      <c r="J60">
        <v>-54522800</v>
      </c>
      <c r="K60" t="s">
        <v>30</v>
      </c>
      <c r="L60" t="b">
        <v>0</v>
      </c>
      <c r="P60" t="str">
        <f>TRIM(Before_Tbl[[#This Row],[Employee_ID]])</f>
        <v>EMP1058</v>
      </c>
      <c r="Q60" t="str">
        <f>TRIM(PROPER(Before_Tbl[[#This Row],[First_Name]]))</f>
        <v>David</v>
      </c>
      <c r="R60" t="str">
        <f>TRIM(PROPER(Before_Tbl[[#This Row],[Last_Name]]))</f>
        <v>Williams</v>
      </c>
      <c r="S60" s="25">
        <f t="shared" si="0"/>
        <v>35</v>
      </c>
      <c r="T60" t="str">
        <f>LEFT(Before_Tbl[[#This Row],[Department_Region]],FIND("-",Before_Tbl[[#This Row],[Department_Region]])-1)</f>
        <v>Finance</v>
      </c>
      <c r="U60" t="str">
        <f>RIGHT(Before_Tbl[[#This Row],[Department_Region]],LEN(Before_Tbl[[#This Row],[Department_Region]])-FIND("-",Before_Tbl[[#This Row],[Department_Region]]))</f>
        <v>Texas</v>
      </c>
      <c r="V60" t="str">
        <f>TRIM(PROPER(Before_Tbl[[#This Row],[Status]]))</f>
        <v>Pending</v>
      </c>
      <c r="W60" s="26">
        <v>44388</v>
      </c>
      <c r="X60" s="4">
        <v>93620.88</v>
      </c>
      <c r="Y60" t="str">
        <f>TRIM(LOWER(Before_Tbl[[#This Row],[Email]]))</f>
        <v>david.williams@example.com</v>
      </c>
      <c r="Z60" s="2" t="str">
        <f>SUBSTITUTE(Before_Tbl[[#This Row],[Phone]],"-","")</f>
        <v>54522800</v>
      </c>
      <c r="AA60" t="str">
        <f>TRIM(PROPER(Before_Tbl[[#This Row],[Performance_Score]]))</f>
        <v>Good</v>
      </c>
      <c r="AB60" s="2" t="str">
        <f>TRIM(UPPER(Before_Tbl[[#This Row],[Remote_Work]]))</f>
        <v>FALSE</v>
      </c>
    </row>
    <row r="61" spans="1:28" x14ac:dyDescent="0.35">
      <c r="A61" t="s">
        <v>184</v>
      </c>
      <c r="B61" t="s">
        <v>13</v>
      </c>
      <c r="C61" t="s">
        <v>26</v>
      </c>
      <c r="D61">
        <v>35</v>
      </c>
      <c r="E61" t="s">
        <v>177</v>
      </c>
      <c r="F61" t="s">
        <v>28</v>
      </c>
      <c r="G61" t="s">
        <v>185</v>
      </c>
      <c r="H61">
        <v>72832.800000000003</v>
      </c>
      <c r="I61" t="s">
        <v>50</v>
      </c>
      <c r="J61">
        <v>-5619318373</v>
      </c>
      <c r="K61" t="s">
        <v>23</v>
      </c>
      <c r="L61" t="b">
        <v>1</v>
      </c>
      <c r="P61" t="str">
        <f>TRIM(Before_Tbl[[#This Row],[Employee_ID]])</f>
        <v>EMP1059</v>
      </c>
      <c r="Q61" t="str">
        <f>TRIM(PROPER(Before_Tbl[[#This Row],[First_Name]]))</f>
        <v>Bob</v>
      </c>
      <c r="R61" t="str">
        <f>TRIM(PROPER(Before_Tbl[[#This Row],[Last_Name]]))</f>
        <v>Jones</v>
      </c>
      <c r="S61" s="25">
        <f t="shared" si="0"/>
        <v>35</v>
      </c>
      <c r="T61" t="str">
        <f>LEFT(Before_Tbl[[#This Row],[Department_Region]],FIND("-",Before_Tbl[[#This Row],[Department_Region]])-1)</f>
        <v>Sales</v>
      </c>
      <c r="U61" t="str">
        <f>RIGHT(Before_Tbl[[#This Row],[Department_Region]],LEN(Before_Tbl[[#This Row],[Department_Region]])-FIND("-",Before_Tbl[[#This Row],[Department_Region]]))</f>
        <v>California</v>
      </c>
      <c r="V61" t="str">
        <f>TRIM(PROPER(Before_Tbl[[#This Row],[Status]]))</f>
        <v>Pending</v>
      </c>
      <c r="W61" s="26">
        <v>44667</v>
      </c>
      <c r="X61" s="4">
        <v>72832.800000000003</v>
      </c>
      <c r="Y61" t="str">
        <f>TRIM(LOWER(Before_Tbl[[#This Row],[Email]]))</f>
        <v>bob.jones@example.com</v>
      </c>
      <c r="Z61" s="2" t="str">
        <f>SUBSTITUTE(Before_Tbl[[#This Row],[Phone]],"-","")</f>
        <v>5619318373</v>
      </c>
      <c r="AA61" t="str">
        <f>TRIM(PROPER(Before_Tbl[[#This Row],[Performance_Score]]))</f>
        <v>Excellent</v>
      </c>
      <c r="AB61" s="2" t="str">
        <f>TRIM(UPPER(Before_Tbl[[#This Row],[Remote_Work]]))</f>
        <v>TRUE</v>
      </c>
    </row>
    <row r="62" spans="1:28" x14ac:dyDescent="0.35">
      <c r="A62" t="s">
        <v>186</v>
      </c>
      <c r="B62" t="s">
        <v>54</v>
      </c>
      <c r="C62" t="s">
        <v>38</v>
      </c>
      <c r="D62">
        <v>30</v>
      </c>
      <c r="E62" t="s">
        <v>100</v>
      </c>
      <c r="F62" t="s">
        <v>33</v>
      </c>
      <c r="G62" t="s">
        <v>187</v>
      </c>
      <c r="H62">
        <v>102369.42</v>
      </c>
      <c r="I62" t="s">
        <v>90</v>
      </c>
      <c r="J62">
        <v>-5508428909</v>
      </c>
      <c r="K62" t="s">
        <v>18</v>
      </c>
      <c r="L62" t="b">
        <v>1</v>
      </c>
      <c r="P62" t="str">
        <f>TRIM(Before_Tbl[[#This Row],[Employee_ID]])</f>
        <v>EMP1060</v>
      </c>
      <c r="Q62" t="str">
        <f>TRIM(PROPER(Before_Tbl[[#This Row],[First_Name]]))</f>
        <v>Charlie</v>
      </c>
      <c r="R62" t="str">
        <f>TRIM(PROPER(Before_Tbl[[#This Row],[Last_Name]]))</f>
        <v>Williams</v>
      </c>
      <c r="S62" s="25">
        <f t="shared" si="0"/>
        <v>30</v>
      </c>
      <c r="T62" t="str">
        <f>LEFT(Before_Tbl[[#This Row],[Department_Region]],FIND("-",Before_Tbl[[#This Row],[Department_Region]])-1)</f>
        <v>Finance</v>
      </c>
      <c r="U62" t="str">
        <f>RIGHT(Before_Tbl[[#This Row],[Department_Region]],LEN(Before_Tbl[[#This Row],[Department_Region]])-FIND("-",Before_Tbl[[#This Row],[Department_Region]]))</f>
        <v>Nevada</v>
      </c>
      <c r="V62" t="str">
        <f>TRIM(PROPER(Before_Tbl[[#This Row],[Status]]))</f>
        <v>Inactive</v>
      </c>
      <c r="W62" s="26">
        <v>45218</v>
      </c>
      <c r="X62" s="4">
        <v>102369.42</v>
      </c>
      <c r="Y62" t="str">
        <f>TRIM(LOWER(Before_Tbl[[#This Row],[Email]]))</f>
        <v>charlie.williams@example.com</v>
      </c>
      <c r="Z62" s="2" t="str">
        <f>SUBSTITUTE(Before_Tbl[[#This Row],[Phone]],"-","")</f>
        <v>5508428909</v>
      </c>
      <c r="AA62" t="str">
        <f>TRIM(PROPER(Before_Tbl[[#This Row],[Performance_Score]]))</f>
        <v>Average</v>
      </c>
      <c r="AB62" s="2" t="str">
        <f>TRIM(UPPER(Before_Tbl[[#This Row],[Remote_Work]]))</f>
        <v>TRUE</v>
      </c>
    </row>
    <row r="63" spans="1:28" x14ac:dyDescent="0.35">
      <c r="A63" t="s">
        <v>188</v>
      </c>
      <c r="B63" t="s">
        <v>32</v>
      </c>
      <c r="C63" t="s">
        <v>14</v>
      </c>
      <c r="D63">
        <v>40</v>
      </c>
      <c r="E63" t="s">
        <v>44</v>
      </c>
      <c r="F63" t="s">
        <v>33</v>
      </c>
      <c r="G63" s="1">
        <v>44477</v>
      </c>
      <c r="H63">
        <v>64712.79</v>
      </c>
      <c r="I63" t="s">
        <v>35</v>
      </c>
      <c r="J63">
        <v>-7711991807</v>
      </c>
      <c r="K63" t="s">
        <v>23</v>
      </c>
      <c r="L63" t="b">
        <v>1</v>
      </c>
      <c r="P63" t="str">
        <f>TRIM(Before_Tbl[[#This Row],[Employee_ID]])</f>
        <v>EMP1061</v>
      </c>
      <c r="Q63" t="str">
        <f>TRIM(PROPER(Before_Tbl[[#This Row],[First_Name]]))</f>
        <v>Eva</v>
      </c>
      <c r="R63" t="str">
        <f>TRIM(PROPER(Before_Tbl[[#This Row],[Last_Name]]))</f>
        <v>Davis</v>
      </c>
      <c r="S63" s="25">
        <f t="shared" si="0"/>
        <v>40</v>
      </c>
      <c r="T63" t="str">
        <f>LEFT(Before_Tbl[[#This Row],[Department_Region]],FIND("-",Before_Tbl[[#This Row],[Department_Region]])-1)</f>
        <v>Sales</v>
      </c>
      <c r="U63" t="str">
        <f>RIGHT(Before_Tbl[[#This Row],[Department_Region]],LEN(Before_Tbl[[#This Row],[Department_Region]])-FIND("-",Before_Tbl[[#This Row],[Department_Region]]))</f>
        <v>Texas</v>
      </c>
      <c r="V63" t="str">
        <f>TRIM(PROPER(Before_Tbl[[#This Row],[Status]]))</f>
        <v>Inactive</v>
      </c>
      <c r="W63" s="26">
        <v>44477</v>
      </c>
      <c r="X63" s="4">
        <v>64712.79</v>
      </c>
      <c r="Y63" t="str">
        <f>TRIM(LOWER(Before_Tbl[[#This Row],[Email]]))</f>
        <v>eva.davis@example.com</v>
      </c>
      <c r="Z63" s="2" t="str">
        <f>SUBSTITUTE(Before_Tbl[[#This Row],[Phone]],"-","")</f>
        <v>7711991807</v>
      </c>
      <c r="AA63" t="str">
        <f>TRIM(PROPER(Before_Tbl[[#This Row],[Performance_Score]]))</f>
        <v>Excellent</v>
      </c>
      <c r="AB63" s="2" t="str">
        <f>TRIM(UPPER(Before_Tbl[[#This Row],[Remote_Work]]))</f>
        <v>TRUE</v>
      </c>
    </row>
    <row r="64" spans="1:28" x14ac:dyDescent="0.35">
      <c r="A64" t="s">
        <v>189</v>
      </c>
      <c r="B64" t="s">
        <v>37</v>
      </c>
      <c r="C64" t="s">
        <v>26</v>
      </c>
      <c r="D64">
        <v>40</v>
      </c>
      <c r="E64" t="s">
        <v>112</v>
      </c>
      <c r="F64" t="s">
        <v>28</v>
      </c>
      <c r="G64" t="s">
        <v>190</v>
      </c>
      <c r="H64">
        <v>85782.18</v>
      </c>
      <c r="I64" t="s">
        <v>47</v>
      </c>
      <c r="J64">
        <v>-1213524786</v>
      </c>
      <c r="K64" t="s">
        <v>23</v>
      </c>
      <c r="L64" t="b">
        <v>1</v>
      </c>
      <c r="P64" t="str">
        <f>TRIM(Before_Tbl[[#This Row],[Employee_ID]])</f>
        <v>EMP1062</v>
      </c>
      <c r="Q64" t="str">
        <f>TRIM(PROPER(Before_Tbl[[#This Row],[First_Name]]))</f>
        <v>Frank</v>
      </c>
      <c r="R64" t="str">
        <f>TRIM(PROPER(Before_Tbl[[#This Row],[Last_Name]]))</f>
        <v>Jones</v>
      </c>
      <c r="S64" s="25">
        <f t="shared" si="0"/>
        <v>40</v>
      </c>
      <c r="T64" t="str">
        <f>LEFT(Before_Tbl[[#This Row],[Department_Region]],FIND("-",Before_Tbl[[#This Row],[Department_Region]])-1)</f>
        <v>Finance</v>
      </c>
      <c r="U64" t="str">
        <f>RIGHT(Before_Tbl[[#This Row],[Department_Region]],LEN(Before_Tbl[[#This Row],[Department_Region]])-FIND("-",Before_Tbl[[#This Row],[Department_Region]]))</f>
        <v>Florida</v>
      </c>
      <c r="V64" t="str">
        <f>TRIM(PROPER(Before_Tbl[[#This Row],[Status]]))</f>
        <v>Pending</v>
      </c>
      <c r="W64" s="26">
        <v>44268</v>
      </c>
      <c r="X64" s="4">
        <v>85782.18</v>
      </c>
      <c r="Y64" t="str">
        <f>TRIM(LOWER(Before_Tbl[[#This Row],[Email]]))</f>
        <v>frank.jones@example.com</v>
      </c>
      <c r="Z64" s="2" t="str">
        <f>SUBSTITUTE(Before_Tbl[[#This Row],[Phone]],"-","")</f>
        <v>1213524786</v>
      </c>
      <c r="AA64" t="str">
        <f>TRIM(PROPER(Before_Tbl[[#This Row],[Performance_Score]]))</f>
        <v>Excellent</v>
      </c>
      <c r="AB64" s="2" t="str">
        <f>TRIM(UPPER(Before_Tbl[[#This Row],[Remote_Work]]))</f>
        <v>TRUE</v>
      </c>
    </row>
    <row r="65" spans="1:28" x14ac:dyDescent="0.35">
      <c r="A65" t="s">
        <v>191</v>
      </c>
      <c r="B65" t="s">
        <v>54</v>
      </c>
      <c r="C65" t="s">
        <v>122</v>
      </c>
      <c r="D65">
        <v>25</v>
      </c>
      <c r="E65" t="s">
        <v>192</v>
      </c>
      <c r="F65" t="s">
        <v>28</v>
      </c>
      <c r="G65" t="s">
        <v>193</v>
      </c>
      <c r="H65">
        <v>93348.26</v>
      </c>
      <c r="I65" t="s">
        <v>194</v>
      </c>
      <c r="J65">
        <v>-1255213759</v>
      </c>
      <c r="K65" t="s">
        <v>41</v>
      </c>
      <c r="L65" t="b">
        <v>0</v>
      </c>
      <c r="P65" t="str">
        <f>TRIM(Before_Tbl[[#This Row],[Employee_ID]])</f>
        <v>EMP1063</v>
      </c>
      <c r="Q65" t="str">
        <f>TRIM(PROPER(Before_Tbl[[#This Row],[First_Name]]))</f>
        <v>Charlie</v>
      </c>
      <c r="R65" t="str">
        <f>TRIM(PROPER(Before_Tbl[[#This Row],[Last_Name]]))</f>
        <v>Smith</v>
      </c>
      <c r="S65" s="25">
        <f t="shared" si="0"/>
        <v>25</v>
      </c>
      <c r="T65" t="str">
        <f>LEFT(Before_Tbl[[#This Row],[Department_Region]],FIND("-",Before_Tbl[[#This Row],[Department_Region]])-1)</f>
        <v>HR</v>
      </c>
      <c r="U65" t="str">
        <f>RIGHT(Before_Tbl[[#This Row],[Department_Region]],LEN(Before_Tbl[[#This Row],[Department_Region]])-FIND("-",Before_Tbl[[#This Row],[Department_Region]]))</f>
        <v>Illinois</v>
      </c>
      <c r="V65" t="str">
        <f>TRIM(PROPER(Before_Tbl[[#This Row],[Status]]))</f>
        <v>Pending</v>
      </c>
      <c r="W65" s="26">
        <v>45127</v>
      </c>
      <c r="X65" s="4">
        <v>93348.26</v>
      </c>
      <c r="Y65" t="str">
        <f>TRIM(LOWER(Before_Tbl[[#This Row],[Email]]))</f>
        <v>charlie.smith@example.com</v>
      </c>
      <c r="Z65" s="2" t="str">
        <f>SUBSTITUTE(Before_Tbl[[#This Row],[Phone]],"-","")</f>
        <v>1255213759</v>
      </c>
      <c r="AA65" t="str">
        <f>TRIM(PROPER(Before_Tbl[[#This Row],[Performance_Score]]))</f>
        <v>Poor</v>
      </c>
      <c r="AB65" s="2" t="str">
        <f>TRIM(UPPER(Before_Tbl[[#This Row],[Remote_Work]]))</f>
        <v>FALSE</v>
      </c>
    </row>
    <row r="66" spans="1:28" x14ac:dyDescent="0.35">
      <c r="A66" t="s">
        <v>195</v>
      </c>
      <c r="B66" t="s">
        <v>59</v>
      </c>
      <c r="C66" t="s">
        <v>14</v>
      </c>
      <c r="D66">
        <v>35</v>
      </c>
      <c r="E66" t="s">
        <v>196</v>
      </c>
      <c r="F66" t="s">
        <v>16</v>
      </c>
      <c r="G66" t="s">
        <v>197</v>
      </c>
      <c r="H66">
        <v>53234.96</v>
      </c>
      <c r="I66" t="s">
        <v>63</v>
      </c>
      <c r="J66">
        <v>-3754821455</v>
      </c>
      <c r="K66" t="s">
        <v>30</v>
      </c>
      <c r="L66" t="b">
        <v>0</v>
      </c>
      <c r="P66" t="str">
        <f>TRIM(Before_Tbl[[#This Row],[Employee_ID]])</f>
        <v>EMP1064</v>
      </c>
      <c r="Q66" t="str">
        <f>TRIM(PROPER(Before_Tbl[[#This Row],[First_Name]]))</f>
        <v>David</v>
      </c>
      <c r="R66" t="str">
        <f>TRIM(PROPER(Before_Tbl[[#This Row],[Last_Name]]))</f>
        <v>Davis</v>
      </c>
      <c r="S66" s="25">
        <f t="shared" ref="S66:S129" si="1">IF(ISBLANK(D66),30,D66)</f>
        <v>35</v>
      </c>
      <c r="T66" t="str">
        <f>LEFT(Before_Tbl[[#This Row],[Department_Region]],FIND("-",Before_Tbl[[#This Row],[Department_Region]])-1)</f>
        <v>Admin</v>
      </c>
      <c r="U66" t="str">
        <f>RIGHT(Before_Tbl[[#This Row],[Department_Region]],LEN(Before_Tbl[[#This Row],[Department_Region]])-FIND("-",Before_Tbl[[#This Row],[Department_Region]]))</f>
        <v>New York</v>
      </c>
      <c r="V66" t="str">
        <f>TRIM(PROPER(Before_Tbl[[#This Row],[Status]]))</f>
        <v>Active</v>
      </c>
      <c r="W66" s="26">
        <v>43881</v>
      </c>
      <c r="X66" s="4">
        <v>53234.96</v>
      </c>
      <c r="Y66" t="str">
        <f>TRIM(LOWER(Before_Tbl[[#This Row],[Email]]))</f>
        <v>david.davis@example.com</v>
      </c>
      <c r="Z66" s="2" t="str">
        <f>SUBSTITUTE(Before_Tbl[[#This Row],[Phone]],"-","")</f>
        <v>3754821455</v>
      </c>
      <c r="AA66" t="str">
        <f>TRIM(PROPER(Before_Tbl[[#This Row],[Performance_Score]]))</f>
        <v>Good</v>
      </c>
      <c r="AB66" s="2" t="str">
        <f>TRIM(UPPER(Before_Tbl[[#This Row],[Remote_Work]]))</f>
        <v>FALSE</v>
      </c>
    </row>
    <row r="67" spans="1:28" x14ac:dyDescent="0.35">
      <c r="A67" t="s">
        <v>198</v>
      </c>
      <c r="B67" t="s">
        <v>13</v>
      </c>
      <c r="C67" t="s">
        <v>55</v>
      </c>
      <c r="D67">
        <v>40</v>
      </c>
      <c r="E67" t="s">
        <v>100</v>
      </c>
      <c r="F67" t="s">
        <v>28</v>
      </c>
      <c r="G67" s="1">
        <v>44229</v>
      </c>
      <c r="H67">
        <v>100284.21</v>
      </c>
      <c r="I67" t="s">
        <v>199</v>
      </c>
      <c r="J67">
        <v>-5328632665</v>
      </c>
      <c r="K67" t="s">
        <v>23</v>
      </c>
      <c r="L67" t="b">
        <v>0</v>
      </c>
      <c r="P67" t="str">
        <f>TRIM(Before_Tbl[[#This Row],[Employee_ID]])</f>
        <v>EMP1065</v>
      </c>
      <c r="Q67" t="str">
        <f>TRIM(PROPER(Before_Tbl[[#This Row],[First_Name]]))</f>
        <v>Bob</v>
      </c>
      <c r="R67" t="str">
        <f>TRIM(PROPER(Before_Tbl[[#This Row],[Last_Name]]))</f>
        <v>Johnson</v>
      </c>
      <c r="S67" s="25">
        <f t="shared" si="1"/>
        <v>40</v>
      </c>
      <c r="T67" t="str">
        <f>LEFT(Before_Tbl[[#This Row],[Department_Region]],FIND("-",Before_Tbl[[#This Row],[Department_Region]])-1)</f>
        <v>Finance</v>
      </c>
      <c r="U67" t="str">
        <f>RIGHT(Before_Tbl[[#This Row],[Department_Region]],LEN(Before_Tbl[[#This Row],[Department_Region]])-FIND("-",Before_Tbl[[#This Row],[Department_Region]]))</f>
        <v>Nevada</v>
      </c>
      <c r="V67" t="str">
        <f>TRIM(PROPER(Before_Tbl[[#This Row],[Status]]))</f>
        <v>Pending</v>
      </c>
      <c r="W67" s="26">
        <v>44229</v>
      </c>
      <c r="X67" s="4">
        <v>100284.21</v>
      </c>
      <c r="Y67" t="str">
        <f>TRIM(LOWER(Before_Tbl[[#This Row],[Email]]))</f>
        <v>bob.johnson@example.com</v>
      </c>
      <c r="Z67" s="2" t="str">
        <f>SUBSTITUTE(Before_Tbl[[#This Row],[Phone]],"-","")</f>
        <v>5328632665</v>
      </c>
      <c r="AA67" t="str">
        <f>TRIM(PROPER(Before_Tbl[[#This Row],[Performance_Score]]))</f>
        <v>Excellent</v>
      </c>
      <c r="AB67" s="2" t="str">
        <f>TRIM(UPPER(Before_Tbl[[#This Row],[Remote_Work]]))</f>
        <v>FALSE</v>
      </c>
    </row>
    <row r="68" spans="1:28" x14ac:dyDescent="0.35">
      <c r="A68" t="s">
        <v>200</v>
      </c>
      <c r="B68" t="s">
        <v>69</v>
      </c>
      <c r="C68" t="s">
        <v>20</v>
      </c>
      <c r="D68">
        <v>30</v>
      </c>
      <c r="E68" t="s">
        <v>27</v>
      </c>
      <c r="F68" t="s">
        <v>28</v>
      </c>
      <c r="G68" s="1">
        <v>44166</v>
      </c>
      <c r="H68">
        <v>112486.19</v>
      </c>
      <c r="I68" t="s">
        <v>201</v>
      </c>
      <c r="J68">
        <v>-7850720810</v>
      </c>
      <c r="K68" t="s">
        <v>23</v>
      </c>
      <c r="L68" t="b">
        <v>1</v>
      </c>
      <c r="P68" t="str">
        <f>TRIM(Before_Tbl[[#This Row],[Employee_ID]])</f>
        <v>EMP1066</v>
      </c>
      <c r="Q68" t="str">
        <f>TRIM(PROPER(Before_Tbl[[#This Row],[First_Name]]))</f>
        <v>Grace</v>
      </c>
      <c r="R68" t="str">
        <f>TRIM(PROPER(Before_Tbl[[#This Row],[Last_Name]]))</f>
        <v>Brown</v>
      </c>
      <c r="S68" s="25">
        <f t="shared" si="1"/>
        <v>30</v>
      </c>
      <c r="T68" t="str">
        <f>LEFT(Before_Tbl[[#This Row],[Department_Region]],FIND("-",Before_Tbl[[#This Row],[Department_Region]])-1)</f>
        <v>Admin</v>
      </c>
      <c r="U68" t="str">
        <f>RIGHT(Before_Tbl[[#This Row],[Department_Region]],LEN(Before_Tbl[[#This Row],[Department_Region]])-FIND("-",Before_Tbl[[#This Row],[Department_Region]]))</f>
        <v>Nevada</v>
      </c>
      <c r="V68" t="str">
        <f>TRIM(PROPER(Before_Tbl[[#This Row],[Status]]))</f>
        <v>Pending</v>
      </c>
      <c r="W68" s="26">
        <v>44166</v>
      </c>
      <c r="X68" s="4">
        <v>112486.19</v>
      </c>
      <c r="Y68" t="str">
        <f>TRIM(LOWER(Before_Tbl[[#This Row],[Email]]))</f>
        <v>grace.brown@example.com</v>
      </c>
      <c r="Z68" s="2" t="str">
        <f>SUBSTITUTE(Before_Tbl[[#This Row],[Phone]],"-","")</f>
        <v>7850720810</v>
      </c>
      <c r="AA68" t="str">
        <f>TRIM(PROPER(Before_Tbl[[#This Row],[Performance_Score]]))</f>
        <v>Excellent</v>
      </c>
      <c r="AB68" s="2" t="str">
        <f>TRIM(UPPER(Before_Tbl[[#This Row],[Remote_Work]]))</f>
        <v>TRUE</v>
      </c>
    </row>
    <row r="69" spans="1:28" x14ac:dyDescent="0.35">
      <c r="A69" t="s">
        <v>202</v>
      </c>
      <c r="B69" t="s">
        <v>13</v>
      </c>
      <c r="C69" t="s">
        <v>122</v>
      </c>
      <c r="D69">
        <v>40</v>
      </c>
      <c r="E69" t="s">
        <v>196</v>
      </c>
      <c r="F69" t="s">
        <v>28</v>
      </c>
      <c r="G69" t="s">
        <v>203</v>
      </c>
      <c r="H69">
        <v>82518.490000000005</v>
      </c>
      <c r="I69" t="s">
        <v>123</v>
      </c>
      <c r="J69">
        <v>-5562606028</v>
      </c>
      <c r="K69" t="s">
        <v>41</v>
      </c>
      <c r="L69" t="b">
        <v>1</v>
      </c>
      <c r="P69" t="str">
        <f>TRIM(Before_Tbl[[#This Row],[Employee_ID]])</f>
        <v>EMP1067</v>
      </c>
      <c r="Q69" t="str">
        <f>TRIM(PROPER(Before_Tbl[[#This Row],[First_Name]]))</f>
        <v>Bob</v>
      </c>
      <c r="R69" t="str">
        <f>TRIM(PROPER(Before_Tbl[[#This Row],[Last_Name]]))</f>
        <v>Smith</v>
      </c>
      <c r="S69" s="25">
        <f t="shared" si="1"/>
        <v>40</v>
      </c>
      <c r="T69" t="str">
        <f>LEFT(Before_Tbl[[#This Row],[Department_Region]],FIND("-",Before_Tbl[[#This Row],[Department_Region]])-1)</f>
        <v>Admin</v>
      </c>
      <c r="U69" t="str">
        <f>RIGHT(Before_Tbl[[#This Row],[Department_Region]],LEN(Before_Tbl[[#This Row],[Department_Region]])-FIND("-",Before_Tbl[[#This Row],[Department_Region]]))</f>
        <v>New York</v>
      </c>
      <c r="V69" t="str">
        <f>TRIM(PROPER(Before_Tbl[[#This Row],[Status]]))</f>
        <v>Pending</v>
      </c>
      <c r="W69" s="26">
        <v>44891</v>
      </c>
      <c r="X69" s="4">
        <v>82518.490000000005</v>
      </c>
      <c r="Y69" t="str">
        <f>TRIM(LOWER(Before_Tbl[[#This Row],[Email]]))</f>
        <v>bob.smith@example.com</v>
      </c>
      <c r="Z69" s="2" t="str">
        <f>SUBSTITUTE(Before_Tbl[[#This Row],[Phone]],"-","")</f>
        <v>5562606028</v>
      </c>
      <c r="AA69" t="str">
        <f>TRIM(PROPER(Before_Tbl[[#This Row],[Performance_Score]]))</f>
        <v>Poor</v>
      </c>
      <c r="AB69" s="2" t="str">
        <f>TRIM(UPPER(Before_Tbl[[#This Row],[Remote_Work]]))</f>
        <v>TRUE</v>
      </c>
    </row>
    <row r="70" spans="1:28" x14ac:dyDescent="0.35">
      <c r="A70" t="s">
        <v>204</v>
      </c>
      <c r="B70" t="s">
        <v>13</v>
      </c>
      <c r="C70" t="s">
        <v>20</v>
      </c>
      <c r="D70">
        <v>40</v>
      </c>
      <c r="E70" t="s">
        <v>205</v>
      </c>
      <c r="F70" t="s">
        <v>28</v>
      </c>
      <c r="G70" t="s">
        <v>206</v>
      </c>
      <c r="H70">
        <v>119152.47</v>
      </c>
      <c r="I70" t="s">
        <v>22</v>
      </c>
      <c r="J70">
        <v>-846684549</v>
      </c>
      <c r="K70" t="s">
        <v>41</v>
      </c>
      <c r="L70" t="b">
        <v>1</v>
      </c>
      <c r="P70" t="str">
        <f>TRIM(Before_Tbl[[#This Row],[Employee_ID]])</f>
        <v>EMP1068</v>
      </c>
      <c r="Q70" t="str">
        <f>TRIM(PROPER(Before_Tbl[[#This Row],[First_Name]]))</f>
        <v>Bob</v>
      </c>
      <c r="R70" t="str">
        <f>TRIM(PROPER(Before_Tbl[[#This Row],[Last_Name]]))</f>
        <v>Brown</v>
      </c>
      <c r="S70" s="25">
        <f t="shared" si="1"/>
        <v>40</v>
      </c>
      <c r="T70" t="str">
        <f>LEFT(Before_Tbl[[#This Row],[Department_Region]],FIND("-",Before_Tbl[[#This Row],[Department_Region]])-1)</f>
        <v>Admin</v>
      </c>
      <c r="U70" t="str">
        <f>RIGHT(Before_Tbl[[#This Row],[Department_Region]],LEN(Before_Tbl[[#This Row],[Department_Region]])-FIND("-",Before_Tbl[[#This Row],[Department_Region]]))</f>
        <v>Florida</v>
      </c>
      <c r="V70" t="str">
        <f>TRIM(PROPER(Before_Tbl[[#This Row],[Status]]))</f>
        <v>Pending</v>
      </c>
      <c r="W70" s="26">
        <v>44918</v>
      </c>
      <c r="X70" s="4">
        <v>119152.47</v>
      </c>
      <c r="Y70" t="str">
        <f>TRIM(LOWER(Before_Tbl[[#This Row],[Email]]))</f>
        <v>bob.brown@example.com</v>
      </c>
      <c r="Z70" s="2" t="str">
        <f>SUBSTITUTE(Before_Tbl[[#This Row],[Phone]],"-","")</f>
        <v>846684549</v>
      </c>
      <c r="AA70" t="str">
        <f>TRIM(PROPER(Before_Tbl[[#This Row],[Performance_Score]]))</f>
        <v>Poor</v>
      </c>
      <c r="AB70" s="2" t="str">
        <f>TRIM(UPPER(Before_Tbl[[#This Row],[Remote_Work]]))</f>
        <v>TRUE</v>
      </c>
    </row>
    <row r="71" spans="1:28" x14ac:dyDescent="0.35">
      <c r="A71" t="s">
        <v>207</v>
      </c>
      <c r="B71" t="s">
        <v>65</v>
      </c>
      <c r="C71" t="s">
        <v>92</v>
      </c>
      <c r="E71" t="s">
        <v>78</v>
      </c>
      <c r="F71" t="s">
        <v>33</v>
      </c>
      <c r="G71" t="s">
        <v>208</v>
      </c>
      <c r="H71">
        <v>113479.83</v>
      </c>
      <c r="I71" t="s">
        <v>130</v>
      </c>
      <c r="J71">
        <v>-4892673898</v>
      </c>
      <c r="K71" t="s">
        <v>30</v>
      </c>
      <c r="L71" t="b">
        <v>0</v>
      </c>
      <c r="P71" t="str">
        <f>TRIM(Before_Tbl[[#This Row],[Employee_ID]])</f>
        <v>EMP1069</v>
      </c>
      <c r="Q71" t="str">
        <f>TRIM(PROPER(Before_Tbl[[#This Row],[First_Name]]))</f>
        <v>Heidi</v>
      </c>
      <c r="R71" t="str">
        <f>TRIM(PROPER(Before_Tbl[[#This Row],[Last_Name]]))</f>
        <v>Miller</v>
      </c>
      <c r="S71" s="25">
        <f t="shared" si="1"/>
        <v>30</v>
      </c>
      <c r="T71" t="str">
        <f>LEFT(Before_Tbl[[#This Row],[Department_Region]],FIND("-",Before_Tbl[[#This Row],[Department_Region]])-1)</f>
        <v>DevOps</v>
      </c>
      <c r="U71" t="str">
        <f>RIGHT(Before_Tbl[[#This Row],[Department_Region]],LEN(Before_Tbl[[#This Row],[Department_Region]])-FIND("-",Before_Tbl[[#This Row],[Department_Region]]))</f>
        <v>Illinois</v>
      </c>
      <c r="V71" t="str">
        <f>TRIM(PROPER(Before_Tbl[[#This Row],[Status]]))</f>
        <v>Inactive</v>
      </c>
      <c r="W71" s="26">
        <v>45532</v>
      </c>
      <c r="X71" s="4">
        <v>113479.83</v>
      </c>
      <c r="Y71" t="str">
        <f>TRIM(LOWER(Before_Tbl[[#This Row],[Email]]))</f>
        <v>heidi.miller@example.com</v>
      </c>
      <c r="Z71" s="2" t="str">
        <f>SUBSTITUTE(Before_Tbl[[#This Row],[Phone]],"-","")</f>
        <v>4892673898</v>
      </c>
      <c r="AA71" t="str">
        <f>TRIM(PROPER(Before_Tbl[[#This Row],[Performance_Score]]))</f>
        <v>Good</v>
      </c>
      <c r="AB71" s="2" t="str">
        <f>TRIM(UPPER(Before_Tbl[[#This Row],[Remote_Work]]))</f>
        <v>FALSE</v>
      </c>
    </row>
    <row r="72" spans="1:28" x14ac:dyDescent="0.35">
      <c r="A72" t="s">
        <v>209</v>
      </c>
      <c r="B72" t="s">
        <v>54</v>
      </c>
      <c r="C72" t="s">
        <v>55</v>
      </c>
      <c r="D72">
        <v>40</v>
      </c>
      <c r="E72" t="s">
        <v>70</v>
      </c>
      <c r="F72" t="s">
        <v>16</v>
      </c>
      <c r="G72" t="s">
        <v>210</v>
      </c>
      <c r="H72">
        <v>94636.3</v>
      </c>
      <c r="I72" t="s">
        <v>57</v>
      </c>
      <c r="J72">
        <v>-7563410855</v>
      </c>
      <c r="K72" t="s">
        <v>41</v>
      </c>
      <c r="L72" t="b">
        <v>0</v>
      </c>
      <c r="P72" t="str">
        <f>TRIM(Before_Tbl[[#This Row],[Employee_ID]])</f>
        <v>EMP1070</v>
      </c>
      <c r="Q72" t="str">
        <f>TRIM(PROPER(Before_Tbl[[#This Row],[First_Name]]))</f>
        <v>Charlie</v>
      </c>
      <c r="R72" t="str">
        <f>TRIM(PROPER(Before_Tbl[[#This Row],[Last_Name]]))</f>
        <v>Johnson</v>
      </c>
      <c r="S72" s="25">
        <f t="shared" si="1"/>
        <v>40</v>
      </c>
      <c r="T72" t="str">
        <f>LEFT(Before_Tbl[[#This Row],[Department_Region]],FIND("-",Before_Tbl[[#This Row],[Department_Region]])-1)</f>
        <v>Finance</v>
      </c>
      <c r="U72" t="str">
        <f>RIGHT(Before_Tbl[[#This Row],[Department_Region]],LEN(Before_Tbl[[#This Row],[Department_Region]])-FIND("-",Before_Tbl[[#This Row],[Department_Region]]))</f>
        <v>California</v>
      </c>
      <c r="V72" t="str">
        <f>TRIM(PROPER(Before_Tbl[[#This Row],[Status]]))</f>
        <v>Active</v>
      </c>
      <c r="W72" s="26">
        <v>45551</v>
      </c>
      <c r="X72" s="4">
        <v>94636.3</v>
      </c>
      <c r="Y72" t="str">
        <f>TRIM(LOWER(Before_Tbl[[#This Row],[Email]]))</f>
        <v>charlie.johnson@example.com</v>
      </c>
      <c r="Z72" s="2" t="str">
        <f>SUBSTITUTE(Before_Tbl[[#This Row],[Phone]],"-","")</f>
        <v>7563410855</v>
      </c>
      <c r="AA72" t="str">
        <f>TRIM(PROPER(Before_Tbl[[#This Row],[Performance_Score]]))</f>
        <v>Poor</v>
      </c>
      <c r="AB72" s="2" t="str">
        <f>TRIM(UPPER(Before_Tbl[[#This Row],[Remote_Work]]))</f>
        <v>FALSE</v>
      </c>
    </row>
    <row r="73" spans="1:28" x14ac:dyDescent="0.35">
      <c r="A73" t="s">
        <v>211</v>
      </c>
      <c r="B73" t="s">
        <v>65</v>
      </c>
      <c r="C73" t="s">
        <v>55</v>
      </c>
      <c r="D73">
        <v>30</v>
      </c>
      <c r="E73" t="s">
        <v>212</v>
      </c>
      <c r="F73" t="s">
        <v>16</v>
      </c>
      <c r="G73" s="1">
        <v>45292</v>
      </c>
      <c r="H73">
        <v>70000.97</v>
      </c>
      <c r="I73" t="s">
        <v>113</v>
      </c>
      <c r="J73">
        <v>-2884318847</v>
      </c>
      <c r="K73" t="s">
        <v>18</v>
      </c>
      <c r="L73" t="b">
        <v>1</v>
      </c>
      <c r="P73" t="str">
        <f>TRIM(Before_Tbl[[#This Row],[Employee_ID]])</f>
        <v>EMP1071</v>
      </c>
      <c r="Q73" t="str">
        <f>TRIM(PROPER(Before_Tbl[[#This Row],[First_Name]]))</f>
        <v>Heidi</v>
      </c>
      <c r="R73" t="str">
        <f>TRIM(PROPER(Before_Tbl[[#This Row],[Last_Name]]))</f>
        <v>Johnson</v>
      </c>
      <c r="S73" s="25">
        <f t="shared" si="1"/>
        <v>30</v>
      </c>
      <c r="T73" t="str">
        <f>LEFT(Before_Tbl[[#This Row],[Department_Region]],FIND("-",Before_Tbl[[#This Row],[Department_Region]])-1)</f>
        <v>HR</v>
      </c>
      <c r="U73" t="str">
        <f>RIGHT(Before_Tbl[[#This Row],[Department_Region]],LEN(Before_Tbl[[#This Row],[Department_Region]])-FIND("-",Before_Tbl[[#This Row],[Department_Region]]))</f>
        <v>Florida</v>
      </c>
      <c r="V73" t="str">
        <f>TRIM(PROPER(Before_Tbl[[#This Row],[Status]]))</f>
        <v>Active</v>
      </c>
      <c r="W73" s="26">
        <v>45292</v>
      </c>
      <c r="X73" s="4">
        <v>70000.97</v>
      </c>
      <c r="Y73" t="str">
        <f>TRIM(LOWER(Before_Tbl[[#This Row],[Email]]))</f>
        <v>heidi.johnson@example.com</v>
      </c>
      <c r="Z73" s="2" t="str">
        <f>SUBSTITUTE(Before_Tbl[[#This Row],[Phone]],"-","")</f>
        <v>2884318847</v>
      </c>
      <c r="AA73" t="str">
        <f>TRIM(PROPER(Before_Tbl[[#This Row],[Performance_Score]]))</f>
        <v>Average</v>
      </c>
      <c r="AB73" s="2" t="str">
        <f>TRIM(UPPER(Before_Tbl[[#This Row],[Remote_Work]]))</f>
        <v>TRUE</v>
      </c>
    </row>
    <row r="74" spans="1:28" x14ac:dyDescent="0.35">
      <c r="A74" t="s">
        <v>213</v>
      </c>
      <c r="B74" t="s">
        <v>37</v>
      </c>
      <c r="C74" t="s">
        <v>122</v>
      </c>
      <c r="E74" t="s">
        <v>60</v>
      </c>
      <c r="F74" t="s">
        <v>16</v>
      </c>
      <c r="G74" t="s">
        <v>214</v>
      </c>
      <c r="H74">
        <v>76812.47</v>
      </c>
      <c r="I74" t="s">
        <v>137</v>
      </c>
      <c r="J74">
        <v>-5200894345</v>
      </c>
      <c r="K74" t="s">
        <v>41</v>
      </c>
      <c r="L74" t="b">
        <v>0</v>
      </c>
      <c r="P74" t="str">
        <f>TRIM(Before_Tbl[[#This Row],[Employee_ID]])</f>
        <v>EMP1072</v>
      </c>
      <c r="Q74" t="str">
        <f>TRIM(PROPER(Before_Tbl[[#This Row],[First_Name]]))</f>
        <v>Frank</v>
      </c>
      <c r="R74" t="str">
        <f>TRIM(PROPER(Before_Tbl[[#This Row],[Last_Name]]))</f>
        <v>Smith</v>
      </c>
      <c r="S74" s="25">
        <f t="shared" si="1"/>
        <v>30</v>
      </c>
      <c r="T74" t="str">
        <f>LEFT(Before_Tbl[[#This Row],[Department_Region]],FIND("-",Before_Tbl[[#This Row],[Department_Region]])-1)</f>
        <v>Cloud Tech</v>
      </c>
      <c r="U74" t="str">
        <f>RIGHT(Before_Tbl[[#This Row],[Department_Region]],LEN(Before_Tbl[[#This Row],[Department_Region]])-FIND("-",Before_Tbl[[#This Row],[Department_Region]]))</f>
        <v>New York</v>
      </c>
      <c r="V74" t="str">
        <f>TRIM(PROPER(Before_Tbl[[#This Row],[Status]]))</f>
        <v>Active</v>
      </c>
      <c r="W74" s="26">
        <v>44304</v>
      </c>
      <c r="X74" s="4">
        <v>76812.47</v>
      </c>
      <c r="Y74" t="str">
        <f>TRIM(LOWER(Before_Tbl[[#This Row],[Email]]))</f>
        <v>frank.smith@example.com</v>
      </c>
      <c r="Z74" s="2" t="str">
        <f>SUBSTITUTE(Before_Tbl[[#This Row],[Phone]],"-","")</f>
        <v>5200894345</v>
      </c>
      <c r="AA74" t="str">
        <f>TRIM(PROPER(Before_Tbl[[#This Row],[Performance_Score]]))</f>
        <v>Poor</v>
      </c>
      <c r="AB74" s="2" t="str">
        <f>TRIM(UPPER(Before_Tbl[[#This Row],[Remote_Work]]))</f>
        <v>FALSE</v>
      </c>
    </row>
    <row r="75" spans="1:28" x14ac:dyDescent="0.35">
      <c r="A75" t="s">
        <v>215</v>
      </c>
      <c r="B75" t="s">
        <v>59</v>
      </c>
      <c r="C75" t="s">
        <v>55</v>
      </c>
      <c r="D75">
        <v>25</v>
      </c>
      <c r="E75" t="s">
        <v>112</v>
      </c>
      <c r="F75" t="s">
        <v>33</v>
      </c>
      <c r="G75" t="s">
        <v>216</v>
      </c>
      <c r="H75">
        <v>82614.7</v>
      </c>
      <c r="I75" t="s">
        <v>217</v>
      </c>
      <c r="J75">
        <v>-8105485100</v>
      </c>
      <c r="K75" t="s">
        <v>18</v>
      </c>
      <c r="L75" t="b">
        <v>1</v>
      </c>
      <c r="P75" t="str">
        <f>TRIM(Before_Tbl[[#This Row],[Employee_ID]])</f>
        <v>EMP1073</v>
      </c>
      <c r="Q75" t="str">
        <f>TRIM(PROPER(Before_Tbl[[#This Row],[First_Name]]))</f>
        <v>David</v>
      </c>
      <c r="R75" t="str">
        <f>TRIM(PROPER(Before_Tbl[[#This Row],[Last_Name]]))</f>
        <v>Johnson</v>
      </c>
      <c r="S75" s="25">
        <f t="shared" si="1"/>
        <v>25</v>
      </c>
      <c r="T75" t="str">
        <f>LEFT(Before_Tbl[[#This Row],[Department_Region]],FIND("-",Before_Tbl[[#This Row],[Department_Region]])-1)</f>
        <v>Finance</v>
      </c>
      <c r="U75" t="str">
        <f>RIGHT(Before_Tbl[[#This Row],[Department_Region]],LEN(Before_Tbl[[#This Row],[Department_Region]])-FIND("-",Before_Tbl[[#This Row],[Department_Region]]))</f>
        <v>Florida</v>
      </c>
      <c r="V75" t="str">
        <f>TRIM(PROPER(Before_Tbl[[#This Row],[Status]]))</f>
        <v>Inactive</v>
      </c>
      <c r="W75" s="26">
        <v>44942</v>
      </c>
      <c r="X75" s="4">
        <v>82614.7</v>
      </c>
      <c r="Y75" t="str">
        <f>TRIM(LOWER(Before_Tbl[[#This Row],[Email]]))</f>
        <v>david.johnson@example.com</v>
      </c>
      <c r="Z75" s="2" t="str">
        <f>SUBSTITUTE(Before_Tbl[[#This Row],[Phone]],"-","")</f>
        <v>8105485100</v>
      </c>
      <c r="AA75" t="str">
        <f>TRIM(PROPER(Before_Tbl[[#This Row],[Performance_Score]]))</f>
        <v>Average</v>
      </c>
      <c r="AB75" s="2" t="str">
        <f>TRIM(UPPER(Before_Tbl[[#This Row],[Remote_Work]]))</f>
        <v>TRUE</v>
      </c>
    </row>
    <row r="76" spans="1:28" x14ac:dyDescent="0.35">
      <c r="A76" t="s">
        <v>218</v>
      </c>
      <c r="B76" t="s">
        <v>69</v>
      </c>
      <c r="C76" t="s">
        <v>26</v>
      </c>
      <c r="D76">
        <v>40</v>
      </c>
      <c r="E76" t="s">
        <v>219</v>
      </c>
      <c r="F76" t="s">
        <v>16</v>
      </c>
      <c r="G76" t="s">
        <v>220</v>
      </c>
      <c r="H76">
        <v>111645.97</v>
      </c>
      <c r="I76" t="s">
        <v>76</v>
      </c>
      <c r="J76">
        <v>-7490753997</v>
      </c>
      <c r="K76" t="s">
        <v>30</v>
      </c>
      <c r="L76" t="b">
        <v>1</v>
      </c>
      <c r="P76" t="str">
        <f>TRIM(Before_Tbl[[#This Row],[Employee_ID]])</f>
        <v>EMP1074</v>
      </c>
      <c r="Q76" t="str">
        <f>TRIM(PROPER(Before_Tbl[[#This Row],[First_Name]]))</f>
        <v>Grace</v>
      </c>
      <c r="R76" t="str">
        <f>TRIM(PROPER(Before_Tbl[[#This Row],[Last_Name]]))</f>
        <v>Jones</v>
      </c>
      <c r="S76" s="25">
        <f t="shared" si="1"/>
        <v>40</v>
      </c>
      <c r="T76" t="str">
        <f>LEFT(Before_Tbl[[#This Row],[Department_Region]],FIND("-",Before_Tbl[[#This Row],[Department_Region]])-1)</f>
        <v>Sales</v>
      </c>
      <c r="U76" t="str">
        <f>RIGHT(Before_Tbl[[#This Row],[Department_Region]],LEN(Before_Tbl[[#This Row],[Department_Region]])-FIND("-",Before_Tbl[[#This Row],[Department_Region]]))</f>
        <v>Nevada</v>
      </c>
      <c r="V76" t="str">
        <f>TRIM(PROPER(Before_Tbl[[#This Row],[Status]]))</f>
        <v>Active</v>
      </c>
      <c r="W76" s="26">
        <v>45585</v>
      </c>
      <c r="X76" s="4">
        <v>111645.97</v>
      </c>
      <c r="Y76" t="str">
        <f>TRIM(LOWER(Before_Tbl[[#This Row],[Email]]))</f>
        <v>grace.jones@example.com</v>
      </c>
      <c r="Z76" s="2" t="str">
        <f>SUBSTITUTE(Before_Tbl[[#This Row],[Phone]],"-","")</f>
        <v>7490753997</v>
      </c>
      <c r="AA76" t="str">
        <f>TRIM(PROPER(Before_Tbl[[#This Row],[Performance_Score]]))</f>
        <v>Good</v>
      </c>
      <c r="AB76" s="2" t="str">
        <f>TRIM(UPPER(Before_Tbl[[#This Row],[Remote_Work]]))</f>
        <v>TRUE</v>
      </c>
    </row>
    <row r="77" spans="1:28" x14ac:dyDescent="0.35">
      <c r="A77" t="s">
        <v>221</v>
      </c>
      <c r="B77" t="s">
        <v>65</v>
      </c>
      <c r="C77" t="s">
        <v>55</v>
      </c>
      <c r="D77">
        <v>25</v>
      </c>
      <c r="E77" t="s">
        <v>146</v>
      </c>
      <c r="F77" t="s">
        <v>33</v>
      </c>
      <c r="G77" t="s">
        <v>222</v>
      </c>
      <c r="H77">
        <v>112414.91</v>
      </c>
      <c r="I77" t="s">
        <v>113</v>
      </c>
      <c r="J77">
        <v>-9354492682</v>
      </c>
      <c r="K77" t="s">
        <v>30</v>
      </c>
      <c r="L77" t="b">
        <v>0</v>
      </c>
      <c r="P77" t="str">
        <f>TRIM(Before_Tbl[[#This Row],[Employee_ID]])</f>
        <v>EMP1075</v>
      </c>
      <c r="Q77" t="str">
        <f>TRIM(PROPER(Before_Tbl[[#This Row],[First_Name]]))</f>
        <v>Heidi</v>
      </c>
      <c r="R77" t="str">
        <f>TRIM(PROPER(Before_Tbl[[#This Row],[Last_Name]]))</f>
        <v>Johnson</v>
      </c>
      <c r="S77" s="25">
        <f t="shared" si="1"/>
        <v>25</v>
      </c>
      <c r="T77" t="str">
        <f>LEFT(Before_Tbl[[#This Row],[Department_Region]],FIND("-",Before_Tbl[[#This Row],[Department_Region]])-1)</f>
        <v>HR</v>
      </c>
      <c r="U77" t="str">
        <f>RIGHT(Before_Tbl[[#This Row],[Department_Region]],LEN(Before_Tbl[[#This Row],[Department_Region]])-FIND("-",Before_Tbl[[#This Row],[Department_Region]]))</f>
        <v>California</v>
      </c>
      <c r="V77" t="str">
        <f>TRIM(PROPER(Before_Tbl[[#This Row],[Status]]))</f>
        <v>Inactive</v>
      </c>
      <c r="W77" s="26">
        <v>45578</v>
      </c>
      <c r="X77" s="4">
        <v>112414.91</v>
      </c>
      <c r="Y77" t="str">
        <f>TRIM(LOWER(Before_Tbl[[#This Row],[Email]]))</f>
        <v>heidi.johnson@example.com</v>
      </c>
      <c r="Z77" s="2" t="str">
        <f>SUBSTITUTE(Before_Tbl[[#This Row],[Phone]],"-","")</f>
        <v>9354492682</v>
      </c>
      <c r="AA77" t="str">
        <f>TRIM(PROPER(Before_Tbl[[#This Row],[Performance_Score]]))</f>
        <v>Good</v>
      </c>
      <c r="AB77" s="2" t="str">
        <f>TRIM(UPPER(Before_Tbl[[#This Row],[Remote_Work]]))</f>
        <v>FALSE</v>
      </c>
    </row>
    <row r="78" spans="1:28" x14ac:dyDescent="0.35">
      <c r="A78" t="s">
        <v>223</v>
      </c>
      <c r="B78" t="s">
        <v>59</v>
      </c>
      <c r="C78" t="s">
        <v>20</v>
      </c>
      <c r="D78">
        <v>40</v>
      </c>
      <c r="E78" t="s">
        <v>118</v>
      </c>
      <c r="F78" t="s">
        <v>33</v>
      </c>
      <c r="G78" t="s">
        <v>224</v>
      </c>
      <c r="H78">
        <v>52031.74</v>
      </c>
      <c r="I78" t="s">
        <v>225</v>
      </c>
      <c r="J78">
        <v>-1589357125</v>
      </c>
      <c r="K78" t="s">
        <v>30</v>
      </c>
      <c r="L78" t="b">
        <v>1</v>
      </c>
      <c r="P78" t="str">
        <f>TRIM(Before_Tbl[[#This Row],[Employee_ID]])</f>
        <v>EMP1076</v>
      </c>
      <c r="Q78" t="str">
        <f>TRIM(PROPER(Before_Tbl[[#This Row],[First_Name]]))</f>
        <v>David</v>
      </c>
      <c r="R78" t="str">
        <f>TRIM(PROPER(Before_Tbl[[#This Row],[Last_Name]]))</f>
        <v>Brown</v>
      </c>
      <c r="S78" s="25">
        <f t="shared" si="1"/>
        <v>40</v>
      </c>
      <c r="T78" t="str">
        <f>LEFT(Before_Tbl[[#This Row],[Department_Region]],FIND("-",Before_Tbl[[#This Row],[Department_Region]])-1)</f>
        <v>Admin</v>
      </c>
      <c r="U78" t="str">
        <f>RIGHT(Before_Tbl[[#This Row],[Department_Region]],LEN(Before_Tbl[[#This Row],[Department_Region]])-FIND("-",Before_Tbl[[#This Row],[Department_Region]]))</f>
        <v>California</v>
      </c>
      <c r="V78" t="str">
        <f>TRIM(PROPER(Before_Tbl[[#This Row],[Status]]))</f>
        <v>Inactive</v>
      </c>
      <c r="W78" s="26">
        <v>44825</v>
      </c>
      <c r="X78" s="4">
        <v>52031.74</v>
      </c>
      <c r="Y78" t="str">
        <f>TRIM(LOWER(Before_Tbl[[#This Row],[Email]]))</f>
        <v>david.brown@example.com</v>
      </c>
      <c r="Z78" s="2" t="str">
        <f>SUBSTITUTE(Before_Tbl[[#This Row],[Phone]],"-","")</f>
        <v>1589357125</v>
      </c>
      <c r="AA78" t="str">
        <f>TRIM(PROPER(Before_Tbl[[#This Row],[Performance_Score]]))</f>
        <v>Good</v>
      </c>
      <c r="AB78" s="2" t="str">
        <f>TRIM(UPPER(Before_Tbl[[#This Row],[Remote_Work]]))</f>
        <v>TRUE</v>
      </c>
    </row>
    <row r="79" spans="1:28" x14ac:dyDescent="0.35">
      <c r="A79" t="s">
        <v>226</v>
      </c>
      <c r="B79" t="s">
        <v>69</v>
      </c>
      <c r="C79" t="s">
        <v>20</v>
      </c>
      <c r="D79">
        <v>30</v>
      </c>
      <c r="E79" t="s">
        <v>227</v>
      </c>
      <c r="F79" t="s">
        <v>28</v>
      </c>
      <c r="G79" t="s">
        <v>228</v>
      </c>
      <c r="H79">
        <v>51887.65</v>
      </c>
      <c r="I79" t="s">
        <v>201</v>
      </c>
      <c r="J79">
        <v>-6110627370</v>
      </c>
      <c r="K79" t="s">
        <v>30</v>
      </c>
      <c r="L79" t="b">
        <v>0</v>
      </c>
      <c r="P79" t="str">
        <f>TRIM(Before_Tbl[[#This Row],[Employee_ID]])</f>
        <v>EMP1077</v>
      </c>
      <c r="Q79" t="str">
        <f>TRIM(PROPER(Before_Tbl[[#This Row],[First_Name]]))</f>
        <v>Grace</v>
      </c>
      <c r="R79" t="str">
        <f>TRIM(PROPER(Before_Tbl[[#This Row],[Last_Name]]))</f>
        <v>Brown</v>
      </c>
      <c r="S79" s="25">
        <f t="shared" si="1"/>
        <v>30</v>
      </c>
      <c r="T79" t="str">
        <f>LEFT(Before_Tbl[[#This Row],[Department_Region]],FIND("-",Before_Tbl[[#This Row],[Department_Region]])-1)</f>
        <v>Finance</v>
      </c>
      <c r="U79" t="str">
        <f>RIGHT(Before_Tbl[[#This Row],[Department_Region]],LEN(Before_Tbl[[#This Row],[Department_Region]])-FIND("-",Before_Tbl[[#This Row],[Department_Region]]))</f>
        <v>New York</v>
      </c>
      <c r="V79" t="str">
        <f>TRIM(PROPER(Before_Tbl[[#This Row],[Status]]))</f>
        <v>Pending</v>
      </c>
      <c r="W79" s="26">
        <v>44924</v>
      </c>
      <c r="X79" s="4">
        <v>51887.65</v>
      </c>
      <c r="Y79" t="str">
        <f>TRIM(LOWER(Before_Tbl[[#This Row],[Email]]))</f>
        <v>grace.brown@example.com</v>
      </c>
      <c r="Z79" s="2" t="str">
        <f>SUBSTITUTE(Before_Tbl[[#This Row],[Phone]],"-","")</f>
        <v>6110627370</v>
      </c>
      <c r="AA79" t="str">
        <f>TRIM(PROPER(Before_Tbl[[#This Row],[Performance_Score]]))</f>
        <v>Good</v>
      </c>
      <c r="AB79" s="2" t="str">
        <f>TRIM(UPPER(Before_Tbl[[#This Row],[Remote_Work]]))</f>
        <v>FALSE</v>
      </c>
    </row>
    <row r="80" spans="1:28" x14ac:dyDescent="0.35">
      <c r="A80" t="s">
        <v>229</v>
      </c>
      <c r="B80" t="s">
        <v>25</v>
      </c>
      <c r="C80" t="s">
        <v>14</v>
      </c>
      <c r="D80">
        <v>25</v>
      </c>
      <c r="E80" t="s">
        <v>230</v>
      </c>
      <c r="F80" t="s">
        <v>16</v>
      </c>
      <c r="G80" s="1">
        <v>45576</v>
      </c>
      <c r="H80">
        <v>82318.89</v>
      </c>
      <c r="I80" t="s">
        <v>163</v>
      </c>
      <c r="J80">
        <v>-5869886496</v>
      </c>
      <c r="K80" t="s">
        <v>30</v>
      </c>
      <c r="L80" t="b">
        <v>1</v>
      </c>
      <c r="P80" t="str">
        <f>TRIM(Before_Tbl[[#This Row],[Employee_ID]])</f>
        <v>EMP1078</v>
      </c>
      <c r="Q80" t="str">
        <f>TRIM(PROPER(Before_Tbl[[#This Row],[First_Name]]))</f>
        <v>Alice</v>
      </c>
      <c r="R80" t="str">
        <f>TRIM(PROPER(Before_Tbl[[#This Row],[Last_Name]]))</f>
        <v>Davis</v>
      </c>
      <c r="S80" s="25">
        <f t="shared" si="1"/>
        <v>25</v>
      </c>
      <c r="T80" t="str">
        <f>LEFT(Before_Tbl[[#This Row],[Department_Region]],FIND("-",Before_Tbl[[#This Row],[Department_Region]])-1)</f>
        <v>DevOps</v>
      </c>
      <c r="U80" t="str">
        <f>RIGHT(Before_Tbl[[#This Row],[Department_Region]],LEN(Before_Tbl[[#This Row],[Department_Region]])-FIND("-",Before_Tbl[[#This Row],[Department_Region]]))</f>
        <v>Florida</v>
      </c>
      <c r="V80" t="str">
        <f>TRIM(PROPER(Before_Tbl[[#This Row],[Status]]))</f>
        <v>Active</v>
      </c>
      <c r="W80" s="26">
        <v>45576</v>
      </c>
      <c r="X80" s="4">
        <v>82318.89</v>
      </c>
      <c r="Y80" t="str">
        <f>TRIM(LOWER(Before_Tbl[[#This Row],[Email]]))</f>
        <v>alice.davis@example.com</v>
      </c>
      <c r="Z80" s="2" t="str">
        <f>SUBSTITUTE(Before_Tbl[[#This Row],[Phone]],"-","")</f>
        <v>5869886496</v>
      </c>
      <c r="AA80" t="str">
        <f>TRIM(PROPER(Before_Tbl[[#This Row],[Performance_Score]]))</f>
        <v>Good</v>
      </c>
      <c r="AB80" s="2" t="str">
        <f>TRIM(UPPER(Before_Tbl[[#This Row],[Remote_Work]]))</f>
        <v>TRUE</v>
      </c>
    </row>
    <row r="81" spans="1:28" x14ac:dyDescent="0.35">
      <c r="A81" t="s">
        <v>231</v>
      </c>
      <c r="B81" t="s">
        <v>69</v>
      </c>
      <c r="C81" t="s">
        <v>20</v>
      </c>
      <c r="D81">
        <v>35</v>
      </c>
      <c r="E81" t="s">
        <v>205</v>
      </c>
      <c r="F81" t="s">
        <v>33</v>
      </c>
      <c r="G81" t="s">
        <v>232</v>
      </c>
      <c r="H81">
        <v>103286.08</v>
      </c>
      <c r="I81" t="s">
        <v>201</v>
      </c>
      <c r="J81">
        <v>-6776228276</v>
      </c>
      <c r="K81" t="s">
        <v>18</v>
      </c>
      <c r="L81" t="b">
        <v>0</v>
      </c>
      <c r="P81" t="str">
        <f>TRIM(Before_Tbl[[#This Row],[Employee_ID]])</f>
        <v>EMP1079</v>
      </c>
      <c r="Q81" t="str">
        <f>TRIM(PROPER(Before_Tbl[[#This Row],[First_Name]]))</f>
        <v>Grace</v>
      </c>
      <c r="R81" t="str">
        <f>TRIM(PROPER(Before_Tbl[[#This Row],[Last_Name]]))</f>
        <v>Brown</v>
      </c>
      <c r="S81" s="25">
        <f t="shared" si="1"/>
        <v>35</v>
      </c>
      <c r="T81" t="str">
        <f>LEFT(Before_Tbl[[#This Row],[Department_Region]],FIND("-",Before_Tbl[[#This Row],[Department_Region]])-1)</f>
        <v>Admin</v>
      </c>
      <c r="U81" t="str">
        <f>RIGHT(Before_Tbl[[#This Row],[Department_Region]],LEN(Before_Tbl[[#This Row],[Department_Region]])-FIND("-",Before_Tbl[[#This Row],[Department_Region]]))</f>
        <v>Florida</v>
      </c>
      <c r="V81" t="str">
        <f>TRIM(PROPER(Before_Tbl[[#This Row],[Status]]))</f>
        <v>Inactive</v>
      </c>
      <c r="W81" s="26">
        <v>44522</v>
      </c>
      <c r="X81" s="4">
        <v>103286.08</v>
      </c>
      <c r="Y81" t="str">
        <f>TRIM(LOWER(Before_Tbl[[#This Row],[Email]]))</f>
        <v>grace.brown@example.com</v>
      </c>
      <c r="Z81" s="2" t="str">
        <f>SUBSTITUTE(Before_Tbl[[#This Row],[Phone]],"-","")</f>
        <v>6776228276</v>
      </c>
      <c r="AA81" t="str">
        <f>TRIM(PROPER(Before_Tbl[[#This Row],[Performance_Score]]))</f>
        <v>Average</v>
      </c>
      <c r="AB81" s="2" t="str">
        <f>TRIM(UPPER(Before_Tbl[[#This Row],[Remote_Work]]))</f>
        <v>FALSE</v>
      </c>
    </row>
    <row r="82" spans="1:28" x14ac:dyDescent="0.35">
      <c r="A82" t="s">
        <v>233</v>
      </c>
      <c r="B82" t="s">
        <v>69</v>
      </c>
      <c r="C82" t="s">
        <v>14</v>
      </c>
      <c r="D82">
        <v>35</v>
      </c>
      <c r="E82" t="s">
        <v>39</v>
      </c>
      <c r="F82" t="s">
        <v>16</v>
      </c>
      <c r="G82" t="s">
        <v>234</v>
      </c>
      <c r="H82">
        <v>87759.33</v>
      </c>
      <c r="I82" t="s">
        <v>235</v>
      </c>
      <c r="J82">
        <v>-2881377027</v>
      </c>
      <c r="K82" t="s">
        <v>18</v>
      </c>
      <c r="L82" t="b">
        <v>0</v>
      </c>
      <c r="P82" t="str">
        <f>TRIM(Before_Tbl[[#This Row],[Employee_ID]])</f>
        <v>EMP1080</v>
      </c>
      <c r="Q82" t="str">
        <f>TRIM(PROPER(Before_Tbl[[#This Row],[First_Name]]))</f>
        <v>Grace</v>
      </c>
      <c r="R82" t="str">
        <f>TRIM(PROPER(Before_Tbl[[#This Row],[Last_Name]]))</f>
        <v>Davis</v>
      </c>
      <c r="S82" s="25">
        <f t="shared" si="1"/>
        <v>35</v>
      </c>
      <c r="T82" t="str">
        <f>LEFT(Before_Tbl[[#This Row],[Department_Region]],FIND("-",Before_Tbl[[#This Row],[Department_Region]])-1)</f>
        <v>Cloud Tech</v>
      </c>
      <c r="U82" t="str">
        <f>RIGHT(Before_Tbl[[#This Row],[Department_Region]],LEN(Before_Tbl[[#This Row],[Department_Region]])-FIND("-",Before_Tbl[[#This Row],[Department_Region]]))</f>
        <v>Florida</v>
      </c>
      <c r="V82" t="str">
        <f>TRIM(PROPER(Before_Tbl[[#This Row],[Status]]))</f>
        <v>Active</v>
      </c>
      <c r="W82" s="26">
        <v>45365</v>
      </c>
      <c r="X82" s="4">
        <v>87759.33</v>
      </c>
      <c r="Y82" t="str">
        <f>TRIM(LOWER(Before_Tbl[[#This Row],[Email]]))</f>
        <v>grace.davis@example.com</v>
      </c>
      <c r="Z82" s="2" t="str">
        <f>SUBSTITUTE(Before_Tbl[[#This Row],[Phone]],"-","")</f>
        <v>2881377027</v>
      </c>
      <c r="AA82" t="str">
        <f>TRIM(PROPER(Before_Tbl[[#This Row],[Performance_Score]]))</f>
        <v>Average</v>
      </c>
      <c r="AB82" s="2" t="str">
        <f>TRIM(UPPER(Before_Tbl[[#This Row],[Remote_Work]]))</f>
        <v>FALSE</v>
      </c>
    </row>
    <row r="83" spans="1:28" x14ac:dyDescent="0.35">
      <c r="A83" t="s">
        <v>236</v>
      </c>
      <c r="B83" t="s">
        <v>37</v>
      </c>
      <c r="C83" t="s">
        <v>20</v>
      </c>
      <c r="D83">
        <v>30</v>
      </c>
      <c r="E83" t="s">
        <v>237</v>
      </c>
      <c r="F83" t="s">
        <v>28</v>
      </c>
      <c r="G83" t="s">
        <v>238</v>
      </c>
      <c r="H83">
        <v>102796.32</v>
      </c>
      <c r="I83" t="s">
        <v>239</v>
      </c>
      <c r="J83">
        <v>-5196115939</v>
      </c>
      <c r="K83" t="s">
        <v>30</v>
      </c>
      <c r="L83" t="b">
        <v>0</v>
      </c>
      <c r="P83" t="str">
        <f>TRIM(Before_Tbl[[#This Row],[Employee_ID]])</f>
        <v>EMP1081</v>
      </c>
      <c r="Q83" t="str">
        <f>TRIM(PROPER(Before_Tbl[[#This Row],[First_Name]]))</f>
        <v>Frank</v>
      </c>
      <c r="R83" t="str">
        <f>TRIM(PROPER(Before_Tbl[[#This Row],[Last_Name]]))</f>
        <v>Brown</v>
      </c>
      <c r="S83" s="25">
        <f t="shared" si="1"/>
        <v>30</v>
      </c>
      <c r="T83" t="str">
        <f>LEFT(Before_Tbl[[#This Row],[Department_Region]],FIND("-",Before_Tbl[[#This Row],[Department_Region]])-1)</f>
        <v>DevOps</v>
      </c>
      <c r="U83" t="str">
        <f>RIGHT(Before_Tbl[[#This Row],[Department_Region]],LEN(Before_Tbl[[#This Row],[Department_Region]])-FIND("-",Before_Tbl[[#This Row],[Department_Region]]))</f>
        <v>Texas</v>
      </c>
      <c r="V83" t="str">
        <f>TRIM(PROPER(Before_Tbl[[#This Row],[Status]]))</f>
        <v>Pending</v>
      </c>
      <c r="W83" s="26">
        <v>43913</v>
      </c>
      <c r="X83" s="4">
        <v>102796.32</v>
      </c>
      <c r="Y83" t="str">
        <f>TRIM(LOWER(Before_Tbl[[#This Row],[Email]]))</f>
        <v>frank.brown@example.com</v>
      </c>
      <c r="Z83" s="2" t="str">
        <f>SUBSTITUTE(Before_Tbl[[#This Row],[Phone]],"-","")</f>
        <v>5196115939</v>
      </c>
      <c r="AA83" t="str">
        <f>TRIM(PROPER(Before_Tbl[[#This Row],[Performance_Score]]))</f>
        <v>Good</v>
      </c>
      <c r="AB83" s="2" t="str">
        <f>TRIM(UPPER(Before_Tbl[[#This Row],[Remote_Work]]))</f>
        <v>FALSE</v>
      </c>
    </row>
    <row r="84" spans="1:28" x14ac:dyDescent="0.35">
      <c r="A84" t="s">
        <v>240</v>
      </c>
      <c r="B84" t="s">
        <v>59</v>
      </c>
      <c r="C84" t="s">
        <v>26</v>
      </c>
      <c r="D84">
        <v>25</v>
      </c>
      <c r="E84" t="s">
        <v>109</v>
      </c>
      <c r="F84" t="s">
        <v>16</v>
      </c>
      <c r="G84" t="s">
        <v>241</v>
      </c>
      <c r="H84">
        <v>83149.27</v>
      </c>
      <c r="I84" t="s">
        <v>242</v>
      </c>
      <c r="J84">
        <v>-8215454469</v>
      </c>
      <c r="K84" t="s">
        <v>41</v>
      </c>
      <c r="L84" t="b">
        <v>1</v>
      </c>
      <c r="P84" t="str">
        <f>TRIM(Before_Tbl[[#This Row],[Employee_ID]])</f>
        <v>EMP1082</v>
      </c>
      <c r="Q84" t="str">
        <f>TRIM(PROPER(Before_Tbl[[#This Row],[First_Name]]))</f>
        <v>David</v>
      </c>
      <c r="R84" t="str">
        <f>TRIM(PROPER(Before_Tbl[[#This Row],[Last_Name]]))</f>
        <v>Jones</v>
      </c>
      <c r="S84" s="25">
        <f t="shared" si="1"/>
        <v>25</v>
      </c>
      <c r="T84" t="str">
        <f>LEFT(Before_Tbl[[#This Row],[Department_Region]],FIND("-",Before_Tbl[[#This Row],[Department_Region]])-1)</f>
        <v>Sales</v>
      </c>
      <c r="U84" t="str">
        <f>RIGHT(Before_Tbl[[#This Row],[Department_Region]],LEN(Before_Tbl[[#This Row],[Department_Region]])-FIND("-",Before_Tbl[[#This Row],[Department_Region]]))</f>
        <v>New York</v>
      </c>
      <c r="V84" t="str">
        <f>TRIM(PROPER(Before_Tbl[[#This Row],[Status]]))</f>
        <v>Active</v>
      </c>
      <c r="W84" s="26">
        <v>44089</v>
      </c>
      <c r="X84" s="4">
        <v>83149.27</v>
      </c>
      <c r="Y84" t="str">
        <f>TRIM(LOWER(Before_Tbl[[#This Row],[Email]]))</f>
        <v>david.jones@example.com</v>
      </c>
      <c r="Z84" s="2" t="str">
        <f>SUBSTITUTE(Before_Tbl[[#This Row],[Phone]],"-","")</f>
        <v>8215454469</v>
      </c>
      <c r="AA84" t="str">
        <f>TRIM(PROPER(Before_Tbl[[#This Row],[Performance_Score]]))</f>
        <v>Poor</v>
      </c>
      <c r="AB84" s="2" t="str">
        <f>TRIM(UPPER(Before_Tbl[[#This Row],[Remote_Work]]))</f>
        <v>TRUE</v>
      </c>
    </row>
    <row r="85" spans="1:28" x14ac:dyDescent="0.35">
      <c r="A85" t="s">
        <v>243</v>
      </c>
      <c r="B85" t="s">
        <v>59</v>
      </c>
      <c r="C85" t="s">
        <v>43</v>
      </c>
      <c r="D85">
        <v>40</v>
      </c>
      <c r="E85" t="s">
        <v>15</v>
      </c>
      <c r="F85" t="s">
        <v>33</v>
      </c>
      <c r="G85" s="1">
        <v>44086</v>
      </c>
      <c r="H85">
        <v>92412.49</v>
      </c>
      <c r="I85" t="s">
        <v>101</v>
      </c>
      <c r="J85">
        <v>-2296044326</v>
      </c>
      <c r="K85" t="s">
        <v>23</v>
      </c>
      <c r="L85" t="b">
        <v>1</v>
      </c>
      <c r="P85" t="str">
        <f>TRIM(Before_Tbl[[#This Row],[Employee_ID]])</f>
        <v>EMP1083</v>
      </c>
      <c r="Q85" t="str">
        <f>TRIM(PROPER(Before_Tbl[[#This Row],[First_Name]]))</f>
        <v>David</v>
      </c>
      <c r="R85" t="str">
        <f>TRIM(PROPER(Before_Tbl[[#This Row],[Last_Name]]))</f>
        <v>Garcia</v>
      </c>
      <c r="S85" s="25">
        <f t="shared" si="1"/>
        <v>40</v>
      </c>
      <c r="T85" t="str">
        <f>LEFT(Before_Tbl[[#This Row],[Department_Region]],FIND("-",Before_Tbl[[#This Row],[Department_Region]])-1)</f>
        <v>DevOps</v>
      </c>
      <c r="U85" t="str">
        <f>RIGHT(Before_Tbl[[#This Row],[Department_Region]],LEN(Before_Tbl[[#This Row],[Department_Region]])-FIND("-",Before_Tbl[[#This Row],[Department_Region]]))</f>
        <v>California</v>
      </c>
      <c r="V85" t="str">
        <f>TRIM(PROPER(Before_Tbl[[#This Row],[Status]]))</f>
        <v>Inactive</v>
      </c>
      <c r="W85" s="26">
        <v>44086</v>
      </c>
      <c r="X85" s="4">
        <v>92412.49</v>
      </c>
      <c r="Y85" t="str">
        <f>TRIM(LOWER(Before_Tbl[[#This Row],[Email]]))</f>
        <v>david.garcia@example.com</v>
      </c>
      <c r="Z85" s="2" t="str">
        <f>SUBSTITUTE(Before_Tbl[[#This Row],[Phone]],"-","")</f>
        <v>2296044326</v>
      </c>
      <c r="AA85" t="str">
        <f>TRIM(PROPER(Before_Tbl[[#This Row],[Performance_Score]]))</f>
        <v>Excellent</v>
      </c>
      <c r="AB85" s="2" t="str">
        <f>TRIM(UPPER(Before_Tbl[[#This Row],[Remote_Work]]))</f>
        <v>TRUE</v>
      </c>
    </row>
    <row r="86" spans="1:28" x14ac:dyDescent="0.35">
      <c r="A86" t="s">
        <v>244</v>
      </c>
      <c r="B86" t="s">
        <v>13</v>
      </c>
      <c r="C86" t="s">
        <v>14</v>
      </c>
      <c r="D86">
        <v>30</v>
      </c>
      <c r="E86" t="s">
        <v>139</v>
      </c>
      <c r="F86" t="s">
        <v>28</v>
      </c>
      <c r="G86" t="s">
        <v>245</v>
      </c>
      <c r="H86">
        <v>115022.1</v>
      </c>
      <c r="I86" t="s">
        <v>17</v>
      </c>
      <c r="J86">
        <v>-185106793</v>
      </c>
      <c r="K86" t="s">
        <v>30</v>
      </c>
      <c r="L86" t="b">
        <v>0</v>
      </c>
      <c r="P86" t="str">
        <f>TRIM(Before_Tbl[[#This Row],[Employee_ID]])</f>
        <v>EMP1084</v>
      </c>
      <c r="Q86" t="str">
        <f>TRIM(PROPER(Before_Tbl[[#This Row],[First_Name]]))</f>
        <v>Bob</v>
      </c>
      <c r="R86" t="str">
        <f>TRIM(PROPER(Before_Tbl[[#This Row],[Last_Name]]))</f>
        <v>Davis</v>
      </c>
      <c r="S86" s="25">
        <f t="shared" si="1"/>
        <v>30</v>
      </c>
      <c r="T86" t="str">
        <f>LEFT(Before_Tbl[[#This Row],[Department_Region]],FIND("-",Before_Tbl[[#This Row],[Department_Region]])-1)</f>
        <v>HR</v>
      </c>
      <c r="U86" t="str">
        <f>RIGHT(Before_Tbl[[#This Row],[Department_Region]],LEN(Before_Tbl[[#This Row],[Department_Region]])-FIND("-",Before_Tbl[[#This Row],[Department_Region]]))</f>
        <v>Texas</v>
      </c>
      <c r="V86" t="str">
        <f>TRIM(PROPER(Before_Tbl[[#This Row],[Status]]))</f>
        <v>Pending</v>
      </c>
      <c r="W86" s="26">
        <v>43883</v>
      </c>
      <c r="X86" s="4">
        <v>115022.1</v>
      </c>
      <c r="Y86" t="str">
        <f>TRIM(LOWER(Before_Tbl[[#This Row],[Email]]))</f>
        <v>bob.davis@example.com</v>
      </c>
      <c r="Z86" s="2" t="str">
        <f>SUBSTITUTE(Before_Tbl[[#This Row],[Phone]],"-","")</f>
        <v>185106793</v>
      </c>
      <c r="AA86" t="str">
        <f>TRIM(PROPER(Before_Tbl[[#This Row],[Performance_Score]]))</f>
        <v>Good</v>
      </c>
      <c r="AB86" s="2" t="str">
        <f>TRIM(UPPER(Before_Tbl[[#This Row],[Remote_Work]]))</f>
        <v>FALSE</v>
      </c>
    </row>
    <row r="87" spans="1:28" x14ac:dyDescent="0.35">
      <c r="A87" t="s">
        <v>246</v>
      </c>
      <c r="B87" t="s">
        <v>69</v>
      </c>
      <c r="C87" t="s">
        <v>38</v>
      </c>
      <c r="D87">
        <v>40</v>
      </c>
      <c r="E87" t="s">
        <v>56</v>
      </c>
      <c r="F87" t="s">
        <v>16</v>
      </c>
      <c r="G87" t="s">
        <v>247</v>
      </c>
      <c r="H87">
        <v>98343.01</v>
      </c>
      <c r="I87" t="s">
        <v>71</v>
      </c>
      <c r="J87">
        <v>-9756792286</v>
      </c>
      <c r="K87" t="s">
        <v>41</v>
      </c>
      <c r="L87" t="b">
        <v>0</v>
      </c>
      <c r="P87" t="str">
        <f>TRIM(Before_Tbl[[#This Row],[Employee_ID]])</f>
        <v>EMP1085</v>
      </c>
      <c r="Q87" t="str">
        <f>TRIM(PROPER(Before_Tbl[[#This Row],[First_Name]]))</f>
        <v>Grace</v>
      </c>
      <c r="R87" t="str">
        <f>TRIM(PROPER(Before_Tbl[[#This Row],[Last_Name]]))</f>
        <v>Williams</v>
      </c>
      <c r="S87" s="25">
        <f t="shared" si="1"/>
        <v>40</v>
      </c>
      <c r="T87" t="str">
        <f>LEFT(Before_Tbl[[#This Row],[Department_Region]],FIND("-",Before_Tbl[[#This Row],[Department_Region]])-1)</f>
        <v>DevOps</v>
      </c>
      <c r="U87" t="str">
        <f>RIGHT(Before_Tbl[[#This Row],[Department_Region]],LEN(Before_Tbl[[#This Row],[Department_Region]])-FIND("-",Before_Tbl[[#This Row],[Department_Region]]))</f>
        <v>New York</v>
      </c>
      <c r="V87" t="str">
        <f>TRIM(PROPER(Before_Tbl[[#This Row],[Status]]))</f>
        <v>Active</v>
      </c>
      <c r="W87" s="26">
        <v>45043</v>
      </c>
      <c r="X87" s="4">
        <v>98343.01</v>
      </c>
      <c r="Y87" t="str">
        <f>TRIM(LOWER(Before_Tbl[[#This Row],[Email]]))</f>
        <v>grace.williams@example.com</v>
      </c>
      <c r="Z87" s="2" t="str">
        <f>SUBSTITUTE(Before_Tbl[[#This Row],[Phone]],"-","")</f>
        <v>9756792286</v>
      </c>
      <c r="AA87" t="str">
        <f>TRIM(PROPER(Before_Tbl[[#This Row],[Performance_Score]]))</f>
        <v>Poor</v>
      </c>
      <c r="AB87" s="2" t="str">
        <f>TRIM(UPPER(Before_Tbl[[#This Row],[Remote_Work]]))</f>
        <v>FALSE</v>
      </c>
    </row>
    <row r="88" spans="1:28" x14ac:dyDescent="0.35">
      <c r="A88" t="s">
        <v>248</v>
      </c>
      <c r="B88" t="s">
        <v>13</v>
      </c>
      <c r="C88" t="s">
        <v>92</v>
      </c>
      <c r="D88">
        <v>35</v>
      </c>
      <c r="E88" t="s">
        <v>78</v>
      </c>
      <c r="F88" t="s">
        <v>16</v>
      </c>
      <c r="G88" t="s">
        <v>249</v>
      </c>
      <c r="H88">
        <v>118869.1</v>
      </c>
      <c r="I88" t="s">
        <v>93</v>
      </c>
      <c r="J88">
        <v>-7725199662</v>
      </c>
      <c r="K88" t="s">
        <v>23</v>
      </c>
      <c r="L88" t="b">
        <v>1</v>
      </c>
      <c r="P88" t="str">
        <f>TRIM(Before_Tbl[[#This Row],[Employee_ID]])</f>
        <v>EMP1086</v>
      </c>
      <c r="Q88" t="str">
        <f>TRIM(PROPER(Before_Tbl[[#This Row],[First_Name]]))</f>
        <v>Bob</v>
      </c>
      <c r="R88" t="str">
        <f>TRIM(PROPER(Before_Tbl[[#This Row],[Last_Name]]))</f>
        <v>Miller</v>
      </c>
      <c r="S88" s="25">
        <f t="shared" si="1"/>
        <v>35</v>
      </c>
      <c r="T88" t="str">
        <f>LEFT(Before_Tbl[[#This Row],[Department_Region]],FIND("-",Before_Tbl[[#This Row],[Department_Region]])-1)</f>
        <v>DevOps</v>
      </c>
      <c r="U88" t="str">
        <f>RIGHT(Before_Tbl[[#This Row],[Department_Region]],LEN(Before_Tbl[[#This Row],[Department_Region]])-FIND("-",Before_Tbl[[#This Row],[Department_Region]]))</f>
        <v>Illinois</v>
      </c>
      <c r="V88" t="str">
        <f>TRIM(PROPER(Before_Tbl[[#This Row],[Status]]))</f>
        <v>Active</v>
      </c>
      <c r="W88" s="26">
        <v>45461</v>
      </c>
      <c r="X88" s="4">
        <v>118869.1</v>
      </c>
      <c r="Y88" t="str">
        <f>TRIM(LOWER(Before_Tbl[[#This Row],[Email]]))</f>
        <v>bob.miller@example.com</v>
      </c>
      <c r="Z88" s="2" t="str">
        <f>SUBSTITUTE(Before_Tbl[[#This Row],[Phone]],"-","")</f>
        <v>7725199662</v>
      </c>
      <c r="AA88" t="str">
        <f>TRIM(PROPER(Before_Tbl[[#This Row],[Performance_Score]]))</f>
        <v>Excellent</v>
      </c>
      <c r="AB88" s="2" t="str">
        <f>TRIM(UPPER(Before_Tbl[[#This Row],[Remote_Work]]))</f>
        <v>TRUE</v>
      </c>
    </row>
    <row r="89" spans="1:28" x14ac:dyDescent="0.35">
      <c r="A89" t="s">
        <v>250</v>
      </c>
      <c r="B89" t="s">
        <v>37</v>
      </c>
      <c r="C89" t="s">
        <v>122</v>
      </c>
      <c r="E89" t="s">
        <v>100</v>
      </c>
      <c r="F89" t="s">
        <v>33</v>
      </c>
      <c r="G89" t="s">
        <v>251</v>
      </c>
      <c r="H89">
        <v>85417.26</v>
      </c>
      <c r="I89" t="s">
        <v>137</v>
      </c>
      <c r="J89">
        <v>-6580741208</v>
      </c>
      <c r="K89" t="s">
        <v>30</v>
      </c>
      <c r="L89" t="b">
        <v>1</v>
      </c>
      <c r="P89" t="str">
        <f>TRIM(Before_Tbl[[#This Row],[Employee_ID]])</f>
        <v>EMP1087</v>
      </c>
      <c r="Q89" t="str">
        <f>TRIM(PROPER(Before_Tbl[[#This Row],[First_Name]]))</f>
        <v>Frank</v>
      </c>
      <c r="R89" t="str">
        <f>TRIM(PROPER(Before_Tbl[[#This Row],[Last_Name]]))</f>
        <v>Smith</v>
      </c>
      <c r="S89" s="25">
        <f t="shared" si="1"/>
        <v>30</v>
      </c>
      <c r="T89" t="str">
        <f>LEFT(Before_Tbl[[#This Row],[Department_Region]],FIND("-",Before_Tbl[[#This Row],[Department_Region]])-1)</f>
        <v>Finance</v>
      </c>
      <c r="U89" t="str">
        <f>RIGHT(Before_Tbl[[#This Row],[Department_Region]],LEN(Before_Tbl[[#This Row],[Department_Region]])-FIND("-",Before_Tbl[[#This Row],[Department_Region]]))</f>
        <v>Nevada</v>
      </c>
      <c r="V89" t="str">
        <f>TRIM(PROPER(Before_Tbl[[#This Row],[Status]]))</f>
        <v>Inactive</v>
      </c>
      <c r="W89" s="26">
        <v>43972</v>
      </c>
      <c r="X89" s="4">
        <v>85417.26</v>
      </c>
      <c r="Y89" t="str">
        <f>TRIM(LOWER(Before_Tbl[[#This Row],[Email]]))</f>
        <v>frank.smith@example.com</v>
      </c>
      <c r="Z89" s="2" t="str">
        <f>SUBSTITUTE(Before_Tbl[[#This Row],[Phone]],"-","")</f>
        <v>6580741208</v>
      </c>
      <c r="AA89" t="str">
        <f>TRIM(PROPER(Before_Tbl[[#This Row],[Performance_Score]]))</f>
        <v>Good</v>
      </c>
      <c r="AB89" s="2" t="str">
        <f>TRIM(UPPER(Before_Tbl[[#This Row],[Remote_Work]]))</f>
        <v>TRUE</v>
      </c>
    </row>
    <row r="90" spans="1:28" x14ac:dyDescent="0.35">
      <c r="A90" t="s">
        <v>252</v>
      </c>
      <c r="B90" t="s">
        <v>69</v>
      </c>
      <c r="C90" t="s">
        <v>20</v>
      </c>
      <c r="D90">
        <v>40</v>
      </c>
      <c r="E90" t="s">
        <v>39</v>
      </c>
      <c r="F90" t="s">
        <v>33</v>
      </c>
      <c r="G90" t="s">
        <v>253</v>
      </c>
      <c r="H90">
        <v>112410.25</v>
      </c>
      <c r="I90" t="s">
        <v>201</v>
      </c>
      <c r="J90">
        <v>-4818139889</v>
      </c>
      <c r="K90" t="s">
        <v>30</v>
      </c>
      <c r="L90" t="b">
        <v>1</v>
      </c>
      <c r="P90" t="str">
        <f>TRIM(Before_Tbl[[#This Row],[Employee_ID]])</f>
        <v>EMP1088</v>
      </c>
      <c r="Q90" t="str">
        <f>TRIM(PROPER(Before_Tbl[[#This Row],[First_Name]]))</f>
        <v>Grace</v>
      </c>
      <c r="R90" t="str">
        <f>TRIM(PROPER(Before_Tbl[[#This Row],[Last_Name]]))</f>
        <v>Brown</v>
      </c>
      <c r="S90" s="25">
        <f t="shared" si="1"/>
        <v>40</v>
      </c>
      <c r="T90" t="str">
        <f>LEFT(Before_Tbl[[#This Row],[Department_Region]],FIND("-",Before_Tbl[[#This Row],[Department_Region]])-1)</f>
        <v>Cloud Tech</v>
      </c>
      <c r="U90" t="str">
        <f>RIGHT(Before_Tbl[[#This Row],[Department_Region]],LEN(Before_Tbl[[#This Row],[Department_Region]])-FIND("-",Before_Tbl[[#This Row],[Department_Region]]))</f>
        <v>Florida</v>
      </c>
      <c r="V90" t="str">
        <f>TRIM(PROPER(Before_Tbl[[#This Row],[Status]]))</f>
        <v>Inactive</v>
      </c>
      <c r="W90" s="26">
        <v>45132</v>
      </c>
      <c r="X90" s="4">
        <v>112410.25</v>
      </c>
      <c r="Y90" t="str">
        <f>TRIM(LOWER(Before_Tbl[[#This Row],[Email]]))</f>
        <v>grace.brown@example.com</v>
      </c>
      <c r="Z90" s="2" t="str">
        <f>SUBSTITUTE(Before_Tbl[[#This Row],[Phone]],"-","")</f>
        <v>4818139889</v>
      </c>
      <c r="AA90" t="str">
        <f>TRIM(PROPER(Before_Tbl[[#This Row],[Performance_Score]]))</f>
        <v>Good</v>
      </c>
      <c r="AB90" s="2" t="str">
        <f>TRIM(UPPER(Before_Tbl[[#This Row],[Remote_Work]]))</f>
        <v>TRUE</v>
      </c>
    </row>
    <row r="91" spans="1:28" x14ac:dyDescent="0.35">
      <c r="A91" t="s">
        <v>254</v>
      </c>
      <c r="B91" t="s">
        <v>54</v>
      </c>
      <c r="C91" t="s">
        <v>55</v>
      </c>
      <c r="D91">
        <v>40</v>
      </c>
      <c r="E91" t="s">
        <v>27</v>
      </c>
      <c r="F91" t="s">
        <v>28</v>
      </c>
      <c r="G91" t="s">
        <v>255</v>
      </c>
      <c r="H91">
        <v>68905.77</v>
      </c>
      <c r="I91" t="s">
        <v>57</v>
      </c>
      <c r="J91">
        <v>-9837801819</v>
      </c>
      <c r="K91" t="s">
        <v>18</v>
      </c>
      <c r="L91" t="b">
        <v>0</v>
      </c>
      <c r="P91" t="str">
        <f>TRIM(Before_Tbl[[#This Row],[Employee_ID]])</f>
        <v>EMP1089</v>
      </c>
      <c r="Q91" t="str">
        <f>TRIM(PROPER(Before_Tbl[[#This Row],[First_Name]]))</f>
        <v>Charlie</v>
      </c>
      <c r="R91" t="str">
        <f>TRIM(PROPER(Before_Tbl[[#This Row],[Last_Name]]))</f>
        <v>Johnson</v>
      </c>
      <c r="S91" s="25">
        <f t="shared" si="1"/>
        <v>40</v>
      </c>
      <c r="T91" t="str">
        <f>LEFT(Before_Tbl[[#This Row],[Department_Region]],FIND("-",Before_Tbl[[#This Row],[Department_Region]])-1)</f>
        <v>Admin</v>
      </c>
      <c r="U91" t="str">
        <f>RIGHT(Before_Tbl[[#This Row],[Department_Region]],LEN(Before_Tbl[[#This Row],[Department_Region]])-FIND("-",Before_Tbl[[#This Row],[Department_Region]]))</f>
        <v>Nevada</v>
      </c>
      <c r="V91" t="str">
        <f>TRIM(PROPER(Before_Tbl[[#This Row],[Status]]))</f>
        <v>Pending</v>
      </c>
      <c r="W91" s="26">
        <v>45163</v>
      </c>
      <c r="X91" s="4">
        <v>68905.77</v>
      </c>
      <c r="Y91" t="str">
        <f>TRIM(LOWER(Before_Tbl[[#This Row],[Email]]))</f>
        <v>charlie.johnson@example.com</v>
      </c>
      <c r="Z91" s="2" t="str">
        <f>SUBSTITUTE(Before_Tbl[[#This Row],[Phone]],"-","")</f>
        <v>9837801819</v>
      </c>
      <c r="AA91" t="str">
        <f>TRIM(PROPER(Before_Tbl[[#This Row],[Performance_Score]]))</f>
        <v>Average</v>
      </c>
      <c r="AB91" s="2" t="str">
        <f>TRIM(UPPER(Before_Tbl[[#This Row],[Remote_Work]]))</f>
        <v>FALSE</v>
      </c>
    </row>
    <row r="92" spans="1:28" x14ac:dyDescent="0.35">
      <c r="A92" t="s">
        <v>256</v>
      </c>
      <c r="B92" t="s">
        <v>65</v>
      </c>
      <c r="C92" t="s">
        <v>43</v>
      </c>
      <c r="D92">
        <v>40</v>
      </c>
      <c r="E92" t="s">
        <v>100</v>
      </c>
      <c r="F92" t="s">
        <v>28</v>
      </c>
      <c r="G92" s="1">
        <v>44262</v>
      </c>
      <c r="H92">
        <v>72561.320000000007</v>
      </c>
      <c r="I92" t="s">
        <v>257</v>
      </c>
      <c r="J92">
        <v>-4339718955</v>
      </c>
      <c r="K92" t="s">
        <v>23</v>
      </c>
      <c r="L92" t="b">
        <v>1</v>
      </c>
      <c r="P92" t="str">
        <f>TRIM(Before_Tbl[[#This Row],[Employee_ID]])</f>
        <v>EMP1090</v>
      </c>
      <c r="Q92" t="str">
        <f>TRIM(PROPER(Before_Tbl[[#This Row],[First_Name]]))</f>
        <v>Heidi</v>
      </c>
      <c r="R92" t="str">
        <f>TRIM(PROPER(Before_Tbl[[#This Row],[Last_Name]]))</f>
        <v>Garcia</v>
      </c>
      <c r="S92" s="25">
        <f t="shared" si="1"/>
        <v>40</v>
      </c>
      <c r="T92" t="str">
        <f>LEFT(Before_Tbl[[#This Row],[Department_Region]],FIND("-",Before_Tbl[[#This Row],[Department_Region]])-1)</f>
        <v>Finance</v>
      </c>
      <c r="U92" t="str">
        <f>RIGHT(Before_Tbl[[#This Row],[Department_Region]],LEN(Before_Tbl[[#This Row],[Department_Region]])-FIND("-",Before_Tbl[[#This Row],[Department_Region]]))</f>
        <v>Nevada</v>
      </c>
      <c r="V92" t="str">
        <f>TRIM(PROPER(Before_Tbl[[#This Row],[Status]]))</f>
        <v>Pending</v>
      </c>
      <c r="W92" s="26">
        <v>44262</v>
      </c>
      <c r="X92" s="4">
        <v>72561.320000000007</v>
      </c>
      <c r="Y92" t="str">
        <f>TRIM(LOWER(Before_Tbl[[#This Row],[Email]]))</f>
        <v>heidi.garcia@example.com</v>
      </c>
      <c r="Z92" s="2" t="str">
        <f>SUBSTITUTE(Before_Tbl[[#This Row],[Phone]],"-","")</f>
        <v>4339718955</v>
      </c>
      <c r="AA92" t="str">
        <f>TRIM(PROPER(Before_Tbl[[#This Row],[Performance_Score]]))</f>
        <v>Excellent</v>
      </c>
      <c r="AB92" s="2" t="str">
        <f>TRIM(UPPER(Before_Tbl[[#This Row],[Remote_Work]]))</f>
        <v>TRUE</v>
      </c>
    </row>
    <row r="93" spans="1:28" x14ac:dyDescent="0.35">
      <c r="A93" t="s">
        <v>258</v>
      </c>
      <c r="B93" t="s">
        <v>13</v>
      </c>
      <c r="C93" t="s">
        <v>20</v>
      </c>
      <c r="D93">
        <v>35</v>
      </c>
      <c r="E93" t="s">
        <v>227</v>
      </c>
      <c r="F93" t="s">
        <v>33</v>
      </c>
      <c r="G93" t="s">
        <v>259</v>
      </c>
      <c r="H93">
        <v>92723.22</v>
      </c>
      <c r="I93" t="s">
        <v>22</v>
      </c>
      <c r="J93">
        <v>-9070562607</v>
      </c>
      <c r="K93" t="s">
        <v>23</v>
      </c>
      <c r="L93" t="b">
        <v>1</v>
      </c>
      <c r="P93" t="str">
        <f>TRIM(Before_Tbl[[#This Row],[Employee_ID]])</f>
        <v>EMP1091</v>
      </c>
      <c r="Q93" t="str">
        <f>TRIM(PROPER(Before_Tbl[[#This Row],[First_Name]]))</f>
        <v>Bob</v>
      </c>
      <c r="R93" t="str">
        <f>TRIM(PROPER(Before_Tbl[[#This Row],[Last_Name]]))</f>
        <v>Brown</v>
      </c>
      <c r="S93" s="25">
        <f t="shared" si="1"/>
        <v>35</v>
      </c>
      <c r="T93" t="str">
        <f>LEFT(Before_Tbl[[#This Row],[Department_Region]],FIND("-",Before_Tbl[[#This Row],[Department_Region]])-1)</f>
        <v>Finance</v>
      </c>
      <c r="U93" t="str">
        <f>RIGHT(Before_Tbl[[#This Row],[Department_Region]],LEN(Before_Tbl[[#This Row],[Department_Region]])-FIND("-",Before_Tbl[[#This Row],[Department_Region]]))</f>
        <v>New York</v>
      </c>
      <c r="V93" t="str">
        <f>TRIM(PROPER(Before_Tbl[[#This Row],[Status]]))</f>
        <v>Inactive</v>
      </c>
      <c r="W93" s="26">
        <v>44998</v>
      </c>
      <c r="X93" s="4">
        <v>92723.22</v>
      </c>
      <c r="Y93" t="str">
        <f>TRIM(LOWER(Before_Tbl[[#This Row],[Email]]))</f>
        <v>bob.brown@example.com</v>
      </c>
      <c r="Z93" s="2" t="str">
        <f>SUBSTITUTE(Before_Tbl[[#This Row],[Phone]],"-","")</f>
        <v>9070562607</v>
      </c>
      <c r="AA93" t="str">
        <f>TRIM(PROPER(Before_Tbl[[#This Row],[Performance_Score]]))</f>
        <v>Excellent</v>
      </c>
      <c r="AB93" s="2" t="str">
        <f>TRIM(UPPER(Before_Tbl[[#This Row],[Remote_Work]]))</f>
        <v>TRUE</v>
      </c>
    </row>
    <row r="94" spans="1:28" x14ac:dyDescent="0.35">
      <c r="A94" t="s">
        <v>260</v>
      </c>
      <c r="B94" t="s">
        <v>25</v>
      </c>
      <c r="C94" t="s">
        <v>55</v>
      </c>
      <c r="D94">
        <v>40</v>
      </c>
      <c r="E94" t="s">
        <v>66</v>
      </c>
      <c r="F94" t="s">
        <v>33</v>
      </c>
      <c r="G94" s="1">
        <v>44472</v>
      </c>
      <c r="H94">
        <v>74837.75</v>
      </c>
      <c r="I94" t="s">
        <v>150</v>
      </c>
      <c r="J94">
        <v>-5641118241</v>
      </c>
      <c r="K94" t="s">
        <v>41</v>
      </c>
      <c r="L94" t="b">
        <v>0</v>
      </c>
      <c r="P94" t="str">
        <f>TRIM(Before_Tbl[[#This Row],[Employee_ID]])</f>
        <v>EMP1092</v>
      </c>
      <c r="Q94" t="str">
        <f>TRIM(PROPER(Before_Tbl[[#This Row],[First_Name]]))</f>
        <v>Alice</v>
      </c>
      <c r="R94" t="str">
        <f>TRIM(PROPER(Before_Tbl[[#This Row],[Last_Name]]))</f>
        <v>Johnson</v>
      </c>
      <c r="S94" s="25">
        <f t="shared" si="1"/>
        <v>40</v>
      </c>
      <c r="T94" t="str">
        <f>LEFT(Before_Tbl[[#This Row],[Department_Region]],FIND("-",Before_Tbl[[#This Row],[Department_Region]])-1)</f>
        <v>HR</v>
      </c>
      <c r="U94" t="str">
        <f>RIGHT(Before_Tbl[[#This Row],[Department_Region]],LEN(Before_Tbl[[#This Row],[Department_Region]])-FIND("-",Before_Tbl[[#This Row],[Department_Region]]))</f>
        <v>New York</v>
      </c>
      <c r="V94" t="str">
        <f>TRIM(PROPER(Before_Tbl[[#This Row],[Status]]))</f>
        <v>Inactive</v>
      </c>
      <c r="W94" s="26">
        <v>44472</v>
      </c>
      <c r="X94" s="4">
        <v>74837.75</v>
      </c>
      <c r="Y94" t="str">
        <f>TRIM(LOWER(Before_Tbl[[#This Row],[Email]]))</f>
        <v>alice.johnson@example.com</v>
      </c>
      <c r="Z94" s="2" t="str">
        <f>SUBSTITUTE(Before_Tbl[[#This Row],[Phone]],"-","")</f>
        <v>5641118241</v>
      </c>
      <c r="AA94" t="str">
        <f>TRIM(PROPER(Before_Tbl[[#This Row],[Performance_Score]]))</f>
        <v>Poor</v>
      </c>
      <c r="AB94" s="2" t="str">
        <f>TRIM(UPPER(Before_Tbl[[#This Row],[Remote_Work]]))</f>
        <v>FALSE</v>
      </c>
    </row>
    <row r="95" spans="1:28" x14ac:dyDescent="0.35">
      <c r="A95" t="s">
        <v>261</v>
      </c>
      <c r="B95" t="s">
        <v>32</v>
      </c>
      <c r="C95" t="s">
        <v>92</v>
      </c>
      <c r="E95" t="s">
        <v>15</v>
      </c>
      <c r="F95" t="s">
        <v>28</v>
      </c>
      <c r="G95" t="s">
        <v>262</v>
      </c>
      <c r="H95">
        <v>86163.91</v>
      </c>
      <c r="I95" t="s">
        <v>263</v>
      </c>
      <c r="J95">
        <v>-2412462094</v>
      </c>
      <c r="K95" t="s">
        <v>18</v>
      </c>
      <c r="L95" t="b">
        <v>1</v>
      </c>
      <c r="P95" t="str">
        <f>TRIM(Before_Tbl[[#This Row],[Employee_ID]])</f>
        <v>EMP1093</v>
      </c>
      <c r="Q95" t="str">
        <f>TRIM(PROPER(Before_Tbl[[#This Row],[First_Name]]))</f>
        <v>Eva</v>
      </c>
      <c r="R95" t="str">
        <f>TRIM(PROPER(Before_Tbl[[#This Row],[Last_Name]]))</f>
        <v>Miller</v>
      </c>
      <c r="S95" s="25">
        <f t="shared" si="1"/>
        <v>30</v>
      </c>
      <c r="T95" t="str">
        <f>LEFT(Before_Tbl[[#This Row],[Department_Region]],FIND("-",Before_Tbl[[#This Row],[Department_Region]])-1)</f>
        <v>DevOps</v>
      </c>
      <c r="U95" t="str">
        <f>RIGHT(Before_Tbl[[#This Row],[Department_Region]],LEN(Before_Tbl[[#This Row],[Department_Region]])-FIND("-",Before_Tbl[[#This Row],[Department_Region]]))</f>
        <v>California</v>
      </c>
      <c r="V95" t="str">
        <f>TRIM(PROPER(Before_Tbl[[#This Row],[Status]]))</f>
        <v>Pending</v>
      </c>
      <c r="W95" s="26">
        <v>43851</v>
      </c>
      <c r="X95" s="4">
        <v>86163.91</v>
      </c>
      <c r="Y95" t="str">
        <f>TRIM(LOWER(Before_Tbl[[#This Row],[Email]]))</f>
        <v>eva.miller@example.com</v>
      </c>
      <c r="Z95" s="2" t="str">
        <f>SUBSTITUTE(Before_Tbl[[#This Row],[Phone]],"-","")</f>
        <v>2412462094</v>
      </c>
      <c r="AA95" t="str">
        <f>TRIM(PROPER(Before_Tbl[[#This Row],[Performance_Score]]))</f>
        <v>Average</v>
      </c>
      <c r="AB95" s="2" t="str">
        <f>TRIM(UPPER(Before_Tbl[[#This Row],[Remote_Work]]))</f>
        <v>TRUE</v>
      </c>
    </row>
    <row r="96" spans="1:28" x14ac:dyDescent="0.35">
      <c r="A96" t="s">
        <v>264</v>
      </c>
      <c r="B96" t="s">
        <v>59</v>
      </c>
      <c r="C96" t="s">
        <v>92</v>
      </c>
      <c r="D96">
        <v>40</v>
      </c>
      <c r="E96" t="s">
        <v>265</v>
      </c>
      <c r="F96" t="s">
        <v>16</v>
      </c>
      <c r="G96" t="s">
        <v>266</v>
      </c>
      <c r="H96">
        <v>83326.52</v>
      </c>
      <c r="I96" t="s">
        <v>107</v>
      </c>
      <c r="J96">
        <v>-2004615264</v>
      </c>
      <c r="K96" t="s">
        <v>18</v>
      </c>
      <c r="L96" t="b">
        <v>1</v>
      </c>
      <c r="P96" t="str">
        <f>TRIM(Before_Tbl[[#This Row],[Employee_ID]])</f>
        <v>EMP1094</v>
      </c>
      <c r="Q96" t="str">
        <f>TRIM(PROPER(Before_Tbl[[#This Row],[First_Name]]))</f>
        <v>David</v>
      </c>
      <c r="R96" t="str">
        <f>TRIM(PROPER(Before_Tbl[[#This Row],[Last_Name]]))</f>
        <v>Miller</v>
      </c>
      <c r="S96" s="25">
        <f t="shared" si="1"/>
        <v>40</v>
      </c>
      <c r="T96" t="str">
        <f>LEFT(Before_Tbl[[#This Row],[Department_Region]],FIND("-",Before_Tbl[[#This Row],[Department_Region]])-1)</f>
        <v>Finance</v>
      </c>
      <c r="U96" t="str">
        <f>RIGHT(Before_Tbl[[#This Row],[Department_Region]],LEN(Before_Tbl[[#This Row],[Department_Region]])-FIND("-",Before_Tbl[[#This Row],[Department_Region]]))</f>
        <v>Illinois</v>
      </c>
      <c r="V96" t="str">
        <f>TRIM(PROPER(Before_Tbl[[#This Row],[Status]]))</f>
        <v>Active</v>
      </c>
      <c r="W96" s="26">
        <v>45245</v>
      </c>
      <c r="X96" s="4">
        <v>83326.52</v>
      </c>
      <c r="Y96" t="str">
        <f>TRIM(LOWER(Before_Tbl[[#This Row],[Email]]))</f>
        <v>david.miller@example.com</v>
      </c>
      <c r="Z96" s="2" t="str">
        <f>SUBSTITUTE(Before_Tbl[[#This Row],[Phone]],"-","")</f>
        <v>2004615264</v>
      </c>
      <c r="AA96" t="str">
        <f>TRIM(PROPER(Before_Tbl[[#This Row],[Performance_Score]]))</f>
        <v>Average</v>
      </c>
      <c r="AB96" s="2" t="str">
        <f>TRIM(UPPER(Before_Tbl[[#This Row],[Remote_Work]]))</f>
        <v>TRUE</v>
      </c>
    </row>
    <row r="97" spans="1:28" x14ac:dyDescent="0.35">
      <c r="A97" t="s">
        <v>267</v>
      </c>
      <c r="B97" t="s">
        <v>65</v>
      </c>
      <c r="C97" t="s">
        <v>92</v>
      </c>
      <c r="D97">
        <v>25</v>
      </c>
      <c r="E97" t="s">
        <v>268</v>
      </c>
      <c r="F97" t="s">
        <v>16</v>
      </c>
      <c r="G97" s="1">
        <v>44777</v>
      </c>
      <c r="H97">
        <v>98425.1</v>
      </c>
      <c r="I97" t="s">
        <v>130</v>
      </c>
      <c r="J97">
        <v>-4610339936</v>
      </c>
      <c r="K97" t="s">
        <v>18</v>
      </c>
      <c r="L97" t="b">
        <v>1</v>
      </c>
      <c r="P97" t="str">
        <f>TRIM(Before_Tbl[[#This Row],[Employee_ID]])</f>
        <v>EMP1095</v>
      </c>
      <c r="Q97" t="str">
        <f>TRIM(PROPER(Before_Tbl[[#This Row],[First_Name]]))</f>
        <v>Heidi</v>
      </c>
      <c r="R97" t="str">
        <f>TRIM(PROPER(Before_Tbl[[#This Row],[Last_Name]]))</f>
        <v>Miller</v>
      </c>
      <c r="S97" s="25">
        <f t="shared" si="1"/>
        <v>25</v>
      </c>
      <c r="T97" t="str">
        <f>LEFT(Before_Tbl[[#This Row],[Department_Region]],FIND("-",Before_Tbl[[#This Row],[Department_Region]])-1)</f>
        <v>Cloud Tech</v>
      </c>
      <c r="U97" t="str">
        <f>RIGHT(Before_Tbl[[#This Row],[Department_Region]],LEN(Before_Tbl[[#This Row],[Department_Region]])-FIND("-",Before_Tbl[[#This Row],[Department_Region]]))</f>
        <v>California</v>
      </c>
      <c r="V97" t="str">
        <f>TRIM(PROPER(Before_Tbl[[#This Row],[Status]]))</f>
        <v>Active</v>
      </c>
      <c r="W97" s="26">
        <v>44777</v>
      </c>
      <c r="X97" s="4">
        <v>98425.1</v>
      </c>
      <c r="Y97" t="str">
        <f>TRIM(LOWER(Before_Tbl[[#This Row],[Email]]))</f>
        <v>heidi.miller@example.com</v>
      </c>
      <c r="Z97" s="2" t="str">
        <f>SUBSTITUTE(Before_Tbl[[#This Row],[Phone]],"-","")</f>
        <v>4610339936</v>
      </c>
      <c r="AA97" t="str">
        <f>TRIM(PROPER(Before_Tbl[[#This Row],[Performance_Score]]))</f>
        <v>Average</v>
      </c>
      <c r="AB97" s="2" t="str">
        <f>TRIM(UPPER(Before_Tbl[[#This Row],[Remote_Work]]))</f>
        <v>TRUE</v>
      </c>
    </row>
    <row r="98" spans="1:28" x14ac:dyDescent="0.35">
      <c r="A98" t="s">
        <v>269</v>
      </c>
      <c r="B98" t="s">
        <v>37</v>
      </c>
      <c r="C98" t="s">
        <v>55</v>
      </c>
      <c r="D98">
        <v>40</v>
      </c>
      <c r="E98" t="s">
        <v>98</v>
      </c>
      <c r="F98" t="s">
        <v>33</v>
      </c>
      <c r="G98" t="s">
        <v>270</v>
      </c>
      <c r="H98">
        <v>119764.2</v>
      </c>
      <c r="I98" t="s">
        <v>271</v>
      </c>
      <c r="J98">
        <v>-8861405785</v>
      </c>
      <c r="K98" t="s">
        <v>18</v>
      </c>
      <c r="L98" t="b">
        <v>0</v>
      </c>
      <c r="P98" t="str">
        <f>TRIM(Before_Tbl[[#This Row],[Employee_ID]])</f>
        <v>EMP1096</v>
      </c>
      <c r="Q98" t="str">
        <f>TRIM(PROPER(Before_Tbl[[#This Row],[First_Name]]))</f>
        <v>Frank</v>
      </c>
      <c r="R98" t="str">
        <f>TRIM(PROPER(Before_Tbl[[#This Row],[Last_Name]]))</f>
        <v>Johnson</v>
      </c>
      <c r="S98" s="25">
        <f t="shared" si="1"/>
        <v>40</v>
      </c>
      <c r="T98" t="str">
        <f>LEFT(Before_Tbl[[#This Row],[Department_Region]],FIND("-",Before_Tbl[[#This Row],[Department_Region]])-1)</f>
        <v>Sales</v>
      </c>
      <c r="U98" t="str">
        <f>RIGHT(Before_Tbl[[#This Row],[Department_Region]],LEN(Before_Tbl[[#This Row],[Department_Region]])-FIND("-",Before_Tbl[[#This Row],[Department_Region]]))</f>
        <v>Illinois</v>
      </c>
      <c r="V98" t="str">
        <f>TRIM(PROPER(Before_Tbl[[#This Row],[Status]]))</f>
        <v>Inactive</v>
      </c>
      <c r="W98" s="26">
        <v>44702</v>
      </c>
      <c r="X98" s="4">
        <v>119764.2</v>
      </c>
      <c r="Y98" t="str">
        <f>TRIM(LOWER(Before_Tbl[[#This Row],[Email]]))</f>
        <v>frank.johnson@example.com</v>
      </c>
      <c r="Z98" s="2" t="str">
        <f>SUBSTITUTE(Before_Tbl[[#This Row],[Phone]],"-","")</f>
        <v>8861405785</v>
      </c>
      <c r="AA98" t="str">
        <f>TRIM(PROPER(Before_Tbl[[#This Row],[Performance_Score]]))</f>
        <v>Average</v>
      </c>
      <c r="AB98" s="2" t="str">
        <f>TRIM(UPPER(Before_Tbl[[#This Row],[Remote_Work]]))</f>
        <v>FALSE</v>
      </c>
    </row>
    <row r="99" spans="1:28" x14ac:dyDescent="0.35">
      <c r="A99" t="s">
        <v>272</v>
      </c>
      <c r="B99" t="s">
        <v>37</v>
      </c>
      <c r="C99" t="s">
        <v>20</v>
      </c>
      <c r="D99">
        <v>40</v>
      </c>
      <c r="E99" t="s">
        <v>146</v>
      </c>
      <c r="F99" t="s">
        <v>33</v>
      </c>
      <c r="G99" t="s">
        <v>273</v>
      </c>
      <c r="H99">
        <v>58445.91</v>
      </c>
      <c r="I99" t="s">
        <v>239</v>
      </c>
      <c r="J99">
        <v>-1706304890</v>
      </c>
      <c r="K99" t="s">
        <v>23</v>
      </c>
      <c r="L99" t="b">
        <v>0</v>
      </c>
      <c r="P99" t="str">
        <f>TRIM(Before_Tbl[[#This Row],[Employee_ID]])</f>
        <v>EMP1097</v>
      </c>
      <c r="Q99" t="str">
        <f>TRIM(PROPER(Before_Tbl[[#This Row],[First_Name]]))</f>
        <v>Frank</v>
      </c>
      <c r="R99" t="str">
        <f>TRIM(PROPER(Before_Tbl[[#This Row],[Last_Name]]))</f>
        <v>Brown</v>
      </c>
      <c r="S99" s="25">
        <f t="shared" si="1"/>
        <v>40</v>
      </c>
      <c r="T99" t="str">
        <f>LEFT(Before_Tbl[[#This Row],[Department_Region]],FIND("-",Before_Tbl[[#This Row],[Department_Region]])-1)</f>
        <v>HR</v>
      </c>
      <c r="U99" t="str">
        <f>RIGHT(Before_Tbl[[#This Row],[Department_Region]],LEN(Before_Tbl[[#This Row],[Department_Region]])-FIND("-",Before_Tbl[[#This Row],[Department_Region]]))</f>
        <v>California</v>
      </c>
      <c r="V99" t="str">
        <f>TRIM(PROPER(Before_Tbl[[#This Row],[Status]]))</f>
        <v>Inactive</v>
      </c>
      <c r="W99" s="26">
        <v>44303</v>
      </c>
      <c r="X99" s="4">
        <v>58445.91</v>
      </c>
      <c r="Y99" t="str">
        <f>TRIM(LOWER(Before_Tbl[[#This Row],[Email]]))</f>
        <v>frank.brown@example.com</v>
      </c>
      <c r="Z99" s="2" t="str">
        <f>SUBSTITUTE(Before_Tbl[[#This Row],[Phone]],"-","")</f>
        <v>1706304890</v>
      </c>
      <c r="AA99" t="str">
        <f>TRIM(PROPER(Before_Tbl[[#This Row],[Performance_Score]]))</f>
        <v>Excellent</v>
      </c>
      <c r="AB99" s="2" t="str">
        <f>TRIM(UPPER(Before_Tbl[[#This Row],[Remote_Work]]))</f>
        <v>FALSE</v>
      </c>
    </row>
    <row r="100" spans="1:28" x14ac:dyDescent="0.35">
      <c r="A100" t="s">
        <v>274</v>
      </c>
      <c r="B100" t="s">
        <v>13</v>
      </c>
      <c r="C100" t="s">
        <v>92</v>
      </c>
      <c r="E100" t="s">
        <v>56</v>
      </c>
      <c r="F100" t="s">
        <v>16</v>
      </c>
      <c r="G100" t="s">
        <v>275</v>
      </c>
      <c r="H100">
        <v>101702.33</v>
      </c>
      <c r="I100" t="s">
        <v>93</v>
      </c>
      <c r="J100">
        <v>-3824967182</v>
      </c>
      <c r="K100" t="s">
        <v>23</v>
      </c>
      <c r="L100" t="b">
        <v>0</v>
      </c>
      <c r="P100" t="str">
        <f>TRIM(Before_Tbl[[#This Row],[Employee_ID]])</f>
        <v>EMP1098</v>
      </c>
      <c r="Q100" t="str">
        <f>TRIM(PROPER(Before_Tbl[[#This Row],[First_Name]]))</f>
        <v>Bob</v>
      </c>
      <c r="R100" t="str">
        <f>TRIM(PROPER(Before_Tbl[[#This Row],[Last_Name]]))</f>
        <v>Miller</v>
      </c>
      <c r="S100" s="25">
        <f t="shared" si="1"/>
        <v>30</v>
      </c>
      <c r="T100" t="str">
        <f>LEFT(Before_Tbl[[#This Row],[Department_Region]],FIND("-",Before_Tbl[[#This Row],[Department_Region]])-1)</f>
        <v>DevOps</v>
      </c>
      <c r="U100" t="str">
        <f>RIGHT(Before_Tbl[[#This Row],[Department_Region]],LEN(Before_Tbl[[#This Row],[Department_Region]])-FIND("-",Before_Tbl[[#This Row],[Department_Region]]))</f>
        <v>New York</v>
      </c>
      <c r="V100" t="str">
        <f>TRIM(PROPER(Before_Tbl[[#This Row],[Status]]))</f>
        <v>Active</v>
      </c>
      <c r="W100" s="26">
        <v>44274</v>
      </c>
      <c r="X100" s="4">
        <v>101702.33</v>
      </c>
      <c r="Y100" t="str">
        <f>TRIM(LOWER(Before_Tbl[[#This Row],[Email]]))</f>
        <v>bob.miller@example.com</v>
      </c>
      <c r="Z100" s="2" t="str">
        <f>SUBSTITUTE(Before_Tbl[[#This Row],[Phone]],"-","")</f>
        <v>3824967182</v>
      </c>
      <c r="AA100" t="str">
        <f>TRIM(PROPER(Before_Tbl[[#This Row],[Performance_Score]]))</f>
        <v>Excellent</v>
      </c>
      <c r="AB100" s="2" t="str">
        <f>TRIM(UPPER(Before_Tbl[[#This Row],[Remote_Work]]))</f>
        <v>FALSE</v>
      </c>
    </row>
    <row r="101" spans="1:28" x14ac:dyDescent="0.35">
      <c r="A101" t="s">
        <v>276</v>
      </c>
      <c r="B101" t="s">
        <v>32</v>
      </c>
      <c r="C101" t="s">
        <v>26</v>
      </c>
      <c r="D101">
        <v>25</v>
      </c>
      <c r="E101" t="s">
        <v>118</v>
      </c>
      <c r="F101" t="s">
        <v>16</v>
      </c>
      <c r="G101" s="1">
        <v>44805</v>
      </c>
      <c r="H101" t="s">
        <v>277</v>
      </c>
      <c r="I101" t="s">
        <v>278</v>
      </c>
      <c r="J101">
        <v>-2582386869</v>
      </c>
      <c r="K101" t="s">
        <v>30</v>
      </c>
      <c r="L101" t="b">
        <v>0</v>
      </c>
      <c r="P101" t="str">
        <f>TRIM(Before_Tbl[[#This Row],[Employee_ID]])</f>
        <v>EMP1099</v>
      </c>
      <c r="Q101" t="str">
        <f>TRIM(PROPER(Before_Tbl[[#This Row],[First_Name]]))</f>
        <v>Eva</v>
      </c>
      <c r="R101" t="str">
        <f>TRIM(PROPER(Before_Tbl[[#This Row],[Last_Name]]))</f>
        <v>Jones</v>
      </c>
      <c r="S101" s="25">
        <f t="shared" si="1"/>
        <v>25</v>
      </c>
      <c r="T101" t="str">
        <f>LEFT(Before_Tbl[[#This Row],[Department_Region]],FIND("-",Before_Tbl[[#This Row],[Department_Region]])-1)</f>
        <v>Admin</v>
      </c>
      <c r="U101" t="str">
        <f>RIGHT(Before_Tbl[[#This Row],[Department_Region]],LEN(Before_Tbl[[#This Row],[Department_Region]])-FIND("-",Before_Tbl[[#This Row],[Department_Region]]))</f>
        <v>California</v>
      </c>
      <c r="V101" t="str">
        <f>TRIM(PROPER(Before_Tbl[[#This Row],[Status]]))</f>
        <v>Active</v>
      </c>
      <c r="W101" s="26">
        <v>44805</v>
      </c>
      <c r="X101" s="4"/>
      <c r="Y101" t="str">
        <f>TRIM(LOWER(Before_Tbl[[#This Row],[Email]]))</f>
        <v>eva.jones@example.com</v>
      </c>
      <c r="Z101" s="2" t="str">
        <f>SUBSTITUTE(Before_Tbl[[#This Row],[Phone]],"-","")</f>
        <v>2582386869</v>
      </c>
      <c r="AA101" t="str">
        <f>TRIM(PROPER(Before_Tbl[[#This Row],[Performance_Score]]))</f>
        <v>Good</v>
      </c>
      <c r="AB101" s="2" t="str">
        <f>TRIM(UPPER(Before_Tbl[[#This Row],[Remote_Work]]))</f>
        <v>FALSE</v>
      </c>
    </row>
    <row r="102" spans="1:28" x14ac:dyDescent="0.35">
      <c r="A102" t="s">
        <v>279</v>
      </c>
      <c r="B102" t="s">
        <v>54</v>
      </c>
      <c r="C102" t="s">
        <v>14</v>
      </c>
      <c r="D102">
        <v>35</v>
      </c>
      <c r="E102" t="s">
        <v>159</v>
      </c>
      <c r="F102" t="s">
        <v>28</v>
      </c>
      <c r="G102" t="s">
        <v>280</v>
      </c>
      <c r="H102">
        <v>98819.22</v>
      </c>
      <c r="I102" t="s">
        <v>170</v>
      </c>
      <c r="J102">
        <v>-794200748</v>
      </c>
      <c r="K102" t="s">
        <v>30</v>
      </c>
      <c r="L102" t="b">
        <v>0</v>
      </c>
      <c r="P102" t="str">
        <f>TRIM(Before_Tbl[[#This Row],[Employee_ID]])</f>
        <v>EMP1100</v>
      </c>
      <c r="Q102" t="str">
        <f>TRIM(PROPER(Before_Tbl[[#This Row],[First_Name]]))</f>
        <v>Charlie</v>
      </c>
      <c r="R102" t="str">
        <f>TRIM(PROPER(Before_Tbl[[#This Row],[Last_Name]]))</f>
        <v>Davis</v>
      </c>
      <c r="S102" s="25">
        <f t="shared" si="1"/>
        <v>35</v>
      </c>
      <c r="T102" t="str">
        <f>LEFT(Before_Tbl[[#This Row],[Department_Region]],FIND("-",Before_Tbl[[#This Row],[Department_Region]])-1)</f>
        <v>Cloud Tech</v>
      </c>
      <c r="U102" t="str">
        <f>RIGHT(Before_Tbl[[#This Row],[Department_Region]],LEN(Before_Tbl[[#This Row],[Department_Region]])-FIND("-",Before_Tbl[[#This Row],[Department_Region]]))</f>
        <v>Texas</v>
      </c>
      <c r="V102" t="str">
        <f>TRIM(PROPER(Before_Tbl[[#This Row],[Status]]))</f>
        <v>Pending</v>
      </c>
      <c r="W102" s="26">
        <v>44429</v>
      </c>
      <c r="X102" s="4">
        <v>98819.22</v>
      </c>
      <c r="Y102" t="str">
        <f>TRIM(LOWER(Before_Tbl[[#This Row],[Email]]))</f>
        <v>charlie.davis@example.com</v>
      </c>
      <c r="Z102" s="2" t="str">
        <f>SUBSTITUTE(Before_Tbl[[#This Row],[Phone]],"-","")</f>
        <v>794200748</v>
      </c>
      <c r="AA102" t="str">
        <f>TRIM(PROPER(Before_Tbl[[#This Row],[Performance_Score]]))</f>
        <v>Good</v>
      </c>
      <c r="AB102" s="2" t="str">
        <f>TRIM(UPPER(Before_Tbl[[#This Row],[Remote_Work]]))</f>
        <v>FALSE</v>
      </c>
    </row>
    <row r="103" spans="1:28" x14ac:dyDescent="0.35">
      <c r="A103" t="s">
        <v>281</v>
      </c>
      <c r="B103" t="s">
        <v>65</v>
      </c>
      <c r="C103" t="s">
        <v>55</v>
      </c>
      <c r="D103">
        <v>25</v>
      </c>
      <c r="E103" t="s">
        <v>95</v>
      </c>
      <c r="F103" t="s">
        <v>33</v>
      </c>
      <c r="G103" t="s">
        <v>282</v>
      </c>
      <c r="H103">
        <v>83509.990000000005</v>
      </c>
      <c r="I103" t="s">
        <v>113</v>
      </c>
      <c r="J103">
        <v>-4653984027</v>
      </c>
      <c r="K103" t="s">
        <v>18</v>
      </c>
      <c r="L103" t="b">
        <v>0</v>
      </c>
      <c r="P103" t="str">
        <f>TRIM(Before_Tbl[[#This Row],[Employee_ID]])</f>
        <v>EMP1101</v>
      </c>
      <c r="Q103" t="str">
        <f>TRIM(PROPER(Before_Tbl[[#This Row],[First_Name]]))</f>
        <v>Heidi</v>
      </c>
      <c r="R103" t="str">
        <f>TRIM(PROPER(Before_Tbl[[#This Row],[Last_Name]]))</f>
        <v>Johnson</v>
      </c>
      <c r="S103" s="25">
        <f t="shared" si="1"/>
        <v>25</v>
      </c>
      <c r="T103" t="str">
        <f>LEFT(Before_Tbl[[#This Row],[Department_Region]],FIND("-",Before_Tbl[[#This Row],[Department_Region]])-1)</f>
        <v>Cloud Tech</v>
      </c>
      <c r="U103" t="str">
        <f>RIGHT(Before_Tbl[[#This Row],[Department_Region]],LEN(Before_Tbl[[#This Row],[Department_Region]])-FIND("-",Before_Tbl[[#This Row],[Department_Region]]))</f>
        <v>Illinois</v>
      </c>
      <c r="V103" t="str">
        <f>TRIM(PROPER(Before_Tbl[[#This Row],[Status]]))</f>
        <v>Inactive</v>
      </c>
      <c r="W103" s="26">
        <v>44792</v>
      </c>
      <c r="X103" s="4">
        <v>83509.990000000005</v>
      </c>
      <c r="Y103" t="str">
        <f>TRIM(LOWER(Before_Tbl[[#This Row],[Email]]))</f>
        <v>heidi.johnson@example.com</v>
      </c>
      <c r="Z103" s="2" t="str">
        <f>SUBSTITUTE(Before_Tbl[[#This Row],[Phone]],"-","")</f>
        <v>4653984027</v>
      </c>
      <c r="AA103" t="str">
        <f>TRIM(PROPER(Before_Tbl[[#This Row],[Performance_Score]]))</f>
        <v>Average</v>
      </c>
      <c r="AB103" s="2" t="str">
        <f>TRIM(UPPER(Before_Tbl[[#This Row],[Remote_Work]]))</f>
        <v>FALSE</v>
      </c>
    </row>
    <row r="104" spans="1:28" x14ac:dyDescent="0.35">
      <c r="A104" t="s">
        <v>283</v>
      </c>
      <c r="B104" t="s">
        <v>25</v>
      </c>
      <c r="C104" t="s">
        <v>55</v>
      </c>
      <c r="D104">
        <v>35</v>
      </c>
      <c r="E104" t="s">
        <v>21</v>
      </c>
      <c r="F104" t="s">
        <v>16</v>
      </c>
      <c r="G104" t="s">
        <v>284</v>
      </c>
      <c r="H104">
        <v>84422.26</v>
      </c>
      <c r="I104" t="s">
        <v>150</v>
      </c>
      <c r="J104">
        <v>-9141612845</v>
      </c>
      <c r="K104" t="s">
        <v>18</v>
      </c>
      <c r="L104" t="b">
        <v>0</v>
      </c>
      <c r="P104" t="str">
        <f>TRIM(Before_Tbl[[#This Row],[Employee_ID]])</f>
        <v>EMP1102</v>
      </c>
      <c r="Q104" t="str">
        <f>TRIM(PROPER(Before_Tbl[[#This Row],[First_Name]]))</f>
        <v>Alice</v>
      </c>
      <c r="R104" t="str">
        <f>TRIM(PROPER(Before_Tbl[[#This Row],[Last_Name]]))</f>
        <v>Johnson</v>
      </c>
      <c r="S104" s="25">
        <f t="shared" si="1"/>
        <v>35</v>
      </c>
      <c r="T104" t="str">
        <f>LEFT(Before_Tbl[[#This Row],[Department_Region]],FIND("-",Before_Tbl[[#This Row],[Department_Region]])-1)</f>
        <v>Finance</v>
      </c>
      <c r="U104" t="str">
        <f>RIGHT(Before_Tbl[[#This Row],[Department_Region]],LEN(Before_Tbl[[#This Row],[Department_Region]])-FIND("-",Before_Tbl[[#This Row],[Department_Region]]))</f>
        <v>Texas</v>
      </c>
      <c r="V104" t="str">
        <f>TRIM(PROPER(Before_Tbl[[#This Row],[Status]]))</f>
        <v>Active</v>
      </c>
      <c r="W104" s="26">
        <v>44651</v>
      </c>
      <c r="X104" s="4">
        <v>84422.26</v>
      </c>
      <c r="Y104" t="str">
        <f>TRIM(LOWER(Before_Tbl[[#This Row],[Email]]))</f>
        <v>alice.johnson@example.com</v>
      </c>
      <c r="Z104" s="2" t="str">
        <f>SUBSTITUTE(Before_Tbl[[#This Row],[Phone]],"-","")</f>
        <v>9141612845</v>
      </c>
      <c r="AA104" t="str">
        <f>TRIM(PROPER(Before_Tbl[[#This Row],[Performance_Score]]))</f>
        <v>Average</v>
      </c>
      <c r="AB104" s="2" t="str">
        <f>TRIM(UPPER(Before_Tbl[[#This Row],[Remote_Work]]))</f>
        <v>FALSE</v>
      </c>
    </row>
    <row r="105" spans="1:28" x14ac:dyDescent="0.35">
      <c r="A105" t="s">
        <v>285</v>
      </c>
      <c r="B105" t="s">
        <v>25</v>
      </c>
      <c r="C105" t="s">
        <v>20</v>
      </c>
      <c r="D105">
        <v>30</v>
      </c>
      <c r="E105" t="s">
        <v>89</v>
      </c>
      <c r="F105" t="s">
        <v>33</v>
      </c>
      <c r="G105" t="s">
        <v>286</v>
      </c>
      <c r="H105">
        <v>119574.27</v>
      </c>
      <c r="I105" t="s">
        <v>80</v>
      </c>
      <c r="J105">
        <v>-3985547434</v>
      </c>
      <c r="K105" t="s">
        <v>18</v>
      </c>
      <c r="L105" t="b">
        <v>1</v>
      </c>
      <c r="P105" t="str">
        <f>TRIM(Before_Tbl[[#This Row],[Employee_ID]])</f>
        <v>EMP1103</v>
      </c>
      <c r="Q105" t="str">
        <f>TRIM(PROPER(Before_Tbl[[#This Row],[First_Name]]))</f>
        <v>Alice</v>
      </c>
      <c r="R105" t="str">
        <f>TRIM(PROPER(Before_Tbl[[#This Row],[Last_Name]]))</f>
        <v>Brown</v>
      </c>
      <c r="S105" s="25">
        <f t="shared" si="1"/>
        <v>30</v>
      </c>
      <c r="T105" t="str">
        <f>LEFT(Before_Tbl[[#This Row],[Department_Region]],FIND("-",Before_Tbl[[#This Row],[Department_Region]])-1)</f>
        <v>Admin</v>
      </c>
      <c r="U105" t="str">
        <f>RIGHT(Before_Tbl[[#This Row],[Department_Region]],LEN(Before_Tbl[[#This Row],[Department_Region]])-FIND("-",Before_Tbl[[#This Row],[Department_Region]]))</f>
        <v>Illinois</v>
      </c>
      <c r="V105" t="str">
        <f>TRIM(PROPER(Before_Tbl[[#This Row],[Status]]))</f>
        <v>Inactive</v>
      </c>
      <c r="W105" s="26">
        <v>44005</v>
      </c>
      <c r="X105" s="4">
        <v>119574.27</v>
      </c>
      <c r="Y105" t="str">
        <f>TRIM(LOWER(Before_Tbl[[#This Row],[Email]]))</f>
        <v>alice.brown@example.com</v>
      </c>
      <c r="Z105" s="2" t="str">
        <f>SUBSTITUTE(Before_Tbl[[#This Row],[Phone]],"-","")</f>
        <v>3985547434</v>
      </c>
      <c r="AA105" t="str">
        <f>TRIM(PROPER(Before_Tbl[[#This Row],[Performance_Score]]))</f>
        <v>Average</v>
      </c>
      <c r="AB105" s="2" t="str">
        <f>TRIM(UPPER(Before_Tbl[[#This Row],[Remote_Work]]))</f>
        <v>TRUE</v>
      </c>
    </row>
    <row r="106" spans="1:28" x14ac:dyDescent="0.35">
      <c r="A106" t="s">
        <v>287</v>
      </c>
      <c r="B106" t="s">
        <v>69</v>
      </c>
      <c r="C106" t="s">
        <v>55</v>
      </c>
      <c r="E106" t="s">
        <v>98</v>
      </c>
      <c r="F106" t="s">
        <v>16</v>
      </c>
      <c r="G106" s="1">
        <v>45478</v>
      </c>
      <c r="H106">
        <v>86580.08</v>
      </c>
      <c r="I106" t="s">
        <v>127</v>
      </c>
      <c r="J106">
        <v>-5379502096</v>
      </c>
      <c r="K106" t="s">
        <v>30</v>
      </c>
      <c r="L106" t="b">
        <v>1</v>
      </c>
      <c r="P106" t="str">
        <f>TRIM(Before_Tbl[[#This Row],[Employee_ID]])</f>
        <v>EMP1104</v>
      </c>
      <c r="Q106" t="str">
        <f>TRIM(PROPER(Before_Tbl[[#This Row],[First_Name]]))</f>
        <v>Grace</v>
      </c>
      <c r="R106" t="str">
        <f>TRIM(PROPER(Before_Tbl[[#This Row],[Last_Name]]))</f>
        <v>Johnson</v>
      </c>
      <c r="S106" s="25">
        <f t="shared" si="1"/>
        <v>30</v>
      </c>
      <c r="T106" t="str">
        <f>LEFT(Before_Tbl[[#This Row],[Department_Region]],FIND("-",Before_Tbl[[#This Row],[Department_Region]])-1)</f>
        <v>Sales</v>
      </c>
      <c r="U106" t="str">
        <f>RIGHT(Before_Tbl[[#This Row],[Department_Region]],LEN(Before_Tbl[[#This Row],[Department_Region]])-FIND("-",Before_Tbl[[#This Row],[Department_Region]]))</f>
        <v>Illinois</v>
      </c>
      <c r="V106" t="str">
        <f>TRIM(PROPER(Before_Tbl[[#This Row],[Status]]))</f>
        <v>Active</v>
      </c>
      <c r="W106" s="26">
        <v>45478</v>
      </c>
      <c r="X106" s="4">
        <v>86580.08</v>
      </c>
      <c r="Y106" t="str">
        <f>TRIM(LOWER(Before_Tbl[[#This Row],[Email]]))</f>
        <v>grace.johnson@example.com</v>
      </c>
      <c r="Z106" s="2" t="str">
        <f>SUBSTITUTE(Before_Tbl[[#This Row],[Phone]],"-","")</f>
        <v>5379502096</v>
      </c>
      <c r="AA106" t="str">
        <f>TRIM(PROPER(Before_Tbl[[#This Row],[Performance_Score]]))</f>
        <v>Good</v>
      </c>
      <c r="AB106" s="2" t="str">
        <f>TRIM(UPPER(Before_Tbl[[#This Row],[Remote_Work]]))</f>
        <v>TRUE</v>
      </c>
    </row>
    <row r="107" spans="1:28" x14ac:dyDescent="0.35">
      <c r="A107" t="s">
        <v>288</v>
      </c>
      <c r="B107" t="s">
        <v>65</v>
      </c>
      <c r="C107" t="s">
        <v>55</v>
      </c>
      <c r="D107">
        <v>35</v>
      </c>
      <c r="E107" t="s">
        <v>74</v>
      </c>
      <c r="F107" t="s">
        <v>33</v>
      </c>
      <c r="G107" s="1">
        <v>45202</v>
      </c>
      <c r="H107">
        <v>93471.91</v>
      </c>
      <c r="I107" t="s">
        <v>113</v>
      </c>
      <c r="J107">
        <v>-26876810</v>
      </c>
      <c r="K107" t="s">
        <v>41</v>
      </c>
      <c r="L107" t="b">
        <v>0</v>
      </c>
      <c r="P107" t="str">
        <f>TRIM(Before_Tbl[[#This Row],[Employee_ID]])</f>
        <v>EMP1105</v>
      </c>
      <c r="Q107" t="str">
        <f>TRIM(PROPER(Before_Tbl[[#This Row],[First_Name]]))</f>
        <v>Heidi</v>
      </c>
      <c r="R107" t="str">
        <f>TRIM(PROPER(Before_Tbl[[#This Row],[Last_Name]]))</f>
        <v>Johnson</v>
      </c>
      <c r="S107" s="25">
        <f t="shared" si="1"/>
        <v>35</v>
      </c>
      <c r="T107" t="str">
        <f>LEFT(Before_Tbl[[#This Row],[Department_Region]],FIND("-",Before_Tbl[[#This Row],[Department_Region]])-1)</f>
        <v>Sales</v>
      </c>
      <c r="U107" t="str">
        <f>RIGHT(Before_Tbl[[#This Row],[Department_Region]],LEN(Before_Tbl[[#This Row],[Department_Region]])-FIND("-",Before_Tbl[[#This Row],[Department_Region]]))</f>
        <v>Florida</v>
      </c>
      <c r="V107" t="str">
        <f>TRIM(PROPER(Before_Tbl[[#This Row],[Status]]))</f>
        <v>Inactive</v>
      </c>
      <c r="W107" s="26">
        <v>45202</v>
      </c>
      <c r="X107" s="4">
        <v>93471.91</v>
      </c>
      <c r="Y107" t="str">
        <f>TRIM(LOWER(Before_Tbl[[#This Row],[Email]]))</f>
        <v>heidi.johnson@example.com</v>
      </c>
      <c r="Z107" s="2" t="str">
        <f>SUBSTITUTE(Before_Tbl[[#This Row],[Phone]],"-","")</f>
        <v>26876810</v>
      </c>
      <c r="AA107" t="str">
        <f>TRIM(PROPER(Before_Tbl[[#This Row],[Performance_Score]]))</f>
        <v>Poor</v>
      </c>
      <c r="AB107" s="2" t="str">
        <f>TRIM(UPPER(Before_Tbl[[#This Row],[Remote_Work]]))</f>
        <v>FALSE</v>
      </c>
    </row>
    <row r="108" spans="1:28" x14ac:dyDescent="0.35">
      <c r="A108" t="s">
        <v>289</v>
      </c>
      <c r="B108" t="s">
        <v>13</v>
      </c>
      <c r="C108" t="s">
        <v>92</v>
      </c>
      <c r="D108">
        <v>30</v>
      </c>
      <c r="E108" t="s">
        <v>56</v>
      </c>
      <c r="F108" t="s">
        <v>33</v>
      </c>
      <c r="G108" t="s">
        <v>290</v>
      </c>
      <c r="H108">
        <v>55683.12</v>
      </c>
      <c r="I108" t="s">
        <v>93</v>
      </c>
      <c r="J108">
        <v>-8071569561</v>
      </c>
      <c r="K108" t="s">
        <v>41</v>
      </c>
      <c r="L108" t="b">
        <v>1</v>
      </c>
      <c r="P108" t="str">
        <f>TRIM(Before_Tbl[[#This Row],[Employee_ID]])</f>
        <v>EMP1106</v>
      </c>
      <c r="Q108" t="str">
        <f>TRIM(PROPER(Before_Tbl[[#This Row],[First_Name]]))</f>
        <v>Bob</v>
      </c>
      <c r="R108" t="str">
        <f>TRIM(PROPER(Before_Tbl[[#This Row],[Last_Name]]))</f>
        <v>Miller</v>
      </c>
      <c r="S108" s="25">
        <f t="shared" si="1"/>
        <v>30</v>
      </c>
      <c r="T108" t="str">
        <f>LEFT(Before_Tbl[[#This Row],[Department_Region]],FIND("-",Before_Tbl[[#This Row],[Department_Region]])-1)</f>
        <v>DevOps</v>
      </c>
      <c r="U108" t="str">
        <f>RIGHT(Before_Tbl[[#This Row],[Department_Region]],LEN(Before_Tbl[[#This Row],[Department_Region]])-FIND("-",Before_Tbl[[#This Row],[Department_Region]]))</f>
        <v>New York</v>
      </c>
      <c r="V108" t="str">
        <f>TRIM(PROPER(Before_Tbl[[#This Row],[Status]]))</f>
        <v>Inactive</v>
      </c>
      <c r="W108" s="26">
        <v>45183</v>
      </c>
      <c r="X108" s="4">
        <v>55683.12</v>
      </c>
      <c r="Y108" t="str">
        <f>TRIM(LOWER(Before_Tbl[[#This Row],[Email]]))</f>
        <v>bob.miller@example.com</v>
      </c>
      <c r="Z108" s="2" t="str">
        <f>SUBSTITUTE(Before_Tbl[[#This Row],[Phone]],"-","")</f>
        <v>8071569561</v>
      </c>
      <c r="AA108" t="str">
        <f>TRIM(PROPER(Before_Tbl[[#This Row],[Performance_Score]]))</f>
        <v>Poor</v>
      </c>
      <c r="AB108" s="2" t="str">
        <f>TRIM(UPPER(Before_Tbl[[#This Row],[Remote_Work]]))</f>
        <v>TRUE</v>
      </c>
    </row>
    <row r="109" spans="1:28" x14ac:dyDescent="0.35">
      <c r="A109" t="s">
        <v>291</v>
      </c>
      <c r="B109" t="s">
        <v>13</v>
      </c>
      <c r="C109" t="s">
        <v>20</v>
      </c>
      <c r="D109">
        <v>30</v>
      </c>
      <c r="E109" t="s">
        <v>39</v>
      </c>
      <c r="F109" t="s">
        <v>33</v>
      </c>
      <c r="G109" s="1">
        <v>45271</v>
      </c>
      <c r="H109">
        <v>91566.78</v>
      </c>
      <c r="I109" t="s">
        <v>22</v>
      </c>
      <c r="J109">
        <v>-175370303</v>
      </c>
      <c r="K109" t="s">
        <v>30</v>
      </c>
      <c r="L109" t="b">
        <v>1</v>
      </c>
      <c r="P109" t="str">
        <f>TRIM(Before_Tbl[[#This Row],[Employee_ID]])</f>
        <v>EMP1107</v>
      </c>
      <c r="Q109" t="str">
        <f>TRIM(PROPER(Before_Tbl[[#This Row],[First_Name]]))</f>
        <v>Bob</v>
      </c>
      <c r="R109" t="str">
        <f>TRIM(PROPER(Before_Tbl[[#This Row],[Last_Name]]))</f>
        <v>Brown</v>
      </c>
      <c r="S109" s="25">
        <f t="shared" si="1"/>
        <v>30</v>
      </c>
      <c r="T109" t="str">
        <f>LEFT(Before_Tbl[[#This Row],[Department_Region]],FIND("-",Before_Tbl[[#This Row],[Department_Region]])-1)</f>
        <v>Cloud Tech</v>
      </c>
      <c r="U109" t="str">
        <f>RIGHT(Before_Tbl[[#This Row],[Department_Region]],LEN(Before_Tbl[[#This Row],[Department_Region]])-FIND("-",Before_Tbl[[#This Row],[Department_Region]]))</f>
        <v>Florida</v>
      </c>
      <c r="V109" t="str">
        <f>TRIM(PROPER(Before_Tbl[[#This Row],[Status]]))</f>
        <v>Inactive</v>
      </c>
      <c r="W109" s="26">
        <v>45271</v>
      </c>
      <c r="X109" s="4">
        <v>91566.78</v>
      </c>
      <c r="Y109" t="str">
        <f>TRIM(LOWER(Before_Tbl[[#This Row],[Email]]))</f>
        <v>bob.brown@example.com</v>
      </c>
      <c r="Z109" s="2" t="str">
        <f>SUBSTITUTE(Before_Tbl[[#This Row],[Phone]],"-","")</f>
        <v>175370303</v>
      </c>
      <c r="AA109" t="str">
        <f>TRIM(PROPER(Before_Tbl[[#This Row],[Performance_Score]]))</f>
        <v>Good</v>
      </c>
      <c r="AB109" s="2" t="str">
        <f>TRIM(UPPER(Before_Tbl[[#This Row],[Remote_Work]]))</f>
        <v>TRUE</v>
      </c>
    </row>
    <row r="110" spans="1:28" x14ac:dyDescent="0.35">
      <c r="A110" t="s">
        <v>292</v>
      </c>
      <c r="B110" t="s">
        <v>59</v>
      </c>
      <c r="C110" t="s">
        <v>92</v>
      </c>
      <c r="D110">
        <v>35</v>
      </c>
      <c r="E110" t="s">
        <v>15</v>
      </c>
      <c r="F110" t="s">
        <v>28</v>
      </c>
      <c r="G110" t="s">
        <v>293</v>
      </c>
      <c r="H110">
        <v>81782.19</v>
      </c>
      <c r="I110" t="s">
        <v>107</v>
      </c>
      <c r="J110">
        <v>-5319433749</v>
      </c>
      <c r="K110" t="s">
        <v>30</v>
      </c>
      <c r="L110" t="b">
        <v>0</v>
      </c>
      <c r="P110" t="str">
        <f>TRIM(Before_Tbl[[#This Row],[Employee_ID]])</f>
        <v>EMP1108</v>
      </c>
      <c r="Q110" t="str">
        <f>TRIM(PROPER(Before_Tbl[[#This Row],[First_Name]]))</f>
        <v>David</v>
      </c>
      <c r="R110" t="str">
        <f>TRIM(PROPER(Before_Tbl[[#This Row],[Last_Name]]))</f>
        <v>Miller</v>
      </c>
      <c r="S110" s="25">
        <f t="shared" si="1"/>
        <v>35</v>
      </c>
      <c r="T110" t="str">
        <f>LEFT(Before_Tbl[[#This Row],[Department_Region]],FIND("-",Before_Tbl[[#This Row],[Department_Region]])-1)</f>
        <v>DevOps</v>
      </c>
      <c r="U110" t="str">
        <f>RIGHT(Before_Tbl[[#This Row],[Department_Region]],LEN(Before_Tbl[[#This Row],[Department_Region]])-FIND("-",Before_Tbl[[#This Row],[Department_Region]]))</f>
        <v>California</v>
      </c>
      <c r="V110" t="str">
        <f>TRIM(PROPER(Before_Tbl[[#This Row],[Status]]))</f>
        <v>Pending</v>
      </c>
      <c r="W110" s="26">
        <v>45591</v>
      </c>
      <c r="X110" s="4">
        <v>81782.19</v>
      </c>
      <c r="Y110" t="str">
        <f>TRIM(LOWER(Before_Tbl[[#This Row],[Email]]))</f>
        <v>david.miller@example.com</v>
      </c>
      <c r="Z110" s="2" t="str">
        <f>SUBSTITUTE(Before_Tbl[[#This Row],[Phone]],"-","")</f>
        <v>5319433749</v>
      </c>
      <c r="AA110" t="str">
        <f>TRIM(PROPER(Before_Tbl[[#This Row],[Performance_Score]]))</f>
        <v>Good</v>
      </c>
      <c r="AB110" s="2" t="str">
        <f>TRIM(UPPER(Before_Tbl[[#This Row],[Remote_Work]]))</f>
        <v>FALSE</v>
      </c>
    </row>
    <row r="111" spans="1:28" x14ac:dyDescent="0.35">
      <c r="A111" t="s">
        <v>294</v>
      </c>
      <c r="B111" t="s">
        <v>32</v>
      </c>
      <c r="C111" t="s">
        <v>14</v>
      </c>
      <c r="E111" t="s">
        <v>56</v>
      </c>
      <c r="F111" t="s">
        <v>33</v>
      </c>
      <c r="G111" t="s">
        <v>295</v>
      </c>
      <c r="H111">
        <v>88119.37</v>
      </c>
      <c r="I111" t="s">
        <v>35</v>
      </c>
      <c r="J111">
        <v>-4793036148</v>
      </c>
      <c r="K111" t="s">
        <v>30</v>
      </c>
      <c r="L111" t="b">
        <v>1</v>
      </c>
      <c r="P111" t="str">
        <f>TRIM(Before_Tbl[[#This Row],[Employee_ID]])</f>
        <v>EMP1109</v>
      </c>
      <c r="Q111" t="str">
        <f>TRIM(PROPER(Before_Tbl[[#This Row],[First_Name]]))</f>
        <v>Eva</v>
      </c>
      <c r="R111" t="str">
        <f>TRIM(PROPER(Before_Tbl[[#This Row],[Last_Name]]))</f>
        <v>Davis</v>
      </c>
      <c r="S111" s="25">
        <f t="shared" si="1"/>
        <v>30</v>
      </c>
      <c r="T111" t="str">
        <f>LEFT(Before_Tbl[[#This Row],[Department_Region]],FIND("-",Before_Tbl[[#This Row],[Department_Region]])-1)</f>
        <v>DevOps</v>
      </c>
      <c r="U111" t="str">
        <f>RIGHT(Before_Tbl[[#This Row],[Department_Region]],LEN(Before_Tbl[[#This Row],[Department_Region]])-FIND("-",Before_Tbl[[#This Row],[Department_Region]]))</f>
        <v>New York</v>
      </c>
      <c r="V111" t="str">
        <f>TRIM(PROPER(Before_Tbl[[#This Row],[Status]]))</f>
        <v>Inactive</v>
      </c>
      <c r="W111" s="26">
        <v>44066</v>
      </c>
      <c r="X111" s="4">
        <v>88119.37</v>
      </c>
      <c r="Y111" t="str">
        <f>TRIM(LOWER(Before_Tbl[[#This Row],[Email]]))</f>
        <v>eva.davis@example.com</v>
      </c>
      <c r="Z111" s="2" t="str">
        <f>SUBSTITUTE(Before_Tbl[[#This Row],[Phone]],"-","")</f>
        <v>4793036148</v>
      </c>
      <c r="AA111" t="str">
        <f>TRIM(PROPER(Before_Tbl[[#This Row],[Performance_Score]]))</f>
        <v>Good</v>
      </c>
      <c r="AB111" s="2" t="str">
        <f>TRIM(UPPER(Before_Tbl[[#This Row],[Remote_Work]]))</f>
        <v>TRUE</v>
      </c>
    </row>
    <row r="112" spans="1:28" x14ac:dyDescent="0.35">
      <c r="A112" t="s">
        <v>296</v>
      </c>
      <c r="B112" t="s">
        <v>32</v>
      </c>
      <c r="C112" t="s">
        <v>43</v>
      </c>
      <c r="D112">
        <v>30</v>
      </c>
      <c r="E112" t="s">
        <v>159</v>
      </c>
      <c r="F112" t="s">
        <v>16</v>
      </c>
      <c r="G112" s="1">
        <v>45602</v>
      </c>
      <c r="H112">
        <v>71532.83</v>
      </c>
      <c r="I112" t="s">
        <v>297</v>
      </c>
      <c r="J112">
        <v>-8728399920</v>
      </c>
      <c r="K112" t="s">
        <v>30</v>
      </c>
      <c r="L112" t="b">
        <v>1</v>
      </c>
      <c r="P112" t="str">
        <f>TRIM(Before_Tbl[[#This Row],[Employee_ID]])</f>
        <v>EMP1110</v>
      </c>
      <c r="Q112" t="str">
        <f>TRIM(PROPER(Before_Tbl[[#This Row],[First_Name]]))</f>
        <v>Eva</v>
      </c>
      <c r="R112" t="str">
        <f>TRIM(PROPER(Before_Tbl[[#This Row],[Last_Name]]))</f>
        <v>Garcia</v>
      </c>
      <c r="S112" s="25">
        <f t="shared" si="1"/>
        <v>30</v>
      </c>
      <c r="T112" t="str">
        <f>LEFT(Before_Tbl[[#This Row],[Department_Region]],FIND("-",Before_Tbl[[#This Row],[Department_Region]])-1)</f>
        <v>Cloud Tech</v>
      </c>
      <c r="U112" t="str">
        <f>RIGHT(Before_Tbl[[#This Row],[Department_Region]],LEN(Before_Tbl[[#This Row],[Department_Region]])-FIND("-",Before_Tbl[[#This Row],[Department_Region]]))</f>
        <v>Texas</v>
      </c>
      <c r="V112" t="str">
        <f>TRIM(PROPER(Before_Tbl[[#This Row],[Status]]))</f>
        <v>Active</v>
      </c>
      <c r="W112" s="26">
        <v>45602</v>
      </c>
      <c r="X112" s="4">
        <v>71532.83</v>
      </c>
      <c r="Y112" t="str">
        <f>TRIM(LOWER(Before_Tbl[[#This Row],[Email]]))</f>
        <v>eva.garcia@example.com</v>
      </c>
      <c r="Z112" s="2" t="str">
        <f>SUBSTITUTE(Before_Tbl[[#This Row],[Phone]],"-","")</f>
        <v>8728399920</v>
      </c>
      <c r="AA112" t="str">
        <f>TRIM(PROPER(Before_Tbl[[#This Row],[Performance_Score]]))</f>
        <v>Good</v>
      </c>
      <c r="AB112" s="2" t="str">
        <f>TRIM(UPPER(Before_Tbl[[#This Row],[Remote_Work]]))</f>
        <v>TRUE</v>
      </c>
    </row>
    <row r="113" spans="1:28" x14ac:dyDescent="0.35">
      <c r="A113" t="s">
        <v>298</v>
      </c>
      <c r="B113" t="s">
        <v>32</v>
      </c>
      <c r="C113" t="s">
        <v>14</v>
      </c>
      <c r="D113">
        <v>40</v>
      </c>
      <c r="E113" t="s">
        <v>39</v>
      </c>
      <c r="F113" t="s">
        <v>28</v>
      </c>
      <c r="G113" t="s">
        <v>299</v>
      </c>
      <c r="H113">
        <v>98981.36</v>
      </c>
      <c r="I113" t="s">
        <v>35</v>
      </c>
      <c r="J113">
        <v>-9212493842</v>
      </c>
      <c r="K113" t="s">
        <v>30</v>
      </c>
      <c r="L113" t="b">
        <v>1</v>
      </c>
      <c r="P113" t="str">
        <f>TRIM(Before_Tbl[[#This Row],[Employee_ID]])</f>
        <v>EMP1111</v>
      </c>
      <c r="Q113" t="str">
        <f>TRIM(PROPER(Before_Tbl[[#This Row],[First_Name]]))</f>
        <v>Eva</v>
      </c>
      <c r="R113" t="str">
        <f>TRIM(PROPER(Before_Tbl[[#This Row],[Last_Name]]))</f>
        <v>Davis</v>
      </c>
      <c r="S113" s="25">
        <f t="shared" si="1"/>
        <v>40</v>
      </c>
      <c r="T113" t="str">
        <f>LEFT(Before_Tbl[[#This Row],[Department_Region]],FIND("-",Before_Tbl[[#This Row],[Department_Region]])-1)</f>
        <v>Cloud Tech</v>
      </c>
      <c r="U113" t="str">
        <f>RIGHT(Before_Tbl[[#This Row],[Department_Region]],LEN(Before_Tbl[[#This Row],[Department_Region]])-FIND("-",Before_Tbl[[#This Row],[Department_Region]]))</f>
        <v>Florida</v>
      </c>
      <c r="V113" t="str">
        <f>TRIM(PROPER(Before_Tbl[[#This Row],[Status]]))</f>
        <v>Pending</v>
      </c>
      <c r="W113" s="26">
        <v>44453</v>
      </c>
      <c r="X113" s="4">
        <v>98981.36</v>
      </c>
      <c r="Y113" t="str">
        <f>TRIM(LOWER(Before_Tbl[[#This Row],[Email]]))</f>
        <v>eva.davis@example.com</v>
      </c>
      <c r="Z113" s="2" t="str">
        <f>SUBSTITUTE(Before_Tbl[[#This Row],[Phone]],"-","")</f>
        <v>9212493842</v>
      </c>
      <c r="AA113" t="str">
        <f>TRIM(PROPER(Before_Tbl[[#This Row],[Performance_Score]]))</f>
        <v>Good</v>
      </c>
      <c r="AB113" s="2" t="str">
        <f>TRIM(UPPER(Before_Tbl[[#This Row],[Remote_Work]]))</f>
        <v>TRUE</v>
      </c>
    </row>
    <row r="114" spans="1:28" x14ac:dyDescent="0.35">
      <c r="A114" t="s">
        <v>300</v>
      </c>
      <c r="B114" t="s">
        <v>65</v>
      </c>
      <c r="C114" t="s">
        <v>43</v>
      </c>
      <c r="D114">
        <v>40</v>
      </c>
      <c r="E114" t="s">
        <v>95</v>
      </c>
      <c r="F114" t="s">
        <v>16</v>
      </c>
      <c r="G114" t="s">
        <v>301</v>
      </c>
      <c r="H114">
        <v>80242.009999999995</v>
      </c>
      <c r="I114" t="s">
        <v>257</v>
      </c>
      <c r="J114">
        <v>-894870604</v>
      </c>
      <c r="K114" t="s">
        <v>30</v>
      </c>
      <c r="L114" t="b">
        <v>1</v>
      </c>
      <c r="P114" t="str">
        <f>TRIM(Before_Tbl[[#This Row],[Employee_ID]])</f>
        <v>EMP1112</v>
      </c>
      <c r="Q114" t="str">
        <f>TRIM(PROPER(Before_Tbl[[#This Row],[First_Name]]))</f>
        <v>Heidi</v>
      </c>
      <c r="R114" t="str">
        <f>TRIM(PROPER(Before_Tbl[[#This Row],[Last_Name]]))</f>
        <v>Garcia</v>
      </c>
      <c r="S114" s="25">
        <f t="shared" si="1"/>
        <v>40</v>
      </c>
      <c r="T114" t="str">
        <f>LEFT(Before_Tbl[[#This Row],[Department_Region]],FIND("-",Before_Tbl[[#This Row],[Department_Region]])-1)</f>
        <v>Cloud Tech</v>
      </c>
      <c r="U114" t="str">
        <f>RIGHT(Before_Tbl[[#This Row],[Department_Region]],LEN(Before_Tbl[[#This Row],[Department_Region]])-FIND("-",Before_Tbl[[#This Row],[Department_Region]]))</f>
        <v>Illinois</v>
      </c>
      <c r="V114" t="str">
        <f>TRIM(PROPER(Before_Tbl[[#This Row],[Status]]))</f>
        <v>Active</v>
      </c>
      <c r="W114" s="26">
        <v>45652</v>
      </c>
      <c r="X114" s="4">
        <v>80242.009999999995</v>
      </c>
      <c r="Y114" t="str">
        <f>TRIM(LOWER(Before_Tbl[[#This Row],[Email]]))</f>
        <v>heidi.garcia@example.com</v>
      </c>
      <c r="Z114" s="2" t="str">
        <f>SUBSTITUTE(Before_Tbl[[#This Row],[Phone]],"-","")</f>
        <v>894870604</v>
      </c>
      <c r="AA114" t="str">
        <f>TRIM(PROPER(Before_Tbl[[#This Row],[Performance_Score]]))</f>
        <v>Good</v>
      </c>
      <c r="AB114" s="2" t="str">
        <f>TRIM(UPPER(Before_Tbl[[#This Row],[Remote_Work]]))</f>
        <v>TRUE</v>
      </c>
    </row>
    <row r="115" spans="1:28" x14ac:dyDescent="0.35">
      <c r="A115" t="s">
        <v>302</v>
      </c>
      <c r="B115" t="s">
        <v>32</v>
      </c>
      <c r="C115" t="s">
        <v>92</v>
      </c>
      <c r="D115">
        <v>25</v>
      </c>
      <c r="E115" t="s">
        <v>60</v>
      </c>
      <c r="F115" t="s">
        <v>28</v>
      </c>
      <c r="G115" s="1">
        <v>45513</v>
      </c>
      <c r="H115">
        <v>110236.18</v>
      </c>
      <c r="I115" t="s">
        <v>263</v>
      </c>
      <c r="J115">
        <v>-6641877579</v>
      </c>
      <c r="K115" t="s">
        <v>18</v>
      </c>
      <c r="L115" t="b">
        <v>1</v>
      </c>
      <c r="P115" t="str">
        <f>TRIM(Before_Tbl[[#This Row],[Employee_ID]])</f>
        <v>EMP1113</v>
      </c>
      <c r="Q115" t="str">
        <f>TRIM(PROPER(Before_Tbl[[#This Row],[First_Name]]))</f>
        <v>Eva</v>
      </c>
      <c r="R115" t="str">
        <f>TRIM(PROPER(Before_Tbl[[#This Row],[Last_Name]]))</f>
        <v>Miller</v>
      </c>
      <c r="S115" s="25">
        <f t="shared" si="1"/>
        <v>25</v>
      </c>
      <c r="T115" t="str">
        <f>LEFT(Before_Tbl[[#This Row],[Department_Region]],FIND("-",Before_Tbl[[#This Row],[Department_Region]])-1)</f>
        <v>Cloud Tech</v>
      </c>
      <c r="U115" t="str">
        <f>RIGHT(Before_Tbl[[#This Row],[Department_Region]],LEN(Before_Tbl[[#This Row],[Department_Region]])-FIND("-",Before_Tbl[[#This Row],[Department_Region]]))</f>
        <v>New York</v>
      </c>
      <c r="V115" t="str">
        <f>TRIM(PROPER(Before_Tbl[[#This Row],[Status]]))</f>
        <v>Pending</v>
      </c>
      <c r="W115" s="26">
        <v>45513</v>
      </c>
      <c r="X115" s="4">
        <v>110236.18</v>
      </c>
      <c r="Y115" t="str">
        <f>TRIM(LOWER(Before_Tbl[[#This Row],[Email]]))</f>
        <v>eva.miller@example.com</v>
      </c>
      <c r="Z115" s="2" t="str">
        <f>SUBSTITUTE(Before_Tbl[[#This Row],[Phone]],"-","")</f>
        <v>6641877579</v>
      </c>
      <c r="AA115" t="str">
        <f>TRIM(PROPER(Before_Tbl[[#This Row],[Performance_Score]]))</f>
        <v>Average</v>
      </c>
      <c r="AB115" s="2" t="str">
        <f>TRIM(UPPER(Before_Tbl[[#This Row],[Remote_Work]]))</f>
        <v>TRUE</v>
      </c>
    </row>
    <row r="116" spans="1:28" x14ac:dyDescent="0.35">
      <c r="A116" t="s">
        <v>303</v>
      </c>
      <c r="B116" t="s">
        <v>25</v>
      </c>
      <c r="C116" t="s">
        <v>14</v>
      </c>
      <c r="D116">
        <v>35</v>
      </c>
      <c r="E116" t="s">
        <v>44</v>
      </c>
      <c r="F116" t="s">
        <v>16</v>
      </c>
      <c r="G116" t="s">
        <v>304</v>
      </c>
      <c r="H116">
        <v>86327.47</v>
      </c>
      <c r="I116" t="s">
        <v>163</v>
      </c>
      <c r="J116">
        <v>-3046875062</v>
      </c>
      <c r="K116" t="s">
        <v>18</v>
      </c>
      <c r="L116" t="b">
        <v>0</v>
      </c>
      <c r="P116" t="str">
        <f>TRIM(Before_Tbl[[#This Row],[Employee_ID]])</f>
        <v>EMP1114</v>
      </c>
      <c r="Q116" t="str">
        <f>TRIM(PROPER(Before_Tbl[[#This Row],[First_Name]]))</f>
        <v>Alice</v>
      </c>
      <c r="R116" t="str">
        <f>TRIM(PROPER(Before_Tbl[[#This Row],[Last_Name]]))</f>
        <v>Davis</v>
      </c>
      <c r="S116" s="25">
        <f t="shared" si="1"/>
        <v>35</v>
      </c>
      <c r="T116" t="str">
        <f>LEFT(Before_Tbl[[#This Row],[Department_Region]],FIND("-",Before_Tbl[[#This Row],[Department_Region]])-1)</f>
        <v>Sales</v>
      </c>
      <c r="U116" t="str">
        <f>RIGHT(Before_Tbl[[#This Row],[Department_Region]],LEN(Before_Tbl[[#This Row],[Department_Region]])-FIND("-",Before_Tbl[[#This Row],[Department_Region]]))</f>
        <v>Texas</v>
      </c>
      <c r="V116" t="str">
        <f>TRIM(PROPER(Before_Tbl[[#This Row],[Status]]))</f>
        <v>Active</v>
      </c>
      <c r="W116" s="26">
        <v>44794</v>
      </c>
      <c r="X116" s="4">
        <v>86327.47</v>
      </c>
      <c r="Y116" t="str">
        <f>TRIM(LOWER(Before_Tbl[[#This Row],[Email]]))</f>
        <v>alice.davis@example.com</v>
      </c>
      <c r="Z116" s="2" t="str">
        <f>SUBSTITUTE(Before_Tbl[[#This Row],[Phone]],"-","")</f>
        <v>3046875062</v>
      </c>
      <c r="AA116" t="str">
        <f>TRIM(PROPER(Before_Tbl[[#This Row],[Performance_Score]]))</f>
        <v>Average</v>
      </c>
      <c r="AB116" s="2" t="str">
        <f>TRIM(UPPER(Before_Tbl[[#This Row],[Remote_Work]]))</f>
        <v>FALSE</v>
      </c>
    </row>
    <row r="117" spans="1:28" x14ac:dyDescent="0.35">
      <c r="A117" t="s">
        <v>305</v>
      </c>
      <c r="B117" t="s">
        <v>32</v>
      </c>
      <c r="C117" t="s">
        <v>20</v>
      </c>
      <c r="D117">
        <v>30</v>
      </c>
      <c r="E117" t="s">
        <v>74</v>
      </c>
      <c r="F117" t="s">
        <v>28</v>
      </c>
      <c r="G117" t="s">
        <v>306</v>
      </c>
      <c r="H117">
        <v>84420.81</v>
      </c>
      <c r="I117" t="s">
        <v>155</v>
      </c>
      <c r="J117">
        <v>-5190361331</v>
      </c>
      <c r="K117" t="s">
        <v>18</v>
      </c>
      <c r="L117" t="b">
        <v>0</v>
      </c>
      <c r="P117" t="str">
        <f>TRIM(Before_Tbl[[#This Row],[Employee_ID]])</f>
        <v>EMP1115</v>
      </c>
      <c r="Q117" t="str">
        <f>TRIM(PROPER(Before_Tbl[[#This Row],[First_Name]]))</f>
        <v>Eva</v>
      </c>
      <c r="R117" t="str">
        <f>TRIM(PROPER(Before_Tbl[[#This Row],[Last_Name]]))</f>
        <v>Brown</v>
      </c>
      <c r="S117" s="25">
        <f t="shared" si="1"/>
        <v>30</v>
      </c>
      <c r="T117" t="str">
        <f>LEFT(Before_Tbl[[#This Row],[Department_Region]],FIND("-",Before_Tbl[[#This Row],[Department_Region]])-1)</f>
        <v>Sales</v>
      </c>
      <c r="U117" t="str">
        <f>RIGHT(Before_Tbl[[#This Row],[Department_Region]],LEN(Before_Tbl[[#This Row],[Department_Region]])-FIND("-",Before_Tbl[[#This Row],[Department_Region]]))</f>
        <v>Florida</v>
      </c>
      <c r="V117" t="str">
        <f>TRIM(PROPER(Before_Tbl[[#This Row],[Status]]))</f>
        <v>Pending</v>
      </c>
      <c r="W117" s="26">
        <v>45498</v>
      </c>
      <c r="X117" s="4">
        <v>84420.81</v>
      </c>
      <c r="Y117" t="str">
        <f>TRIM(LOWER(Before_Tbl[[#This Row],[Email]]))</f>
        <v>eva.brown@example.com</v>
      </c>
      <c r="Z117" s="2" t="str">
        <f>SUBSTITUTE(Before_Tbl[[#This Row],[Phone]],"-","")</f>
        <v>5190361331</v>
      </c>
      <c r="AA117" t="str">
        <f>TRIM(PROPER(Before_Tbl[[#This Row],[Performance_Score]]))</f>
        <v>Average</v>
      </c>
      <c r="AB117" s="2" t="str">
        <f>TRIM(UPPER(Before_Tbl[[#This Row],[Remote_Work]]))</f>
        <v>FALSE</v>
      </c>
    </row>
    <row r="118" spans="1:28" x14ac:dyDescent="0.35">
      <c r="A118" t="s">
        <v>307</v>
      </c>
      <c r="B118" t="s">
        <v>37</v>
      </c>
      <c r="C118" t="s">
        <v>122</v>
      </c>
      <c r="D118">
        <v>40</v>
      </c>
      <c r="E118" t="s">
        <v>146</v>
      </c>
      <c r="F118" t="s">
        <v>28</v>
      </c>
      <c r="G118" s="1">
        <v>43869</v>
      </c>
      <c r="H118">
        <v>110041.32</v>
      </c>
      <c r="I118" t="s">
        <v>137</v>
      </c>
      <c r="J118">
        <v>-5411076094</v>
      </c>
      <c r="K118" t="s">
        <v>18</v>
      </c>
      <c r="L118" t="b">
        <v>0</v>
      </c>
      <c r="P118" t="str">
        <f>TRIM(Before_Tbl[[#This Row],[Employee_ID]])</f>
        <v>EMP1116</v>
      </c>
      <c r="Q118" t="str">
        <f>TRIM(PROPER(Before_Tbl[[#This Row],[First_Name]]))</f>
        <v>Frank</v>
      </c>
      <c r="R118" t="str">
        <f>TRIM(PROPER(Before_Tbl[[#This Row],[Last_Name]]))</f>
        <v>Smith</v>
      </c>
      <c r="S118" s="25">
        <f t="shared" si="1"/>
        <v>40</v>
      </c>
      <c r="T118" t="str">
        <f>LEFT(Before_Tbl[[#This Row],[Department_Region]],FIND("-",Before_Tbl[[#This Row],[Department_Region]])-1)</f>
        <v>HR</v>
      </c>
      <c r="U118" t="str">
        <f>RIGHT(Before_Tbl[[#This Row],[Department_Region]],LEN(Before_Tbl[[#This Row],[Department_Region]])-FIND("-",Before_Tbl[[#This Row],[Department_Region]]))</f>
        <v>California</v>
      </c>
      <c r="V118" t="str">
        <f>TRIM(PROPER(Before_Tbl[[#This Row],[Status]]))</f>
        <v>Pending</v>
      </c>
      <c r="W118" s="26">
        <v>43869</v>
      </c>
      <c r="X118" s="4">
        <v>110041.32</v>
      </c>
      <c r="Y118" t="str">
        <f>TRIM(LOWER(Before_Tbl[[#This Row],[Email]]))</f>
        <v>frank.smith@example.com</v>
      </c>
      <c r="Z118" s="2" t="str">
        <f>SUBSTITUTE(Before_Tbl[[#This Row],[Phone]],"-","")</f>
        <v>5411076094</v>
      </c>
      <c r="AA118" t="str">
        <f>TRIM(PROPER(Before_Tbl[[#This Row],[Performance_Score]]))</f>
        <v>Average</v>
      </c>
      <c r="AB118" s="2" t="str">
        <f>TRIM(UPPER(Before_Tbl[[#This Row],[Remote_Work]]))</f>
        <v>FALSE</v>
      </c>
    </row>
    <row r="119" spans="1:28" x14ac:dyDescent="0.35">
      <c r="A119" t="s">
        <v>308</v>
      </c>
      <c r="B119" t="s">
        <v>65</v>
      </c>
      <c r="C119" t="s">
        <v>92</v>
      </c>
      <c r="D119">
        <v>35</v>
      </c>
      <c r="E119" t="s">
        <v>230</v>
      </c>
      <c r="F119" t="s">
        <v>28</v>
      </c>
      <c r="G119" t="s">
        <v>309</v>
      </c>
      <c r="H119">
        <v>81837.81</v>
      </c>
      <c r="I119" t="s">
        <v>130</v>
      </c>
      <c r="J119">
        <v>-4317350582</v>
      </c>
      <c r="K119" t="s">
        <v>30</v>
      </c>
      <c r="L119" t="b">
        <v>1</v>
      </c>
      <c r="P119" t="str">
        <f>TRIM(Before_Tbl[[#This Row],[Employee_ID]])</f>
        <v>EMP1117</v>
      </c>
      <c r="Q119" t="str">
        <f>TRIM(PROPER(Before_Tbl[[#This Row],[First_Name]]))</f>
        <v>Heidi</v>
      </c>
      <c r="R119" t="str">
        <f>TRIM(PROPER(Before_Tbl[[#This Row],[Last_Name]]))</f>
        <v>Miller</v>
      </c>
      <c r="S119" s="25">
        <f t="shared" si="1"/>
        <v>35</v>
      </c>
      <c r="T119" t="str">
        <f>LEFT(Before_Tbl[[#This Row],[Department_Region]],FIND("-",Before_Tbl[[#This Row],[Department_Region]])-1)</f>
        <v>DevOps</v>
      </c>
      <c r="U119" t="str">
        <f>RIGHT(Before_Tbl[[#This Row],[Department_Region]],LEN(Before_Tbl[[#This Row],[Department_Region]])-FIND("-",Before_Tbl[[#This Row],[Department_Region]]))</f>
        <v>Florida</v>
      </c>
      <c r="V119" t="str">
        <f>TRIM(PROPER(Before_Tbl[[#This Row],[Status]]))</f>
        <v>Pending</v>
      </c>
      <c r="W119" s="26">
        <v>43906</v>
      </c>
      <c r="X119" s="4">
        <v>81837.81</v>
      </c>
      <c r="Y119" t="str">
        <f>TRIM(LOWER(Before_Tbl[[#This Row],[Email]]))</f>
        <v>heidi.miller@example.com</v>
      </c>
      <c r="Z119" s="2" t="str">
        <f>SUBSTITUTE(Before_Tbl[[#This Row],[Phone]],"-","")</f>
        <v>4317350582</v>
      </c>
      <c r="AA119" t="str">
        <f>TRIM(PROPER(Before_Tbl[[#This Row],[Performance_Score]]))</f>
        <v>Good</v>
      </c>
      <c r="AB119" s="2" t="str">
        <f>TRIM(UPPER(Before_Tbl[[#This Row],[Remote_Work]]))</f>
        <v>TRUE</v>
      </c>
    </row>
    <row r="120" spans="1:28" x14ac:dyDescent="0.35">
      <c r="A120" t="s">
        <v>310</v>
      </c>
      <c r="B120" t="s">
        <v>37</v>
      </c>
      <c r="C120" t="s">
        <v>43</v>
      </c>
      <c r="D120">
        <v>25</v>
      </c>
      <c r="E120" t="s">
        <v>265</v>
      </c>
      <c r="F120" t="s">
        <v>16</v>
      </c>
      <c r="G120" s="1">
        <v>45147</v>
      </c>
      <c r="H120">
        <v>110855.72</v>
      </c>
      <c r="I120" t="s">
        <v>180</v>
      </c>
      <c r="J120">
        <v>-1997179109</v>
      </c>
      <c r="K120" t="s">
        <v>41</v>
      </c>
      <c r="L120" t="b">
        <v>0</v>
      </c>
      <c r="P120" t="str">
        <f>TRIM(Before_Tbl[[#This Row],[Employee_ID]])</f>
        <v>EMP1118</v>
      </c>
      <c r="Q120" t="str">
        <f>TRIM(PROPER(Before_Tbl[[#This Row],[First_Name]]))</f>
        <v>Frank</v>
      </c>
      <c r="R120" t="str">
        <f>TRIM(PROPER(Before_Tbl[[#This Row],[Last_Name]]))</f>
        <v>Garcia</v>
      </c>
      <c r="S120" s="25">
        <f t="shared" si="1"/>
        <v>25</v>
      </c>
      <c r="T120" t="str">
        <f>LEFT(Before_Tbl[[#This Row],[Department_Region]],FIND("-",Before_Tbl[[#This Row],[Department_Region]])-1)</f>
        <v>Finance</v>
      </c>
      <c r="U120" t="str">
        <f>RIGHT(Before_Tbl[[#This Row],[Department_Region]],LEN(Before_Tbl[[#This Row],[Department_Region]])-FIND("-",Before_Tbl[[#This Row],[Department_Region]]))</f>
        <v>Illinois</v>
      </c>
      <c r="V120" t="str">
        <f>TRIM(PROPER(Before_Tbl[[#This Row],[Status]]))</f>
        <v>Active</v>
      </c>
      <c r="W120" s="26">
        <v>45147</v>
      </c>
      <c r="X120" s="4">
        <v>110855.72</v>
      </c>
      <c r="Y120" t="str">
        <f>TRIM(LOWER(Before_Tbl[[#This Row],[Email]]))</f>
        <v>frank.garcia@example.com</v>
      </c>
      <c r="Z120" s="2" t="str">
        <f>SUBSTITUTE(Before_Tbl[[#This Row],[Phone]],"-","")</f>
        <v>1997179109</v>
      </c>
      <c r="AA120" t="str">
        <f>TRIM(PROPER(Before_Tbl[[#This Row],[Performance_Score]]))</f>
        <v>Poor</v>
      </c>
      <c r="AB120" s="2" t="str">
        <f>TRIM(UPPER(Before_Tbl[[#This Row],[Remote_Work]]))</f>
        <v>FALSE</v>
      </c>
    </row>
    <row r="121" spans="1:28" x14ac:dyDescent="0.35">
      <c r="A121" t="s">
        <v>311</v>
      </c>
      <c r="B121" t="s">
        <v>25</v>
      </c>
      <c r="C121" t="s">
        <v>26</v>
      </c>
      <c r="D121">
        <v>30</v>
      </c>
      <c r="E121" t="s">
        <v>177</v>
      </c>
      <c r="F121" t="s">
        <v>28</v>
      </c>
      <c r="G121" t="s">
        <v>312</v>
      </c>
      <c r="H121">
        <v>84894.52</v>
      </c>
      <c r="I121" t="s">
        <v>29</v>
      </c>
      <c r="J121">
        <v>-651207048</v>
      </c>
      <c r="K121" t="s">
        <v>23</v>
      </c>
      <c r="L121" t="b">
        <v>1</v>
      </c>
      <c r="P121" t="str">
        <f>TRIM(Before_Tbl[[#This Row],[Employee_ID]])</f>
        <v>EMP1119</v>
      </c>
      <c r="Q121" t="str">
        <f>TRIM(PROPER(Before_Tbl[[#This Row],[First_Name]]))</f>
        <v>Alice</v>
      </c>
      <c r="R121" t="str">
        <f>TRIM(PROPER(Before_Tbl[[#This Row],[Last_Name]]))</f>
        <v>Jones</v>
      </c>
      <c r="S121" s="25">
        <f t="shared" si="1"/>
        <v>30</v>
      </c>
      <c r="T121" t="str">
        <f>LEFT(Before_Tbl[[#This Row],[Department_Region]],FIND("-",Before_Tbl[[#This Row],[Department_Region]])-1)</f>
        <v>Sales</v>
      </c>
      <c r="U121" t="str">
        <f>RIGHT(Before_Tbl[[#This Row],[Department_Region]],LEN(Before_Tbl[[#This Row],[Department_Region]])-FIND("-",Before_Tbl[[#This Row],[Department_Region]]))</f>
        <v>California</v>
      </c>
      <c r="V121" t="str">
        <f>TRIM(PROPER(Before_Tbl[[#This Row],[Status]]))</f>
        <v>Pending</v>
      </c>
      <c r="W121" s="26">
        <v>45380</v>
      </c>
      <c r="X121" s="4">
        <v>84894.52</v>
      </c>
      <c r="Y121" t="str">
        <f>TRIM(LOWER(Before_Tbl[[#This Row],[Email]]))</f>
        <v>alice.jones@example.com</v>
      </c>
      <c r="Z121" s="2" t="str">
        <f>SUBSTITUTE(Before_Tbl[[#This Row],[Phone]],"-","")</f>
        <v>651207048</v>
      </c>
      <c r="AA121" t="str">
        <f>TRIM(PROPER(Before_Tbl[[#This Row],[Performance_Score]]))</f>
        <v>Excellent</v>
      </c>
      <c r="AB121" s="2" t="str">
        <f>TRIM(UPPER(Before_Tbl[[#This Row],[Remote_Work]]))</f>
        <v>TRUE</v>
      </c>
    </row>
    <row r="122" spans="1:28" x14ac:dyDescent="0.35">
      <c r="A122" t="s">
        <v>313</v>
      </c>
      <c r="B122" t="s">
        <v>25</v>
      </c>
      <c r="C122" t="s">
        <v>43</v>
      </c>
      <c r="D122">
        <v>30</v>
      </c>
      <c r="E122" t="s">
        <v>192</v>
      </c>
      <c r="F122" t="s">
        <v>16</v>
      </c>
      <c r="G122" s="1">
        <v>44538</v>
      </c>
      <c r="H122">
        <v>80668.13</v>
      </c>
      <c r="I122" t="s">
        <v>45</v>
      </c>
      <c r="J122">
        <v>-6110804660</v>
      </c>
      <c r="K122" t="s">
        <v>30</v>
      </c>
      <c r="L122" t="b">
        <v>1</v>
      </c>
      <c r="P122" t="str">
        <f>TRIM(Before_Tbl[[#This Row],[Employee_ID]])</f>
        <v>EMP1120</v>
      </c>
      <c r="Q122" t="str">
        <f>TRIM(PROPER(Before_Tbl[[#This Row],[First_Name]]))</f>
        <v>Alice</v>
      </c>
      <c r="R122" t="str">
        <f>TRIM(PROPER(Before_Tbl[[#This Row],[Last_Name]]))</f>
        <v>Garcia</v>
      </c>
      <c r="S122" s="25">
        <f t="shared" si="1"/>
        <v>30</v>
      </c>
      <c r="T122" t="str">
        <f>LEFT(Before_Tbl[[#This Row],[Department_Region]],FIND("-",Before_Tbl[[#This Row],[Department_Region]])-1)</f>
        <v>HR</v>
      </c>
      <c r="U122" t="str">
        <f>RIGHT(Before_Tbl[[#This Row],[Department_Region]],LEN(Before_Tbl[[#This Row],[Department_Region]])-FIND("-",Before_Tbl[[#This Row],[Department_Region]]))</f>
        <v>Illinois</v>
      </c>
      <c r="V122" t="str">
        <f>TRIM(PROPER(Before_Tbl[[#This Row],[Status]]))</f>
        <v>Active</v>
      </c>
      <c r="W122" s="26">
        <v>44538</v>
      </c>
      <c r="X122" s="4">
        <v>80668.13</v>
      </c>
      <c r="Y122" t="str">
        <f>TRIM(LOWER(Before_Tbl[[#This Row],[Email]]))</f>
        <v>alice.garcia@example.com</v>
      </c>
      <c r="Z122" s="2" t="str">
        <f>SUBSTITUTE(Before_Tbl[[#This Row],[Phone]],"-","")</f>
        <v>6110804660</v>
      </c>
      <c r="AA122" t="str">
        <f>TRIM(PROPER(Before_Tbl[[#This Row],[Performance_Score]]))</f>
        <v>Good</v>
      </c>
      <c r="AB122" s="2" t="str">
        <f>TRIM(UPPER(Before_Tbl[[#This Row],[Remote_Work]]))</f>
        <v>TRUE</v>
      </c>
    </row>
    <row r="123" spans="1:28" x14ac:dyDescent="0.35">
      <c r="A123" t="s">
        <v>314</v>
      </c>
      <c r="B123" t="s">
        <v>13</v>
      </c>
      <c r="C123" t="s">
        <v>26</v>
      </c>
      <c r="D123">
        <v>25</v>
      </c>
      <c r="E123" t="s">
        <v>78</v>
      </c>
      <c r="F123" t="s">
        <v>16</v>
      </c>
      <c r="G123" t="s">
        <v>315</v>
      </c>
      <c r="H123">
        <v>61086.47</v>
      </c>
      <c r="I123" t="s">
        <v>50</v>
      </c>
      <c r="J123">
        <v>-9639907675</v>
      </c>
      <c r="K123" t="s">
        <v>23</v>
      </c>
      <c r="L123" t="b">
        <v>1</v>
      </c>
      <c r="P123" t="str">
        <f>TRIM(Before_Tbl[[#This Row],[Employee_ID]])</f>
        <v>EMP1121</v>
      </c>
      <c r="Q123" t="str">
        <f>TRIM(PROPER(Before_Tbl[[#This Row],[First_Name]]))</f>
        <v>Bob</v>
      </c>
      <c r="R123" t="str">
        <f>TRIM(PROPER(Before_Tbl[[#This Row],[Last_Name]]))</f>
        <v>Jones</v>
      </c>
      <c r="S123" s="25">
        <f t="shared" si="1"/>
        <v>25</v>
      </c>
      <c r="T123" t="str">
        <f>LEFT(Before_Tbl[[#This Row],[Department_Region]],FIND("-",Before_Tbl[[#This Row],[Department_Region]])-1)</f>
        <v>DevOps</v>
      </c>
      <c r="U123" t="str">
        <f>RIGHT(Before_Tbl[[#This Row],[Department_Region]],LEN(Before_Tbl[[#This Row],[Department_Region]])-FIND("-",Before_Tbl[[#This Row],[Department_Region]]))</f>
        <v>Illinois</v>
      </c>
      <c r="V123" t="str">
        <f>TRIM(PROPER(Before_Tbl[[#This Row],[Status]]))</f>
        <v>Active</v>
      </c>
      <c r="W123" s="26">
        <v>45284</v>
      </c>
      <c r="X123" s="4">
        <v>61086.47</v>
      </c>
      <c r="Y123" t="str">
        <f>TRIM(LOWER(Before_Tbl[[#This Row],[Email]]))</f>
        <v>bob.jones@example.com</v>
      </c>
      <c r="Z123" s="2" t="str">
        <f>SUBSTITUTE(Before_Tbl[[#This Row],[Phone]],"-","")</f>
        <v>9639907675</v>
      </c>
      <c r="AA123" t="str">
        <f>TRIM(PROPER(Before_Tbl[[#This Row],[Performance_Score]]))</f>
        <v>Excellent</v>
      </c>
      <c r="AB123" s="2" t="str">
        <f>TRIM(UPPER(Before_Tbl[[#This Row],[Remote_Work]]))</f>
        <v>TRUE</v>
      </c>
    </row>
    <row r="124" spans="1:28" x14ac:dyDescent="0.35">
      <c r="A124" t="s">
        <v>316</v>
      </c>
      <c r="B124" t="s">
        <v>69</v>
      </c>
      <c r="C124" t="s">
        <v>55</v>
      </c>
      <c r="D124">
        <v>25</v>
      </c>
      <c r="E124" t="s">
        <v>103</v>
      </c>
      <c r="F124" t="s">
        <v>33</v>
      </c>
      <c r="G124" t="s">
        <v>317</v>
      </c>
      <c r="H124">
        <v>95339.68</v>
      </c>
      <c r="I124" t="s">
        <v>127</v>
      </c>
      <c r="J124">
        <v>-9915078592</v>
      </c>
      <c r="K124" t="s">
        <v>41</v>
      </c>
      <c r="L124" t="b">
        <v>1</v>
      </c>
      <c r="P124" t="str">
        <f>TRIM(Before_Tbl[[#This Row],[Employee_ID]])</f>
        <v>EMP1122</v>
      </c>
      <c r="Q124" t="str">
        <f>TRIM(PROPER(Before_Tbl[[#This Row],[First_Name]]))</f>
        <v>Grace</v>
      </c>
      <c r="R124" t="str">
        <f>TRIM(PROPER(Before_Tbl[[#This Row],[Last_Name]]))</f>
        <v>Johnson</v>
      </c>
      <c r="S124" s="25">
        <f t="shared" si="1"/>
        <v>25</v>
      </c>
      <c r="T124" t="str">
        <f>LEFT(Before_Tbl[[#This Row],[Department_Region]],FIND("-",Before_Tbl[[#This Row],[Department_Region]])-1)</f>
        <v>Admin</v>
      </c>
      <c r="U124" t="str">
        <f>RIGHT(Before_Tbl[[#This Row],[Department_Region]],LEN(Before_Tbl[[#This Row],[Department_Region]])-FIND("-",Before_Tbl[[#This Row],[Department_Region]]))</f>
        <v>Texas</v>
      </c>
      <c r="V124" t="str">
        <f>TRIM(PROPER(Before_Tbl[[#This Row],[Status]]))</f>
        <v>Inactive</v>
      </c>
      <c r="W124" s="26">
        <v>44071</v>
      </c>
      <c r="X124" s="4">
        <v>95339.68</v>
      </c>
      <c r="Y124" t="str">
        <f>TRIM(LOWER(Before_Tbl[[#This Row],[Email]]))</f>
        <v>grace.johnson@example.com</v>
      </c>
      <c r="Z124" s="2" t="str">
        <f>SUBSTITUTE(Before_Tbl[[#This Row],[Phone]],"-","")</f>
        <v>9915078592</v>
      </c>
      <c r="AA124" t="str">
        <f>TRIM(PROPER(Before_Tbl[[#This Row],[Performance_Score]]))</f>
        <v>Poor</v>
      </c>
      <c r="AB124" s="2" t="str">
        <f>TRIM(UPPER(Before_Tbl[[#This Row],[Remote_Work]]))</f>
        <v>TRUE</v>
      </c>
    </row>
    <row r="125" spans="1:28" x14ac:dyDescent="0.35">
      <c r="A125" t="s">
        <v>318</v>
      </c>
      <c r="B125" t="s">
        <v>32</v>
      </c>
      <c r="C125" t="s">
        <v>14</v>
      </c>
      <c r="E125" t="s">
        <v>15</v>
      </c>
      <c r="F125" t="s">
        <v>33</v>
      </c>
      <c r="G125" s="1">
        <v>45421</v>
      </c>
      <c r="H125">
        <v>83774.97</v>
      </c>
      <c r="I125" t="s">
        <v>35</v>
      </c>
      <c r="J125">
        <v>-1109193927</v>
      </c>
      <c r="K125" t="s">
        <v>18</v>
      </c>
      <c r="L125" t="b">
        <v>0</v>
      </c>
      <c r="P125" t="str">
        <f>TRIM(Before_Tbl[[#This Row],[Employee_ID]])</f>
        <v>EMP1123</v>
      </c>
      <c r="Q125" t="str">
        <f>TRIM(PROPER(Before_Tbl[[#This Row],[First_Name]]))</f>
        <v>Eva</v>
      </c>
      <c r="R125" t="str">
        <f>TRIM(PROPER(Before_Tbl[[#This Row],[Last_Name]]))</f>
        <v>Davis</v>
      </c>
      <c r="S125" s="25">
        <f t="shared" si="1"/>
        <v>30</v>
      </c>
      <c r="T125" t="str">
        <f>LEFT(Before_Tbl[[#This Row],[Department_Region]],FIND("-",Before_Tbl[[#This Row],[Department_Region]])-1)</f>
        <v>DevOps</v>
      </c>
      <c r="U125" t="str">
        <f>RIGHT(Before_Tbl[[#This Row],[Department_Region]],LEN(Before_Tbl[[#This Row],[Department_Region]])-FIND("-",Before_Tbl[[#This Row],[Department_Region]]))</f>
        <v>California</v>
      </c>
      <c r="V125" t="str">
        <f>TRIM(PROPER(Before_Tbl[[#This Row],[Status]]))</f>
        <v>Inactive</v>
      </c>
      <c r="W125" s="26">
        <v>45421</v>
      </c>
      <c r="X125" s="4">
        <v>83774.97</v>
      </c>
      <c r="Y125" t="str">
        <f>TRIM(LOWER(Before_Tbl[[#This Row],[Email]]))</f>
        <v>eva.davis@example.com</v>
      </c>
      <c r="Z125" s="2" t="str">
        <f>SUBSTITUTE(Before_Tbl[[#This Row],[Phone]],"-","")</f>
        <v>1109193927</v>
      </c>
      <c r="AA125" t="str">
        <f>TRIM(PROPER(Before_Tbl[[#This Row],[Performance_Score]]))</f>
        <v>Average</v>
      </c>
      <c r="AB125" s="2" t="str">
        <f>TRIM(UPPER(Before_Tbl[[#This Row],[Remote_Work]]))</f>
        <v>FALSE</v>
      </c>
    </row>
    <row r="126" spans="1:28" x14ac:dyDescent="0.35">
      <c r="A126" t="s">
        <v>319</v>
      </c>
      <c r="B126" t="s">
        <v>65</v>
      </c>
      <c r="C126" t="s">
        <v>26</v>
      </c>
      <c r="E126" t="s">
        <v>205</v>
      </c>
      <c r="F126" t="s">
        <v>16</v>
      </c>
      <c r="G126" s="1">
        <v>45265</v>
      </c>
      <c r="H126">
        <v>85576.86</v>
      </c>
      <c r="I126" t="s">
        <v>320</v>
      </c>
      <c r="J126">
        <v>-4567972319</v>
      </c>
      <c r="K126" t="s">
        <v>41</v>
      </c>
      <c r="L126" t="b">
        <v>0</v>
      </c>
      <c r="P126" t="str">
        <f>TRIM(Before_Tbl[[#This Row],[Employee_ID]])</f>
        <v>EMP1124</v>
      </c>
      <c r="Q126" t="str">
        <f>TRIM(PROPER(Before_Tbl[[#This Row],[First_Name]]))</f>
        <v>Heidi</v>
      </c>
      <c r="R126" t="str">
        <f>TRIM(PROPER(Before_Tbl[[#This Row],[Last_Name]]))</f>
        <v>Jones</v>
      </c>
      <c r="S126" s="25">
        <f t="shared" si="1"/>
        <v>30</v>
      </c>
      <c r="T126" t="str">
        <f>LEFT(Before_Tbl[[#This Row],[Department_Region]],FIND("-",Before_Tbl[[#This Row],[Department_Region]])-1)</f>
        <v>Admin</v>
      </c>
      <c r="U126" t="str">
        <f>RIGHT(Before_Tbl[[#This Row],[Department_Region]],LEN(Before_Tbl[[#This Row],[Department_Region]])-FIND("-",Before_Tbl[[#This Row],[Department_Region]]))</f>
        <v>Florida</v>
      </c>
      <c r="V126" t="str">
        <f>TRIM(PROPER(Before_Tbl[[#This Row],[Status]]))</f>
        <v>Active</v>
      </c>
      <c r="W126" s="26">
        <v>45265</v>
      </c>
      <c r="X126" s="4">
        <v>85576.86</v>
      </c>
      <c r="Y126" t="str">
        <f>TRIM(LOWER(Before_Tbl[[#This Row],[Email]]))</f>
        <v>heidi.jones@example.com</v>
      </c>
      <c r="Z126" s="2" t="str">
        <f>SUBSTITUTE(Before_Tbl[[#This Row],[Phone]],"-","")</f>
        <v>4567972319</v>
      </c>
      <c r="AA126" t="str">
        <f>TRIM(PROPER(Before_Tbl[[#This Row],[Performance_Score]]))</f>
        <v>Poor</v>
      </c>
      <c r="AB126" s="2" t="str">
        <f>TRIM(UPPER(Before_Tbl[[#This Row],[Remote_Work]]))</f>
        <v>FALSE</v>
      </c>
    </row>
    <row r="127" spans="1:28" x14ac:dyDescent="0.35">
      <c r="A127" t="s">
        <v>321</v>
      </c>
      <c r="B127" t="s">
        <v>13</v>
      </c>
      <c r="C127" t="s">
        <v>43</v>
      </c>
      <c r="D127">
        <v>35</v>
      </c>
      <c r="E127" t="s">
        <v>70</v>
      </c>
      <c r="F127" t="s">
        <v>28</v>
      </c>
      <c r="G127" s="1">
        <v>44203</v>
      </c>
      <c r="H127">
        <v>107438.46</v>
      </c>
      <c r="I127" t="s">
        <v>153</v>
      </c>
      <c r="J127">
        <v>-249685497</v>
      </c>
      <c r="K127" t="s">
        <v>30</v>
      </c>
      <c r="L127" t="b">
        <v>1</v>
      </c>
      <c r="P127" t="str">
        <f>TRIM(Before_Tbl[[#This Row],[Employee_ID]])</f>
        <v>EMP1125</v>
      </c>
      <c r="Q127" t="str">
        <f>TRIM(PROPER(Before_Tbl[[#This Row],[First_Name]]))</f>
        <v>Bob</v>
      </c>
      <c r="R127" t="str">
        <f>TRIM(PROPER(Before_Tbl[[#This Row],[Last_Name]]))</f>
        <v>Garcia</v>
      </c>
      <c r="S127" s="25">
        <f t="shared" si="1"/>
        <v>35</v>
      </c>
      <c r="T127" t="str">
        <f>LEFT(Before_Tbl[[#This Row],[Department_Region]],FIND("-",Before_Tbl[[#This Row],[Department_Region]])-1)</f>
        <v>Finance</v>
      </c>
      <c r="U127" t="str">
        <f>RIGHT(Before_Tbl[[#This Row],[Department_Region]],LEN(Before_Tbl[[#This Row],[Department_Region]])-FIND("-",Before_Tbl[[#This Row],[Department_Region]]))</f>
        <v>California</v>
      </c>
      <c r="V127" t="str">
        <f>TRIM(PROPER(Before_Tbl[[#This Row],[Status]]))</f>
        <v>Pending</v>
      </c>
      <c r="W127" s="26">
        <v>44203</v>
      </c>
      <c r="X127" s="4">
        <v>107438.46</v>
      </c>
      <c r="Y127" t="str">
        <f>TRIM(LOWER(Before_Tbl[[#This Row],[Email]]))</f>
        <v>bob.garcia@example.com</v>
      </c>
      <c r="Z127" s="2" t="str">
        <f>SUBSTITUTE(Before_Tbl[[#This Row],[Phone]],"-","")</f>
        <v>249685497</v>
      </c>
      <c r="AA127" t="str">
        <f>TRIM(PROPER(Before_Tbl[[#This Row],[Performance_Score]]))</f>
        <v>Good</v>
      </c>
      <c r="AB127" s="2" t="str">
        <f>TRIM(UPPER(Before_Tbl[[#This Row],[Remote_Work]]))</f>
        <v>TRUE</v>
      </c>
    </row>
    <row r="128" spans="1:28" x14ac:dyDescent="0.35">
      <c r="A128" t="s">
        <v>322</v>
      </c>
      <c r="B128" t="s">
        <v>32</v>
      </c>
      <c r="C128" t="s">
        <v>55</v>
      </c>
      <c r="E128" t="s">
        <v>219</v>
      </c>
      <c r="F128" t="s">
        <v>33</v>
      </c>
      <c r="G128" s="1">
        <v>45484</v>
      </c>
      <c r="H128">
        <v>60401.68</v>
      </c>
      <c r="I128" t="s">
        <v>323</v>
      </c>
      <c r="J128">
        <v>-2274954507</v>
      </c>
      <c r="K128" t="s">
        <v>18</v>
      </c>
      <c r="L128" t="b">
        <v>0</v>
      </c>
      <c r="P128" t="str">
        <f>TRIM(Before_Tbl[[#This Row],[Employee_ID]])</f>
        <v>EMP1126</v>
      </c>
      <c r="Q128" t="str">
        <f>TRIM(PROPER(Before_Tbl[[#This Row],[First_Name]]))</f>
        <v>Eva</v>
      </c>
      <c r="R128" t="str">
        <f>TRIM(PROPER(Before_Tbl[[#This Row],[Last_Name]]))</f>
        <v>Johnson</v>
      </c>
      <c r="S128" s="25">
        <f t="shared" si="1"/>
        <v>30</v>
      </c>
      <c r="T128" t="str">
        <f>LEFT(Before_Tbl[[#This Row],[Department_Region]],FIND("-",Before_Tbl[[#This Row],[Department_Region]])-1)</f>
        <v>Sales</v>
      </c>
      <c r="U128" t="str">
        <f>RIGHT(Before_Tbl[[#This Row],[Department_Region]],LEN(Before_Tbl[[#This Row],[Department_Region]])-FIND("-",Before_Tbl[[#This Row],[Department_Region]]))</f>
        <v>Nevada</v>
      </c>
      <c r="V128" t="str">
        <f>TRIM(PROPER(Before_Tbl[[#This Row],[Status]]))</f>
        <v>Inactive</v>
      </c>
      <c r="W128" s="26">
        <v>45484</v>
      </c>
      <c r="X128" s="4">
        <v>60401.68</v>
      </c>
      <c r="Y128" t="str">
        <f>TRIM(LOWER(Before_Tbl[[#This Row],[Email]]))</f>
        <v>eva.johnson@example.com</v>
      </c>
      <c r="Z128" s="2" t="str">
        <f>SUBSTITUTE(Before_Tbl[[#This Row],[Phone]],"-","")</f>
        <v>2274954507</v>
      </c>
      <c r="AA128" t="str">
        <f>TRIM(PROPER(Before_Tbl[[#This Row],[Performance_Score]]))</f>
        <v>Average</v>
      </c>
      <c r="AB128" s="2" t="str">
        <f>TRIM(UPPER(Before_Tbl[[#This Row],[Remote_Work]]))</f>
        <v>FALSE</v>
      </c>
    </row>
    <row r="129" spans="1:28" x14ac:dyDescent="0.35">
      <c r="A129" t="s">
        <v>324</v>
      </c>
      <c r="B129" t="s">
        <v>37</v>
      </c>
      <c r="C129" t="s">
        <v>122</v>
      </c>
      <c r="D129">
        <v>35</v>
      </c>
      <c r="E129" t="s">
        <v>98</v>
      </c>
      <c r="F129" t="s">
        <v>33</v>
      </c>
      <c r="G129" t="s">
        <v>325</v>
      </c>
      <c r="H129">
        <v>115299.66</v>
      </c>
      <c r="I129" t="s">
        <v>137</v>
      </c>
      <c r="J129">
        <v>-9203880652</v>
      </c>
      <c r="K129" t="s">
        <v>30</v>
      </c>
      <c r="L129" t="b">
        <v>1</v>
      </c>
      <c r="P129" t="str">
        <f>TRIM(Before_Tbl[[#This Row],[Employee_ID]])</f>
        <v>EMP1127</v>
      </c>
      <c r="Q129" t="str">
        <f>TRIM(PROPER(Before_Tbl[[#This Row],[First_Name]]))</f>
        <v>Frank</v>
      </c>
      <c r="R129" t="str">
        <f>TRIM(PROPER(Before_Tbl[[#This Row],[Last_Name]]))</f>
        <v>Smith</v>
      </c>
      <c r="S129" s="25">
        <f t="shared" si="1"/>
        <v>35</v>
      </c>
      <c r="T129" t="str">
        <f>LEFT(Before_Tbl[[#This Row],[Department_Region]],FIND("-",Before_Tbl[[#This Row],[Department_Region]])-1)</f>
        <v>Sales</v>
      </c>
      <c r="U129" t="str">
        <f>RIGHT(Before_Tbl[[#This Row],[Department_Region]],LEN(Before_Tbl[[#This Row],[Department_Region]])-FIND("-",Before_Tbl[[#This Row],[Department_Region]]))</f>
        <v>Illinois</v>
      </c>
      <c r="V129" t="str">
        <f>TRIM(PROPER(Before_Tbl[[#This Row],[Status]]))</f>
        <v>Inactive</v>
      </c>
      <c r="W129" s="26">
        <v>44763</v>
      </c>
      <c r="X129" s="4">
        <v>115299.66</v>
      </c>
      <c r="Y129" t="str">
        <f>TRIM(LOWER(Before_Tbl[[#This Row],[Email]]))</f>
        <v>frank.smith@example.com</v>
      </c>
      <c r="Z129" s="2" t="str">
        <f>SUBSTITUTE(Before_Tbl[[#This Row],[Phone]],"-","")</f>
        <v>9203880652</v>
      </c>
      <c r="AA129" t="str">
        <f>TRIM(PROPER(Before_Tbl[[#This Row],[Performance_Score]]))</f>
        <v>Good</v>
      </c>
      <c r="AB129" s="2" t="str">
        <f>TRIM(UPPER(Before_Tbl[[#This Row],[Remote_Work]]))</f>
        <v>TRUE</v>
      </c>
    </row>
    <row r="130" spans="1:28" x14ac:dyDescent="0.35">
      <c r="A130" t="s">
        <v>326</v>
      </c>
      <c r="B130" t="s">
        <v>59</v>
      </c>
      <c r="C130" t="s">
        <v>20</v>
      </c>
      <c r="E130" t="s">
        <v>227</v>
      </c>
      <c r="F130" t="s">
        <v>33</v>
      </c>
      <c r="G130" t="s">
        <v>327</v>
      </c>
      <c r="H130">
        <v>72272.34</v>
      </c>
      <c r="I130" t="s">
        <v>225</v>
      </c>
      <c r="J130">
        <v>-3315377958</v>
      </c>
      <c r="K130" t="s">
        <v>18</v>
      </c>
      <c r="L130" t="b">
        <v>0</v>
      </c>
      <c r="P130" t="str">
        <f>TRIM(Before_Tbl[[#This Row],[Employee_ID]])</f>
        <v>EMP1128</v>
      </c>
      <c r="Q130" t="str">
        <f>TRIM(PROPER(Before_Tbl[[#This Row],[First_Name]]))</f>
        <v>David</v>
      </c>
      <c r="R130" t="str">
        <f>TRIM(PROPER(Before_Tbl[[#This Row],[Last_Name]]))</f>
        <v>Brown</v>
      </c>
      <c r="S130" s="25">
        <f t="shared" ref="S130:S193" si="2">IF(ISBLANK(D130),30,D130)</f>
        <v>30</v>
      </c>
      <c r="T130" t="str">
        <f>LEFT(Before_Tbl[[#This Row],[Department_Region]],FIND("-",Before_Tbl[[#This Row],[Department_Region]])-1)</f>
        <v>Finance</v>
      </c>
      <c r="U130" t="str">
        <f>RIGHT(Before_Tbl[[#This Row],[Department_Region]],LEN(Before_Tbl[[#This Row],[Department_Region]])-FIND("-",Before_Tbl[[#This Row],[Department_Region]]))</f>
        <v>New York</v>
      </c>
      <c r="V130" t="str">
        <f>TRIM(PROPER(Before_Tbl[[#This Row],[Status]]))</f>
        <v>Inactive</v>
      </c>
      <c r="W130" s="26">
        <v>43920</v>
      </c>
      <c r="X130" s="4">
        <v>72272.34</v>
      </c>
      <c r="Y130" t="str">
        <f>TRIM(LOWER(Before_Tbl[[#This Row],[Email]]))</f>
        <v>david.brown@example.com</v>
      </c>
      <c r="Z130" s="2" t="str">
        <f>SUBSTITUTE(Before_Tbl[[#This Row],[Phone]],"-","")</f>
        <v>3315377958</v>
      </c>
      <c r="AA130" t="str">
        <f>TRIM(PROPER(Before_Tbl[[#This Row],[Performance_Score]]))</f>
        <v>Average</v>
      </c>
      <c r="AB130" s="2" t="str">
        <f>TRIM(UPPER(Before_Tbl[[#This Row],[Remote_Work]]))</f>
        <v>FALSE</v>
      </c>
    </row>
    <row r="131" spans="1:28" x14ac:dyDescent="0.35">
      <c r="A131" t="s">
        <v>328</v>
      </c>
      <c r="B131" t="s">
        <v>69</v>
      </c>
      <c r="C131" t="s">
        <v>20</v>
      </c>
      <c r="D131">
        <v>40</v>
      </c>
      <c r="E131" t="s">
        <v>329</v>
      </c>
      <c r="F131" t="s">
        <v>16</v>
      </c>
      <c r="G131" s="1">
        <v>44875</v>
      </c>
      <c r="H131">
        <v>117537.71</v>
      </c>
      <c r="I131" t="s">
        <v>201</v>
      </c>
      <c r="J131">
        <v>-9594652169</v>
      </c>
      <c r="K131" t="s">
        <v>23</v>
      </c>
      <c r="L131" t="b">
        <v>0</v>
      </c>
      <c r="P131" t="str">
        <f>TRIM(Before_Tbl[[#This Row],[Employee_ID]])</f>
        <v>EMP1129</v>
      </c>
      <c r="Q131" t="str">
        <f>TRIM(PROPER(Before_Tbl[[#This Row],[First_Name]]))</f>
        <v>Grace</v>
      </c>
      <c r="R131" t="str">
        <f>TRIM(PROPER(Before_Tbl[[#This Row],[Last_Name]]))</f>
        <v>Brown</v>
      </c>
      <c r="S131" s="25">
        <f t="shared" si="2"/>
        <v>40</v>
      </c>
      <c r="T131" t="str">
        <f>LEFT(Before_Tbl[[#This Row],[Department_Region]],FIND("-",Before_Tbl[[#This Row],[Department_Region]])-1)</f>
        <v>DevOps</v>
      </c>
      <c r="U131" t="str">
        <f>RIGHT(Before_Tbl[[#This Row],[Department_Region]],LEN(Before_Tbl[[#This Row],[Department_Region]])-FIND("-",Before_Tbl[[#This Row],[Department_Region]]))</f>
        <v>Nevada</v>
      </c>
      <c r="V131" t="str">
        <f>TRIM(PROPER(Before_Tbl[[#This Row],[Status]]))</f>
        <v>Active</v>
      </c>
      <c r="W131" s="26">
        <v>44875</v>
      </c>
      <c r="X131" s="4">
        <v>117537.71</v>
      </c>
      <c r="Y131" t="str">
        <f>TRIM(LOWER(Before_Tbl[[#This Row],[Email]]))</f>
        <v>grace.brown@example.com</v>
      </c>
      <c r="Z131" s="2" t="str">
        <f>SUBSTITUTE(Before_Tbl[[#This Row],[Phone]],"-","")</f>
        <v>9594652169</v>
      </c>
      <c r="AA131" t="str">
        <f>TRIM(PROPER(Before_Tbl[[#This Row],[Performance_Score]]))</f>
        <v>Excellent</v>
      </c>
      <c r="AB131" s="2" t="str">
        <f>TRIM(UPPER(Before_Tbl[[#This Row],[Remote_Work]]))</f>
        <v>FALSE</v>
      </c>
    </row>
    <row r="132" spans="1:28" x14ac:dyDescent="0.35">
      <c r="A132" t="s">
        <v>330</v>
      </c>
      <c r="B132" t="s">
        <v>37</v>
      </c>
      <c r="C132" t="s">
        <v>20</v>
      </c>
      <c r="D132">
        <v>25</v>
      </c>
      <c r="E132" t="s">
        <v>21</v>
      </c>
      <c r="F132" t="s">
        <v>28</v>
      </c>
      <c r="G132" t="s">
        <v>331</v>
      </c>
      <c r="H132">
        <v>51074.33</v>
      </c>
      <c r="I132" t="s">
        <v>239</v>
      </c>
      <c r="J132">
        <v>-7303379336</v>
      </c>
      <c r="K132" t="s">
        <v>23</v>
      </c>
      <c r="L132" t="b">
        <v>1</v>
      </c>
      <c r="P132" t="str">
        <f>TRIM(Before_Tbl[[#This Row],[Employee_ID]])</f>
        <v>EMP1130</v>
      </c>
      <c r="Q132" t="str">
        <f>TRIM(PROPER(Before_Tbl[[#This Row],[First_Name]]))</f>
        <v>Frank</v>
      </c>
      <c r="R132" t="str">
        <f>TRIM(PROPER(Before_Tbl[[#This Row],[Last_Name]]))</f>
        <v>Brown</v>
      </c>
      <c r="S132" s="25">
        <f t="shared" si="2"/>
        <v>25</v>
      </c>
      <c r="T132" t="str">
        <f>LEFT(Before_Tbl[[#This Row],[Department_Region]],FIND("-",Before_Tbl[[#This Row],[Department_Region]])-1)</f>
        <v>Finance</v>
      </c>
      <c r="U132" t="str">
        <f>RIGHT(Before_Tbl[[#This Row],[Department_Region]],LEN(Before_Tbl[[#This Row],[Department_Region]])-FIND("-",Before_Tbl[[#This Row],[Department_Region]]))</f>
        <v>Texas</v>
      </c>
      <c r="V132" t="str">
        <f>TRIM(PROPER(Before_Tbl[[#This Row],[Status]]))</f>
        <v>Pending</v>
      </c>
      <c r="W132" s="26">
        <v>44766</v>
      </c>
      <c r="X132" s="4">
        <v>51074.33</v>
      </c>
      <c r="Y132" t="str">
        <f>TRIM(LOWER(Before_Tbl[[#This Row],[Email]]))</f>
        <v>frank.brown@example.com</v>
      </c>
      <c r="Z132" s="2" t="str">
        <f>SUBSTITUTE(Before_Tbl[[#This Row],[Phone]],"-","")</f>
        <v>7303379336</v>
      </c>
      <c r="AA132" t="str">
        <f>TRIM(PROPER(Before_Tbl[[#This Row],[Performance_Score]]))</f>
        <v>Excellent</v>
      </c>
      <c r="AB132" s="2" t="str">
        <f>TRIM(UPPER(Before_Tbl[[#This Row],[Remote_Work]]))</f>
        <v>TRUE</v>
      </c>
    </row>
    <row r="133" spans="1:28" x14ac:dyDescent="0.35">
      <c r="A133" t="s">
        <v>332</v>
      </c>
      <c r="B133" t="s">
        <v>54</v>
      </c>
      <c r="C133" t="s">
        <v>26</v>
      </c>
      <c r="D133">
        <v>25</v>
      </c>
      <c r="E133" t="s">
        <v>70</v>
      </c>
      <c r="F133" t="s">
        <v>33</v>
      </c>
      <c r="G133" t="s">
        <v>333</v>
      </c>
      <c r="H133">
        <v>98489.32</v>
      </c>
      <c r="I133" t="s">
        <v>120</v>
      </c>
      <c r="J133">
        <v>-5636205014</v>
      </c>
      <c r="K133" t="s">
        <v>23</v>
      </c>
      <c r="L133" t="b">
        <v>0</v>
      </c>
      <c r="P133" t="str">
        <f>TRIM(Before_Tbl[[#This Row],[Employee_ID]])</f>
        <v>EMP1131</v>
      </c>
      <c r="Q133" t="str">
        <f>TRIM(PROPER(Before_Tbl[[#This Row],[First_Name]]))</f>
        <v>Charlie</v>
      </c>
      <c r="R133" t="str">
        <f>TRIM(PROPER(Before_Tbl[[#This Row],[Last_Name]]))</f>
        <v>Jones</v>
      </c>
      <c r="S133" s="25">
        <f t="shared" si="2"/>
        <v>25</v>
      </c>
      <c r="T133" t="str">
        <f>LEFT(Before_Tbl[[#This Row],[Department_Region]],FIND("-",Before_Tbl[[#This Row],[Department_Region]])-1)</f>
        <v>Finance</v>
      </c>
      <c r="U133" t="str">
        <f>RIGHT(Before_Tbl[[#This Row],[Department_Region]],LEN(Before_Tbl[[#This Row],[Department_Region]])-FIND("-",Before_Tbl[[#This Row],[Department_Region]]))</f>
        <v>California</v>
      </c>
      <c r="V133" t="str">
        <f>TRIM(PROPER(Before_Tbl[[#This Row],[Status]]))</f>
        <v>Inactive</v>
      </c>
      <c r="W133" s="26">
        <v>45107</v>
      </c>
      <c r="X133" s="4">
        <v>98489.32</v>
      </c>
      <c r="Y133" t="str">
        <f>TRIM(LOWER(Before_Tbl[[#This Row],[Email]]))</f>
        <v>charlie.jones@example.com</v>
      </c>
      <c r="Z133" s="2" t="str">
        <f>SUBSTITUTE(Before_Tbl[[#This Row],[Phone]],"-","")</f>
        <v>5636205014</v>
      </c>
      <c r="AA133" t="str">
        <f>TRIM(PROPER(Before_Tbl[[#This Row],[Performance_Score]]))</f>
        <v>Excellent</v>
      </c>
      <c r="AB133" s="2" t="str">
        <f>TRIM(UPPER(Before_Tbl[[#This Row],[Remote_Work]]))</f>
        <v>FALSE</v>
      </c>
    </row>
    <row r="134" spans="1:28" x14ac:dyDescent="0.35">
      <c r="A134" t="s">
        <v>334</v>
      </c>
      <c r="B134" t="s">
        <v>37</v>
      </c>
      <c r="C134" t="s">
        <v>122</v>
      </c>
      <c r="E134" t="s">
        <v>70</v>
      </c>
      <c r="F134" t="s">
        <v>28</v>
      </c>
      <c r="G134" s="1">
        <v>45597</v>
      </c>
      <c r="H134">
        <v>112120.71</v>
      </c>
      <c r="I134" t="s">
        <v>137</v>
      </c>
      <c r="J134">
        <v>-812473949</v>
      </c>
      <c r="K134" t="s">
        <v>41</v>
      </c>
      <c r="L134" t="b">
        <v>1</v>
      </c>
      <c r="P134" t="str">
        <f>TRIM(Before_Tbl[[#This Row],[Employee_ID]])</f>
        <v>EMP1132</v>
      </c>
      <c r="Q134" t="str">
        <f>TRIM(PROPER(Before_Tbl[[#This Row],[First_Name]]))</f>
        <v>Frank</v>
      </c>
      <c r="R134" t="str">
        <f>TRIM(PROPER(Before_Tbl[[#This Row],[Last_Name]]))</f>
        <v>Smith</v>
      </c>
      <c r="S134" s="25">
        <f t="shared" si="2"/>
        <v>30</v>
      </c>
      <c r="T134" t="str">
        <f>LEFT(Before_Tbl[[#This Row],[Department_Region]],FIND("-",Before_Tbl[[#This Row],[Department_Region]])-1)</f>
        <v>Finance</v>
      </c>
      <c r="U134" t="str">
        <f>RIGHT(Before_Tbl[[#This Row],[Department_Region]],LEN(Before_Tbl[[#This Row],[Department_Region]])-FIND("-",Before_Tbl[[#This Row],[Department_Region]]))</f>
        <v>California</v>
      </c>
      <c r="V134" t="str">
        <f>TRIM(PROPER(Before_Tbl[[#This Row],[Status]]))</f>
        <v>Pending</v>
      </c>
      <c r="W134" s="26">
        <v>45597</v>
      </c>
      <c r="X134" s="4">
        <v>112120.71</v>
      </c>
      <c r="Y134" t="str">
        <f>TRIM(LOWER(Before_Tbl[[#This Row],[Email]]))</f>
        <v>frank.smith@example.com</v>
      </c>
      <c r="Z134" s="2" t="str">
        <f>SUBSTITUTE(Before_Tbl[[#This Row],[Phone]],"-","")</f>
        <v>812473949</v>
      </c>
      <c r="AA134" t="str">
        <f>TRIM(PROPER(Before_Tbl[[#This Row],[Performance_Score]]))</f>
        <v>Poor</v>
      </c>
      <c r="AB134" s="2" t="str">
        <f>TRIM(UPPER(Before_Tbl[[#This Row],[Remote_Work]]))</f>
        <v>TRUE</v>
      </c>
    </row>
    <row r="135" spans="1:28" x14ac:dyDescent="0.35">
      <c r="A135" t="s">
        <v>335</v>
      </c>
      <c r="B135" t="s">
        <v>25</v>
      </c>
      <c r="C135" t="s">
        <v>26</v>
      </c>
      <c r="E135" t="s">
        <v>60</v>
      </c>
      <c r="F135" t="s">
        <v>28</v>
      </c>
      <c r="G135" s="1">
        <v>44968</v>
      </c>
      <c r="H135">
        <v>114465.04</v>
      </c>
      <c r="I135" t="s">
        <v>29</v>
      </c>
      <c r="J135">
        <v>-334234257</v>
      </c>
      <c r="K135" t="s">
        <v>30</v>
      </c>
      <c r="L135" t="b">
        <v>0</v>
      </c>
      <c r="P135" t="str">
        <f>TRIM(Before_Tbl[[#This Row],[Employee_ID]])</f>
        <v>EMP1133</v>
      </c>
      <c r="Q135" t="str">
        <f>TRIM(PROPER(Before_Tbl[[#This Row],[First_Name]]))</f>
        <v>Alice</v>
      </c>
      <c r="R135" t="str">
        <f>TRIM(PROPER(Before_Tbl[[#This Row],[Last_Name]]))</f>
        <v>Jones</v>
      </c>
      <c r="S135" s="25">
        <f t="shared" si="2"/>
        <v>30</v>
      </c>
      <c r="T135" t="str">
        <f>LEFT(Before_Tbl[[#This Row],[Department_Region]],FIND("-",Before_Tbl[[#This Row],[Department_Region]])-1)</f>
        <v>Cloud Tech</v>
      </c>
      <c r="U135" t="str">
        <f>RIGHT(Before_Tbl[[#This Row],[Department_Region]],LEN(Before_Tbl[[#This Row],[Department_Region]])-FIND("-",Before_Tbl[[#This Row],[Department_Region]]))</f>
        <v>New York</v>
      </c>
      <c r="V135" t="str">
        <f>TRIM(PROPER(Before_Tbl[[#This Row],[Status]]))</f>
        <v>Pending</v>
      </c>
      <c r="W135" s="26">
        <v>44968</v>
      </c>
      <c r="X135" s="4">
        <v>114465.04</v>
      </c>
      <c r="Y135" t="str">
        <f>TRIM(LOWER(Before_Tbl[[#This Row],[Email]]))</f>
        <v>alice.jones@example.com</v>
      </c>
      <c r="Z135" s="2" t="str">
        <f>SUBSTITUTE(Before_Tbl[[#This Row],[Phone]],"-","")</f>
        <v>334234257</v>
      </c>
      <c r="AA135" t="str">
        <f>TRIM(PROPER(Before_Tbl[[#This Row],[Performance_Score]]))</f>
        <v>Good</v>
      </c>
      <c r="AB135" s="2" t="str">
        <f>TRIM(UPPER(Before_Tbl[[#This Row],[Remote_Work]]))</f>
        <v>FALSE</v>
      </c>
    </row>
    <row r="136" spans="1:28" x14ac:dyDescent="0.35">
      <c r="A136" t="s">
        <v>336</v>
      </c>
      <c r="B136" t="s">
        <v>13</v>
      </c>
      <c r="C136" t="s">
        <v>14</v>
      </c>
      <c r="D136">
        <v>40</v>
      </c>
      <c r="E136" t="s">
        <v>85</v>
      </c>
      <c r="F136" t="s">
        <v>28</v>
      </c>
      <c r="G136" t="s">
        <v>337</v>
      </c>
      <c r="H136">
        <v>57035.51</v>
      </c>
      <c r="I136" t="s">
        <v>17</v>
      </c>
      <c r="J136">
        <v>-3230241025</v>
      </c>
      <c r="K136" t="s">
        <v>41</v>
      </c>
      <c r="L136" t="b">
        <v>1</v>
      </c>
      <c r="P136" t="str">
        <f>TRIM(Before_Tbl[[#This Row],[Employee_ID]])</f>
        <v>EMP1134</v>
      </c>
      <c r="Q136" t="str">
        <f>TRIM(PROPER(Before_Tbl[[#This Row],[First_Name]]))</f>
        <v>Bob</v>
      </c>
      <c r="R136" t="str">
        <f>TRIM(PROPER(Before_Tbl[[#This Row],[Last_Name]]))</f>
        <v>Davis</v>
      </c>
      <c r="S136" s="25">
        <f t="shared" si="2"/>
        <v>40</v>
      </c>
      <c r="T136" t="str">
        <f>LEFT(Before_Tbl[[#This Row],[Department_Region]],FIND("-",Before_Tbl[[#This Row],[Department_Region]])-1)</f>
        <v>Cloud Tech</v>
      </c>
      <c r="U136" t="str">
        <f>RIGHT(Before_Tbl[[#This Row],[Department_Region]],LEN(Before_Tbl[[#This Row],[Department_Region]])-FIND("-",Before_Tbl[[#This Row],[Department_Region]]))</f>
        <v>Nevada</v>
      </c>
      <c r="V136" t="str">
        <f>TRIM(PROPER(Before_Tbl[[#This Row],[Status]]))</f>
        <v>Pending</v>
      </c>
      <c r="W136" s="26">
        <v>45618</v>
      </c>
      <c r="X136" s="4">
        <v>57035.51</v>
      </c>
      <c r="Y136" t="str">
        <f>TRIM(LOWER(Before_Tbl[[#This Row],[Email]]))</f>
        <v>bob.davis@example.com</v>
      </c>
      <c r="Z136" s="2" t="str">
        <f>SUBSTITUTE(Before_Tbl[[#This Row],[Phone]],"-","")</f>
        <v>3230241025</v>
      </c>
      <c r="AA136" t="str">
        <f>TRIM(PROPER(Before_Tbl[[#This Row],[Performance_Score]]))</f>
        <v>Poor</v>
      </c>
      <c r="AB136" s="2" t="str">
        <f>TRIM(UPPER(Before_Tbl[[#This Row],[Remote_Work]]))</f>
        <v>TRUE</v>
      </c>
    </row>
    <row r="137" spans="1:28" x14ac:dyDescent="0.35">
      <c r="A137" t="s">
        <v>338</v>
      </c>
      <c r="B137" t="s">
        <v>32</v>
      </c>
      <c r="C137" t="s">
        <v>26</v>
      </c>
      <c r="D137">
        <v>25</v>
      </c>
      <c r="E137" t="s">
        <v>268</v>
      </c>
      <c r="F137" t="s">
        <v>16</v>
      </c>
      <c r="G137" t="s">
        <v>339</v>
      </c>
      <c r="H137">
        <v>75092.429999999993</v>
      </c>
      <c r="I137" t="s">
        <v>278</v>
      </c>
      <c r="J137">
        <v>-1534735527</v>
      </c>
      <c r="K137" t="s">
        <v>23</v>
      </c>
      <c r="L137" t="b">
        <v>1</v>
      </c>
      <c r="P137" t="str">
        <f>TRIM(Before_Tbl[[#This Row],[Employee_ID]])</f>
        <v>EMP1135</v>
      </c>
      <c r="Q137" t="str">
        <f>TRIM(PROPER(Before_Tbl[[#This Row],[First_Name]]))</f>
        <v>Eva</v>
      </c>
      <c r="R137" t="str">
        <f>TRIM(PROPER(Before_Tbl[[#This Row],[Last_Name]]))</f>
        <v>Jones</v>
      </c>
      <c r="S137" s="25">
        <f t="shared" si="2"/>
        <v>25</v>
      </c>
      <c r="T137" t="str">
        <f>LEFT(Before_Tbl[[#This Row],[Department_Region]],FIND("-",Before_Tbl[[#This Row],[Department_Region]])-1)</f>
        <v>Cloud Tech</v>
      </c>
      <c r="U137" t="str">
        <f>RIGHT(Before_Tbl[[#This Row],[Department_Region]],LEN(Before_Tbl[[#This Row],[Department_Region]])-FIND("-",Before_Tbl[[#This Row],[Department_Region]]))</f>
        <v>California</v>
      </c>
      <c r="V137" t="str">
        <f>TRIM(PROPER(Before_Tbl[[#This Row],[Status]]))</f>
        <v>Active</v>
      </c>
      <c r="W137" s="26">
        <v>44431</v>
      </c>
      <c r="X137" s="4">
        <v>75092.429999999993</v>
      </c>
      <c r="Y137" t="str">
        <f>TRIM(LOWER(Before_Tbl[[#This Row],[Email]]))</f>
        <v>eva.jones@example.com</v>
      </c>
      <c r="Z137" s="2" t="str">
        <f>SUBSTITUTE(Before_Tbl[[#This Row],[Phone]],"-","")</f>
        <v>1534735527</v>
      </c>
      <c r="AA137" t="str">
        <f>TRIM(PROPER(Before_Tbl[[#This Row],[Performance_Score]]))</f>
        <v>Excellent</v>
      </c>
      <c r="AB137" s="2" t="str">
        <f>TRIM(UPPER(Before_Tbl[[#This Row],[Remote_Work]]))</f>
        <v>TRUE</v>
      </c>
    </row>
    <row r="138" spans="1:28" x14ac:dyDescent="0.35">
      <c r="A138" t="s">
        <v>340</v>
      </c>
      <c r="B138" t="s">
        <v>59</v>
      </c>
      <c r="C138" t="s">
        <v>122</v>
      </c>
      <c r="E138" t="s">
        <v>265</v>
      </c>
      <c r="F138" t="s">
        <v>28</v>
      </c>
      <c r="G138" s="1">
        <v>45602</v>
      </c>
      <c r="H138">
        <v>62603.98</v>
      </c>
      <c r="I138" t="s">
        <v>341</v>
      </c>
      <c r="J138">
        <v>-9611223385</v>
      </c>
      <c r="K138" t="s">
        <v>30</v>
      </c>
      <c r="L138" t="b">
        <v>0</v>
      </c>
      <c r="P138" t="str">
        <f>TRIM(Before_Tbl[[#This Row],[Employee_ID]])</f>
        <v>EMP1136</v>
      </c>
      <c r="Q138" t="str">
        <f>TRIM(PROPER(Before_Tbl[[#This Row],[First_Name]]))</f>
        <v>David</v>
      </c>
      <c r="R138" t="str">
        <f>TRIM(PROPER(Before_Tbl[[#This Row],[Last_Name]]))</f>
        <v>Smith</v>
      </c>
      <c r="S138" s="25">
        <f t="shared" si="2"/>
        <v>30</v>
      </c>
      <c r="T138" t="str">
        <f>LEFT(Before_Tbl[[#This Row],[Department_Region]],FIND("-",Before_Tbl[[#This Row],[Department_Region]])-1)</f>
        <v>Finance</v>
      </c>
      <c r="U138" t="str">
        <f>RIGHT(Before_Tbl[[#This Row],[Department_Region]],LEN(Before_Tbl[[#This Row],[Department_Region]])-FIND("-",Before_Tbl[[#This Row],[Department_Region]]))</f>
        <v>Illinois</v>
      </c>
      <c r="V138" t="str">
        <f>TRIM(PROPER(Before_Tbl[[#This Row],[Status]]))</f>
        <v>Pending</v>
      </c>
      <c r="W138" s="26">
        <v>45602</v>
      </c>
      <c r="X138" s="4">
        <v>62603.98</v>
      </c>
      <c r="Y138" t="str">
        <f>TRIM(LOWER(Before_Tbl[[#This Row],[Email]]))</f>
        <v>david.smith@example.com</v>
      </c>
      <c r="Z138" s="2" t="str">
        <f>SUBSTITUTE(Before_Tbl[[#This Row],[Phone]],"-","")</f>
        <v>9611223385</v>
      </c>
      <c r="AA138" t="str">
        <f>TRIM(PROPER(Before_Tbl[[#This Row],[Performance_Score]]))</f>
        <v>Good</v>
      </c>
      <c r="AB138" s="2" t="str">
        <f>TRIM(UPPER(Before_Tbl[[#This Row],[Remote_Work]]))</f>
        <v>FALSE</v>
      </c>
    </row>
    <row r="139" spans="1:28" x14ac:dyDescent="0.35">
      <c r="A139" t="s">
        <v>342</v>
      </c>
      <c r="B139" t="s">
        <v>69</v>
      </c>
      <c r="C139" t="s">
        <v>122</v>
      </c>
      <c r="E139" t="s">
        <v>56</v>
      </c>
      <c r="F139" t="s">
        <v>33</v>
      </c>
      <c r="G139" s="1">
        <v>45173</v>
      </c>
      <c r="H139">
        <v>60018.239999999998</v>
      </c>
      <c r="I139" t="s">
        <v>135</v>
      </c>
      <c r="J139">
        <v>-5596309937</v>
      </c>
      <c r="K139" t="s">
        <v>23</v>
      </c>
      <c r="L139" t="b">
        <v>0</v>
      </c>
      <c r="P139" t="str">
        <f>TRIM(Before_Tbl[[#This Row],[Employee_ID]])</f>
        <v>EMP1137</v>
      </c>
      <c r="Q139" t="str">
        <f>TRIM(PROPER(Before_Tbl[[#This Row],[First_Name]]))</f>
        <v>Grace</v>
      </c>
      <c r="R139" t="str">
        <f>TRIM(PROPER(Before_Tbl[[#This Row],[Last_Name]]))</f>
        <v>Smith</v>
      </c>
      <c r="S139" s="25">
        <f t="shared" si="2"/>
        <v>30</v>
      </c>
      <c r="T139" t="str">
        <f>LEFT(Before_Tbl[[#This Row],[Department_Region]],FIND("-",Before_Tbl[[#This Row],[Department_Region]])-1)</f>
        <v>DevOps</v>
      </c>
      <c r="U139" t="str">
        <f>RIGHT(Before_Tbl[[#This Row],[Department_Region]],LEN(Before_Tbl[[#This Row],[Department_Region]])-FIND("-",Before_Tbl[[#This Row],[Department_Region]]))</f>
        <v>New York</v>
      </c>
      <c r="V139" t="str">
        <f>TRIM(PROPER(Before_Tbl[[#This Row],[Status]]))</f>
        <v>Inactive</v>
      </c>
      <c r="W139" s="26">
        <v>45173</v>
      </c>
      <c r="X139" s="4">
        <v>60018.239999999998</v>
      </c>
      <c r="Y139" t="str">
        <f>TRIM(LOWER(Before_Tbl[[#This Row],[Email]]))</f>
        <v>grace.smith@example.com</v>
      </c>
      <c r="Z139" s="2" t="str">
        <f>SUBSTITUTE(Before_Tbl[[#This Row],[Phone]],"-","")</f>
        <v>5596309937</v>
      </c>
      <c r="AA139" t="str">
        <f>TRIM(PROPER(Before_Tbl[[#This Row],[Performance_Score]]))</f>
        <v>Excellent</v>
      </c>
      <c r="AB139" s="2" t="str">
        <f>TRIM(UPPER(Before_Tbl[[#This Row],[Remote_Work]]))</f>
        <v>FALSE</v>
      </c>
    </row>
    <row r="140" spans="1:28" x14ac:dyDescent="0.35">
      <c r="A140" t="s">
        <v>343</v>
      </c>
      <c r="B140" t="s">
        <v>32</v>
      </c>
      <c r="C140" t="s">
        <v>14</v>
      </c>
      <c r="D140">
        <v>40</v>
      </c>
      <c r="E140" t="s">
        <v>149</v>
      </c>
      <c r="F140" t="s">
        <v>16</v>
      </c>
      <c r="G140" s="1">
        <v>45419</v>
      </c>
      <c r="H140">
        <v>82567.73</v>
      </c>
      <c r="I140" t="s">
        <v>35</v>
      </c>
      <c r="J140">
        <v>-4253042896</v>
      </c>
      <c r="K140" t="s">
        <v>41</v>
      </c>
      <c r="L140" t="b">
        <v>1</v>
      </c>
      <c r="P140" t="str">
        <f>TRIM(Before_Tbl[[#This Row],[Employee_ID]])</f>
        <v>EMP1138</v>
      </c>
      <c r="Q140" t="str">
        <f>TRIM(PROPER(Before_Tbl[[#This Row],[First_Name]]))</f>
        <v>Eva</v>
      </c>
      <c r="R140" t="str">
        <f>TRIM(PROPER(Before_Tbl[[#This Row],[Last_Name]]))</f>
        <v>Davis</v>
      </c>
      <c r="S140" s="25">
        <f t="shared" si="2"/>
        <v>40</v>
      </c>
      <c r="T140" t="str">
        <f>LEFT(Before_Tbl[[#This Row],[Department_Region]],FIND("-",Before_Tbl[[#This Row],[Department_Region]])-1)</f>
        <v>HR</v>
      </c>
      <c r="U140" t="str">
        <f>RIGHT(Before_Tbl[[#This Row],[Department_Region]],LEN(Before_Tbl[[#This Row],[Department_Region]])-FIND("-",Before_Tbl[[#This Row],[Department_Region]]))</f>
        <v>Nevada</v>
      </c>
      <c r="V140" t="str">
        <f>TRIM(PROPER(Before_Tbl[[#This Row],[Status]]))</f>
        <v>Active</v>
      </c>
      <c r="W140" s="26">
        <v>45419</v>
      </c>
      <c r="X140" s="4">
        <v>82567.73</v>
      </c>
      <c r="Y140" t="str">
        <f>TRIM(LOWER(Before_Tbl[[#This Row],[Email]]))</f>
        <v>eva.davis@example.com</v>
      </c>
      <c r="Z140" s="2" t="str">
        <f>SUBSTITUTE(Before_Tbl[[#This Row],[Phone]],"-","")</f>
        <v>4253042896</v>
      </c>
      <c r="AA140" t="str">
        <f>TRIM(PROPER(Before_Tbl[[#This Row],[Performance_Score]]))</f>
        <v>Poor</v>
      </c>
      <c r="AB140" s="2" t="str">
        <f>TRIM(UPPER(Before_Tbl[[#This Row],[Remote_Work]]))</f>
        <v>TRUE</v>
      </c>
    </row>
    <row r="141" spans="1:28" x14ac:dyDescent="0.35">
      <c r="A141" t="s">
        <v>344</v>
      </c>
      <c r="B141" t="s">
        <v>54</v>
      </c>
      <c r="C141" t="s">
        <v>122</v>
      </c>
      <c r="D141">
        <v>25</v>
      </c>
      <c r="E141" t="s">
        <v>70</v>
      </c>
      <c r="F141" t="s">
        <v>28</v>
      </c>
      <c r="G141" s="1">
        <v>44295</v>
      </c>
      <c r="H141">
        <v>94725.71</v>
      </c>
      <c r="I141" t="s">
        <v>194</v>
      </c>
      <c r="J141">
        <v>-3179128684</v>
      </c>
      <c r="K141" t="s">
        <v>41</v>
      </c>
      <c r="L141" t="b">
        <v>0</v>
      </c>
      <c r="P141" t="str">
        <f>TRIM(Before_Tbl[[#This Row],[Employee_ID]])</f>
        <v>EMP1139</v>
      </c>
      <c r="Q141" t="str">
        <f>TRIM(PROPER(Before_Tbl[[#This Row],[First_Name]]))</f>
        <v>Charlie</v>
      </c>
      <c r="R141" t="str">
        <f>TRIM(PROPER(Before_Tbl[[#This Row],[Last_Name]]))</f>
        <v>Smith</v>
      </c>
      <c r="S141" s="25">
        <f t="shared" si="2"/>
        <v>25</v>
      </c>
      <c r="T141" t="str">
        <f>LEFT(Before_Tbl[[#This Row],[Department_Region]],FIND("-",Before_Tbl[[#This Row],[Department_Region]])-1)</f>
        <v>Finance</v>
      </c>
      <c r="U141" t="str">
        <f>RIGHT(Before_Tbl[[#This Row],[Department_Region]],LEN(Before_Tbl[[#This Row],[Department_Region]])-FIND("-",Before_Tbl[[#This Row],[Department_Region]]))</f>
        <v>California</v>
      </c>
      <c r="V141" t="str">
        <f>TRIM(PROPER(Before_Tbl[[#This Row],[Status]]))</f>
        <v>Pending</v>
      </c>
      <c r="W141" s="26">
        <v>44295</v>
      </c>
      <c r="X141" s="4">
        <v>94725.71</v>
      </c>
      <c r="Y141" t="str">
        <f>TRIM(LOWER(Before_Tbl[[#This Row],[Email]]))</f>
        <v>charlie.smith@example.com</v>
      </c>
      <c r="Z141" s="2" t="str">
        <f>SUBSTITUTE(Before_Tbl[[#This Row],[Phone]],"-","")</f>
        <v>3179128684</v>
      </c>
      <c r="AA141" t="str">
        <f>TRIM(PROPER(Before_Tbl[[#This Row],[Performance_Score]]))</f>
        <v>Poor</v>
      </c>
      <c r="AB141" s="2" t="str">
        <f>TRIM(UPPER(Before_Tbl[[#This Row],[Remote_Work]]))</f>
        <v>FALSE</v>
      </c>
    </row>
    <row r="142" spans="1:28" x14ac:dyDescent="0.35">
      <c r="A142" t="s">
        <v>345</v>
      </c>
      <c r="B142" t="s">
        <v>32</v>
      </c>
      <c r="C142" t="s">
        <v>43</v>
      </c>
      <c r="D142">
        <v>40</v>
      </c>
      <c r="E142" t="s">
        <v>66</v>
      </c>
      <c r="F142" t="s">
        <v>33</v>
      </c>
      <c r="G142" t="s">
        <v>222</v>
      </c>
      <c r="H142">
        <v>83824.56</v>
      </c>
      <c r="I142" t="s">
        <v>297</v>
      </c>
      <c r="J142">
        <v>-7872558776</v>
      </c>
      <c r="K142" t="s">
        <v>41</v>
      </c>
      <c r="L142" t="b">
        <v>0</v>
      </c>
      <c r="P142" t="str">
        <f>TRIM(Before_Tbl[[#This Row],[Employee_ID]])</f>
        <v>EMP1140</v>
      </c>
      <c r="Q142" t="str">
        <f>TRIM(PROPER(Before_Tbl[[#This Row],[First_Name]]))</f>
        <v>Eva</v>
      </c>
      <c r="R142" t="str">
        <f>TRIM(PROPER(Before_Tbl[[#This Row],[Last_Name]]))</f>
        <v>Garcia</v>
      </c>
      <c r="S142" s="25">
        <f t="shared" si="2"/>
        <v>40</v>
      </c>
      <c r="T142" t="str">
        <f>LEFT(Before_Tbl[[#This Row],[Department_Region]],FIND("-",Before_Tbl[[#This Row],[Department_Region]])-1)</f>
        <v>HR</v>
      </c>
      <c r="U142" t="str">
        <f>RIGHT(Before_Tbl[[#This Row],[Department_Region]],LEN(Before_Tbl[[#This Row],[Department_Region]])-FIND("-",Before_Tbl[[#This Row],[Department_Region]]))</f>
        <v>New York</v>
      </c>
      <c r="V142" t="str">
        <f>TRIM(PROPER(Before_Tbl[[#This Row],[Status]]))</f>
        <v>Inactive</v>
      </c>
      <c r="W142" s="26">
        <v>45578</v>
      </c>
      <c r="X142" s="4">
        <v>83824.56</v>
      </c>
      <c r="Y142" t="str">
        <f>TRIM(LOWER(Before_Tbl[[#This Row],[Email]]))</f>
        <v>eva.garcia@example.com</v>
      </c>
      <c r="Z142" s="2" t="str">
        <f>SUBSTITUTE(Before_Tbl[[#This Row],[Phone]],"-","")</f>
        <v>7872558776</v>
      </c>
      <c r="AA142" t="str">
        <f>TRIM(PROPER(Before_Tbl[[#This Row],[Performance_Score]]))</f>
        <v>Poor</v>
      </c>
      <c r="AB142" s="2" t="str">
        <f>TRIM(UPPER(Before_Tbl[[#This Row],[Remote_Work]]))</f>
        <v>FALSE</v>
      </c>
    </row>
    <row r="143" spans="1:28" x14ac:dyDescent="0.35">
      <c r="A143" t="s">
        <v>346</v>
      </c>
      <c r="B143" t="s">
        <v>37</v>
      </c>
      <c r="C143" t="s">
        <v>122</v>
      </c>
      <c r="E143" t="s">
        <v>149</v>
      </c>
      <c r="F143" t="s">
        <v>33</v>
      </c>
      <c r="G143" t="s">
        <v>347</v>
      </c>
      <c r="H143">
        <v>118456.11</v>
      </c>
      <c r="I143" t="s">
        <v>137</v>
      </c>
      <c r="J143">
        <v>-4969033372</v>
      </c>
      <c r="K143" t="s">
        <v>23</v>
      </c>
      <c r="L143" t="b">
        <v>1</v>
      </c>
      <c r="P143" t="str">
        <f>TRIM(Before_Tbl[[#This Row],[Employee_ID]])</f>
        <v>EMP1141</v>
      </c>
      <c r="Q143" t="str">
        <f>TRIM(PROPER(Before_Tbl[[#This Row],[First_Name]]))</f>
        <v>Frank</v>
      </c>
      <c r="R143" t="str">
        <f>TRIM(PROPER(Before_Tbl[[#This Row],[Last_Name]]))</f>
        <v>Smith</v>
      </c>
      <c r="S143" s="25">
        <f t="shared" si="2"/>
        <v>30</v>
      </c>
      <c r="T143" t="str">
        <f>LEFT(Before_Tbl[[#This Row],[Department_Region]],FIND("-",Before_Tbl[[#This Row],[Department_Region]])-1)</f>
        <v>HR</v>
      </c>
      <c r="U143" t="str">
        <f>RIGHT(Before_Tbl[[#This Row],[Department_Region]],LEN(Before_Tbl[[#This Row],[Department_Region]])-FIND("-",Before_Tbl[[#This Row],[Department_Region]]))</f>
        <v>Nevada</v>
      </c>
      <c r="V143" t="str">
        <f>TRIM(PROPER(Before_Tbl[[#This Row],[Status]]))</f>
        <v>Inactive</v>
      </c>
      <c r="W143" s="26">
        <v>43875</v>
      </c>
      <c r="X143" s="4">
        <v>118456.11</v>
      </c>
      <c r="Y143" t="str">
        <f>TRIM(LOWER(Before_Tbl[[#This Row],[Email]]))</f>
        <v>frank.smith@example.com</v>
      </c>
      <c r="Z143" s="2" t="str">
        <f>SUBSTITUTE(Before_Tbl[[#This Row],[Phone]],"-","")</f>
        <v>4969033372</v>
      </c>
      <c r="AA143" t="str">
        <f>TRIM(PROPER(Before_Tbl[[#This Row],[Performance_Score]]))</f>
        <v>Excellent</v>
      </c>
      <c r="AB143" s="2" t="str">
        <f>TRIM(UPPER(Before_Tbl[[#This Row],[Remote_Work]]))</f>
        <v>TRUE</v>
      </c>
    </row>
    <row r="144" spans="1:28" x14ac:dyDescent="0.35">
      <c r="A144" t="s">
        <v>348</v>
      </c>
      <c r="B144" t="s">
        <v>32</v>
      </c>
      <c r="C144" t="s">
        <v>20</v>
      </c>
      <c r="D144">
        <v>25</v>
      </c>
      <c r="E144" t="s">
        <v>219</v>
      </c>
      <c r="F144" t="s">
        <v>28</v>
      </c>
      <c r="G144" s="1">
        <v>44108</v>
      </c>
      <c r="H144">
        <v>113743.19</v>
      </c>
      <c r="I144" t="s">
        <v>155</v>
      </c>
      <c r="J144">
        <v>-6346692547</v>
      </c>
      <c r="K144" t="s">
        <v>30</v>
      </c>
      <c r="L144" t="b">
        <v>1</v>
      </c>
      <c r="P144" t="str">
        <f>TRIM(Before_Tbl[[#This Row],[Employee_ID]])</f>
        <v>EMP1142</v>
      </c>
      <c r="Q144" t="str">
        <f>TRIM(PROPER(Before_Tbl[[#This Row],[First_Name]]))</f>
        <v>Eva</v>
      </c>
      <c r="R144" t="str">
        <f>TRIM(PROPER(Before_Tbl[[#This Row],[Last_Name]]))</f>
        <v>Brown</v>
      </c>
      <c r="S144" s="25">
        <f t="shared" si="2"/>
        <v>25</v>
      </c>
      <c r="T144" t="str">
        <f>LEFT(Before_Tbl[[#This Row],[Department_Region]],FIND("-",Before_Tbl[[#This Row],[Department_Region]])-1)</f>
        <v>Sales</v>
      </c>
      <c r="U144" t="str">
        <f>RIGHT(Before_Tbl[[#This Row],[Department_Region]],LEN(Before_Tbl[[#This Row],[Department_Region]])-FIND("-",Before_Tbl[[#This Row],[Department_Region]]))</f>
        <v>Nevada</v>
      </c>
      <c r="V144" t="str">
        <f>TRIM(PROPER(Before_Tbl[[#This Row],[Status]]))</f>
        <v>Pending</v>
      </c>
      <c r="W144" s="26">
        <v>44108</v>
      </c>
      <c r="X144" s="4">
        <v>113743.19</v>
      </c>
      <c r="Y144" t="str">
        <f>TRIM(LOWER(Before_Tbl[[#This Row],[Email]]))</f>
        <v>eva.brown@example.com</v>
      </c>
      <c r="Z144" s="2" t="str">
        <f>SUBSTITUTE(Before_Tbl[[#This Row],[Phone]],"-","")</f>
        <v>6346692547</v>
      </c>
      <c r="AA144" t="str">
        <f>TRIM(PROPER(Before_Tbl[[#This Row],[Performance_Score]]))</f>
        <v>Good</v>
      </c>
      <c r="AB144" s="2" t="str">
        <f>TRIM(UPPER(Before_Tbl[[#This Row],[Remote_Work]]))</f>
        <v>TRUE</v>
      </c>
    </row>
    <row r="145" spans="1:28" x14ac:dyDescent="0.35">
      <c r="A145" t="s">
        <v>349</v>
      </c>
      <c r="B145" t="s">
        <v>32</v>
      </c>
      <c r="C145" t="s">
        <v>43</v>
      </c>
      <c r="D145">
        <v>30</v>
      </c>
      <c r="E145" t="s">
        <v>177</v>
      </c>
      <c r="F145" t="s">
        <v>16</v>
      </c>
      <c r="G145" t="s">
        <v>350</v>
      </c>
      <c r="H145">
        <v>63309.24</v>
      </c>
      <c r="I145" t="s">
        <v>297</v>
      </c>
      <c r="J145">
        <v>-1214785389</v>
      </c>
      <c r="K145" t="s">
        <v>30</v>
      </c>
      <c r="L145" t="b">
        <v>0</v>
      </c>
      <c r="P145" t="str">
        <f>TRIM(Before_Tbl[[#This Row],[Employee_ID]])</f>
        <v>EMP1143</v>
      </c>
      <c r="Q145" t="str">
        <f>TRIM(PROPER(Before_Tbl[[#This Row],[First_Name]]))</f>
        <v>Eva</v>
      </c>
      <c r="R145" t="str">
        <f>TRIM(PROPER(Before_Tbl[[#This Row],[Last_Name]]))</f>
        <v>Garcia</v>
      </c>
      <c r="S145" s="25">
        <f t="shared" si="2"/>
        <v>30</v>
      </c>
      <c r="T145" t="str">
        <f>LEFT(Before_Tbl[[#This Row],[Department_Region]],FIND("-",Before_Tbl[[#This Row],[Department_Region]])-1)</f>
        <v>Sales</v>
      </c>
      <c r="U145" t="str">
        <f>RIGHT(Before_Tbl[[#This Row],[Department_Region]],LEN(Before_Tbl[[#This Row],[Department_Region]])-FIND("-",Before_Tbl[[#This Row],[Department_Region]]))</f>
        <v>California</v>
      </c>
      <c r="V145" t="str">
        <f>TRIM(PROPER(Before_Tbl[[#This Row],[Status]]))</f>
        <v>Active</v>
      </c>
      <c r="W145" s="26">
        <v>45134</v>
      </c>
      <c r="X145" s="4">
        <v>63309.24</v>
      </c>
      <c r="Y145" t="str">
        <f>TRIM(LOWER(Before_Tbl[[#This Row],[Email]]))</f>
        <v>eva.garcia@example.com</v>
      </c>
      <c r="Z145" s="2" t="str">
        <f>SUBSTITUTE(Before_Tbl[[#This Row],[Phone]],"-","")</f>
        <v>1214785389</v>
      </c>
      <c r="AA145" t="str">
        <f>TRIM(PROPER(Before_Tbl[[#This Row],[Performance_Score]]))</f>
        <v>Good</v>
      </c>
      <c r="AB145" s="2" t="str">
        <f>TRIM(UPPER(Before_Tbl[[#This Row],[Remote_Work]]))</f>
        <v>FALSE</v>
      </c>
    </row>
    <row r="146" spans="1:28" x14ac:dyDescent="0.35">
      <c r="A146" t="s">
        <v>351</v>
      </c>
      <c r="B146" t="s">
        <v>54</v>
      </c>
      <c r="C146" t="s">
        <v>43</v>
      </c>
      <c r="D146">
        <v>25</v>
      </c>
      <c r="E146" t="s">
        <v>329</v>
      </c>
      <c r="F146" t="s">
        <v>16</v>
      </c>
      <c r="G146" t="s">
        <v>352</v>
      </c>
      <c r="H146">
        <v>105202.73</v>
      </c>
      <c r="I146" t="s">
        <v>87</v>
      </c>
      <c r="J146">
        <v>-7895677664</v>
      </c>
      <c r="K146" t="s">
        <v>23</v>
      </c>
      <c r="L146" t="b">
        <v>1</v>
      </c>
      <c r="P146" t="str">
        <f>TRIM(Before_Tbl[[#This Row],[Employee_ID]])</f>
        <v>EMP1144</v>
      </c>
      <c r="Q146" t="str">
        <f>TRIM(PROPER(Before_Tbl[[#This Row],[First_Name]]))</f>
        <v>Charlie</v>
      </c>
      <c r="R146" t="str">
        <f>TRIM(PROPER(Before_Tbl[[#This Row],[Last_Name]]))</f>
        <v>Garcia</v>
      </c>
      <c r="S146" s="25">
        <f t="shared" si="2"/>
        <v>25</v>
      </c>
      <c r="T146" t="str">
        <f>LEFT(Before_Tbl[[#This Row],[Department_Region]],FIND("-",Before_Tbl[[#This Row],[Department_Region]])-1)</f>
        <v>DevOps</v>
      </c>
      <c r="U146" t="str">
        <f>RIGHT(Before_Tbl[[#This Row],[Department_Region]],LEN(Before_Tbl[[#This Row],[Department_Region]])-FIND("-",Before_Tbl[[#This Row],[Department_Region]]))</f>
        <v>Nevada</v>
      </c>
      <c r="V146" t="str">
        <f>TRIM(PROPER(Before_Tbl[[#This Row],[Status]]))</f>
        <v>Active</v>
      </c>
      <c r="W146" s="26">
        <v>44463</v>
      </c>
      <c r="X146" s="4">
        <v>105202.73</v>
      </c>
      <c r="Y146" t="str">
        <f>TRIM(LOWER(Before_Tbl[[#This Row],[Email]]))</f>
        <v>charlie.garcia@example.com</v>
      </c>
      <c r="Z146" s="2" t="str">
        <f>SUBSTITUTE(Before_Tbl[[#This Row],[Phone]],"-","")</f>
        <v>7895677664</v>
      </c>
      <c r="AA146" t="str">
        <f>TRIM(PROPER(Before_Tbl[[#This Row],[Performance_Score]]))</f>
        <v>Excellent</v>
      </c>
      <c r="AB146" s="2" t="str">
        <f>TRIM(UPPER(Before_Tbl[[#This Row],[Remote_Work]]))</f>
        <v>TRUE</v>
      </c>
    </row>
    <row r="147" spans="1:28" x14ac:dyDescent="0.35">
      <c r="A147" t="s">
        <v>353</v>
      </c>
      <c r="B147" t="s">
        <v>37</v>
      </c>
      <c r="C147" t="s">
        <v>14</v>
      </c>
      <c r="D147">
        <v>30</v>
      </c>
      <c r="E147" t="s">
        <v>268</v>
      </c>
      <c r="F147" t="s">
        <v>33</v>
      </c>
      <c r="G147" s="1">
        <v>45568</v>
      </c>
      <c r="H147">
        <v>79085.22</v>
      </c>
      <c r="I147" t="s">
        <v>52</v>
      </c>
      <c r="J147">
        <v>-7546027340</v>
      </c>
      <c r="K147" t="s">
        <v>30</v>
      </c>
      <c r="L147" t="b">
        <v>1</v>
      </c>
      <c r="P147" t="str">
        <f>TRIM(Before_Tbl[[#This Row],[Employee_ID]])</f>
        <v>EMP1145</v>
      </c>
      <c r="Q147" t="str">
        <f>TRIM(PROPER(Before_Tbl[[#This Row],[First_Name]]))</f>
        <v>Frank</v>
      </c>
      <c r="R147" t="str">
        <f>TRIM(PROPER(Before_Tbl[[#This Row],[Last_Name]]))</f>
        <v>Davis</v>
      </c>
      <c r="S147" s="25">
        <f t="shared" si="2"/>
        <v>30</v>
      </c>
      <c r="T147" t="str">
        <f>LEFT(Before_Tbl[[#This Row],[Department_Region]],FIND("-",Before_Tbl[[#This Row],[Department_Region]])-1)</f>
        <v>Cloud Tech</v>
      </c>
      <c r="U147" t="str">
        <f>RIGHT(Before_Tbl[[#This Row],[Department_Region]],LEN(Before_Tbl[[#This Row],[Department_Region]])-FIND("-",Before_Tbl[[#This Row],[Department_Region]]))</f>
        <v>California</v>
      </c>
      <c r="V147" t="str">
        <f>TRIM(PROPER(Before_Tbl[[#This Row],[Status]]))</f>
        <v>Inactive</v>
      </c>
      <c r="W147" s="26">
        <v>45568</v>
      </c>
      <c r="X147" s="4">
        <v>79085.22</v>
      </c>
      <c r="Y147" t="str">
        <f>TRIM(LOWER(Before_Tbl[[#This Row],[Email]]))</f>
        <v>frank.davis@example.com</v>
      </c>
      <c r="Z147" s="2" t="str">
        <f>SUBSTITUTE(Before_Tbl[[#This Row],[Phone]],"-","")</f>
        <v>7546027340</v>
      </c>
      <c r="AA147" t="str">
        <f>TRIM(PROPER(Before_Tbl[[#This Row],[Performance_Score]]))</f>
        <v>Good</v>
      </c>
      <c r="AB147" s="2" t="str">
        <f>TRIM(UPPER(Before_Tbl[[#This Row],[Remote_Work]]))</f>
        <v>TRUE</v>
      </c>
    </row>
    <row r="148" spans="1:28" x14ac:dyDescent="0.35">
      <c r="A148" t="s">
        <v>354</v>
      </c>
      <c r="B148" t="s">
        <v>37</v>
      </c>
      <c r="C148" t="s">
        <v>38</v>
      </c>
      <c r="E148" t="s">
        <v>177</v>
      </c>
      <c r="F148" t="s">
        <v>16</v>
      </c>
      <c r="G148" s="1">
        <v>44475</v>
      </c>
      <c r="H148">
        <v>113983.43</v>
      </c>
      <c r="I148" t="s">
        <v>40</v>
      </c>
      <c r="J148">
        <v>-5148881430</v>
      </c>
      <c r="K148" t="s">
        <v>23</v>
      </c>
      <c r="L148" t="b">
        <v>1</v>
      </c>
      <c r="P148" t="str">
        <f>TRIM(Before_Tbl[[#This Row],[Employee_ID]])</f>
        <v>EMP1146</v>
      </c>
      <c r="Q148" t="str">
        <f>TRIM(PROPER(Before_Tbl[[#This Row],[First_Name]]))</f>
        <v>Frank</v>
      </c>
      <c r="R148" t="str">
        <f>TRIM(PROPER(Before_Tbl[[#This Row],[Last_Name]]))</f>
        <v>Williams</v>
      </c>
      <c r="S148" s="25">
        <f t="shared" si="2"/>
        <v>30</v>
      </c>
      <c r="T148" t="str">
        <f>LEFT(Before_Tbl[[#This Row],[Department_Region]],FIND("-",Before_Tbl[[#This Row],[Department_Region]])-1)</f>
        <v>Sales</v>
      </c>
      <c r="U148" t="str">
        <f>RIGHT(Before_Tbl[[#This Row],[Department_Region]],LEN(Before_Tbl[[#This Row],[Department_Region]])-FIND("-",Before_Tbl[[#This Row],[Department_Region]]))</f>
        <v>California</v>
      </c>
      <c r="V148" t="str">
        <f>TRIM(PROPER(Before_Tbl[[#This Row],[Status]]))</f>
        <v>Active</v>
      </c>
      <c r="W148" s="26">
        <v>44475</v>
      </c>
      <c r="X148" s="4">
        <v>113983.43</v>
      </c>
      <c r="Y148" t="str">
        <f>TRIM(LOWER(Before_Tbl[[#This Row],[Email]]))</f>
        <v>frank.williams@example.com</v>
      </c>
      <c r="Z148" s="2" t="str">
        <f>SUBSTITUTE(Before_Tbl[[#This Row],[Phone]],"-","")</f>
        <v>5148881430</v>
      </c>
      <c r="AA148" t="str">
        <f>TRIM(PROPER(Before_Tbl[[#This Row],[Performance_Score]]))</f>
        <v>Excellent</v>
      </c>
      <c r="AB148" s="2" t="str">
        <f>TRIM(UPPER(Before_Tbl[[#This Row],[Remote_Work]]))</f>
        <v>TRUE</v>
      </c>
    </row>
    <row r="149" spans="1:28" x14ac:dyDescent="0.35">
      <c r="A149" t="s">
        <v>355</v>
      </c>
      <c r="B149" t="s">
        <v>32</v>
      </c>
      <c r="C149" t="s">
        <v>38</v>
      </c>
      <c r="D149">
        <v>35</v>
      </c>
      <c r="E149" t="s">
        <v>39</v>
      </c>
      <c r="F149" t="s">
        <v>16</v>
      </c>
      <c r="G149" t="s">
        <v>356</v>
      </c>
      <c r="H149">
        <v>102790.6</v>
      </c>
      <c r="I149" t="s">
        <v>141</v>
      </c>
      <c r="J149">
        <v>-1150835353</v>
      </c>
      <c r="K149" t="s">
        <v>30</v>
      </c>
      <c r="L149" t="b">
        <v>0</v>
      </c>
      <c r="P149" t="str">
        <f>TRIM(Before_Tbl[[#This Row],[Employee_ID]])</f>
        <v>EMP1147</v>
      </c>
      <c r="Q149" t="str">
        <f>TRIM(PROPER(Before_Tbl[[#This Row],[First_Name]]))</f>
        <v>Eva</v>
      </c>
      <c r="R149" t="str">
        <f>TRIM(PROPER(Before_Tbl[[#This Row],[Last_Name]]))</f>
        <v>Williams</v>
      </c>
      <c r="S149" s="25">
        <f t="shared" si="2"/>
        <v>35</v>
      </c>
      <c r="T149" t="str">
        <f>LEFT(Before_Tbl[[#This Row],[Department_Region]],FIND("-",Before_Tbl[[#This Row],[Department_Region]])-1)</f>
        <v>Cloud Tech</v>
      </c>
      <c r="U149" t="str">
        <f>RIGHT(Before_Tbl[[#This Row],[Department_Region]],LEN(Before_Tbl[[#This Row],[Department_Region]])-FIND("-",Before_Tbl[[#This Row],[Department_Region]]))</f>
        <v>Florida</v>
      </c>
      <c r="V149" t="str">
        <f>TRIM(PROPER(Before_Tbl[[#This Row],[Status]]))</f>
        <v>Active</v>
      </c>
      <c r="W149" s="26">
        <v>44119</v>
      </c>
      <c r="X149" s="4">
        <v>102790.6</v>
      </c>
      <c r="Y149" t="str">
        <f>TRIM(LOWER(Before_Tbl[[#This Row],[Email]]))</f>
        <v>eva.williams@example.com</v>
      </c>
      <c r="Z149" s="2" t="str">
        <f>SUBSTITUTE(Before_Tbl[[#This Row],[Phone]],"-","")</f>
        <v>1150835353</v>
      </c>
      <c r="AA149" t="str">
        <f>TRIM(PROPER(Before_Tbl[[#This Row],[Performance_Score]]))</f>
        <v>Good</v>
      </c>
      <c r="AB149" s="2" t="str">
        <f>TRIM(UPPER(Before_Tbl[[#This Row],[Remote_Work]]))</f>
        <v>FALSE</v>
      </c>
    </row>
    <row r="150" spans="1:28" x14ac:dyDescent="0.35">
      <c r="A150" t="s">
        <v>357</v>
      </c>
      <c r="B150" t="s">
        <v>69</v>
      </c>
      <c r="C150" t="s">
        <v>122</v>
      </c>
      <c r="E150" t="s">
        <v>139</v>
      </c>
      <c r="F150" t="s">
        <v>33</v>
      </c>
      <c r="G150" t="s">
        <v>358</v>
      </c>
      <c r="H150">
        <v>68512.100000000006</v>
      </c>
      <c r="I150" t="s">
        <v>135</v>
      </c>
      <c r="J150">
        <v>-4439284043</v>
      </c>
      <c r="K150" t="s">
        <v>18</v>
      </c>
      <c r="L150" t="b">
        <v>0</v>
      </c>
      <c r="P150" t="str">
        <f>TRIM(Before_Tbl[[#This Row],[Employee_ID]])</f>
        <v>EMP1148</v>
      </c>
      <c r="Q150" t="str">
        <f>TRIM(PROPER(Before_Tbl[[#This Row],[First_Name]]))</f>
        <v>Grace</v>
      </c>
      <c r="R150" t="str">
        <f>TRIM(PROPER(Before_Tbl[[#This Row],[Last_Name]]))</f>
        <v>Smith</v>
      </c>
      <c r="S150" s="25">
        <f t="shared" si="2"/>
        <v>30</v>
      </c>
      <c r="T150" t="str">
        <f>LEFT(Before_Tbl[[#This Row],[Department_Region]],FIND("-",Before_Tbl[[#This Row],[Department_Region]])-1)</f>
        <v>HR</v>
      </c>
      <c r="U150" t="str">
        <f>RIGHT(Before_Tbl[[#This Row],[Department_Region]],LEN(Before_Tbl[[#This Row],[Department_Region]])-FIND("-",Before_Tbl[[#This Row],[Department_Region]]))</f>
        <v>Texas</v>
      </c>
      <c r="V150" t="str">
        <f>TRIM(PROPER(Before_Tbl[[#This Row],[Status]]))</f>
        <v>Inactive</v>
      </c>
      <c r="W150" s="26">
        <v>43859</v>
      </c>
      <c r="X150" s="4">
        <v>68512.100000000006</v>
      </c>
      <c r="Y150" t="str">
        <f>TRIM(LOWER(Before_Tbl[[#This Row],[Email]]))</f>
        <v>grace.smith@example.com</v>
      </c>
      <c r="Z150" s="2" t="str">
        <f>SUBSTITUTE(Before_Tbl[[#This Row],[Phone]],"-","")</f>
        <v>4439284043</v>
      </c>
      <c r="AA150" t="str">
        <f>TRIM(PROPER(Before_Tbl[[#This Row],[Performance_Score]]))</f>
        <v>Average</v>
      </c>
      <c r="AB150" s="2" t="str">
        <f>TRIM(UPPER(Before_Tbl[[#This Row],[Remote_Work]]))</f>
        <v>FALSE</v>
      </c>
    </row>
    <row r="151" spans="1:28" x14ac:dyDescent="0.35">
      <c r="A151" t="s">
        <v>359</v>
      </c>
      <c r="B151" t="s">
        <v>37</v>
      </c>
      <c r="C151" t="s">
        <v>43</v>
      </c>
      <c r="D151">
        <v>35</v>
      </c>
      <c r="E151" t="s">
        <v>74</v>
      </c>
      <c r="F151" t="s">
        <v>28</v>
      </c>
      <c r="G151" t="s">
        <v>360</v>
      </c>
      <c r="H151">
        <v>57584.23</v>
      </c>
      <c r="I151" t="s">
        <v>180</v>
      </c>
      <c r="J151">
        <v>-5669078262</v>
      </c>
      <c r="K151" t="s">
        <v>18</v>
      </c>
      <c r="L151" t="b">
        <v>1</v>
      </c>
      <c r="P151" t="str">
        <f>TRIM(Before_Tbl[[#This Row],[Employee_ID]])</f>
        <v>EMP1149</v>
      </c>
      <c r="Q151" t="str">
        <f>TRIM(PROPER(Before_Tbl[[#This Row],[First_Name]]))</f>
        <v>Frank</v>
      </c>
      <c r="R151" t="str">
        <f>TRIM(PROPER(Before_Tbl[[#This Row],[Last_Name]]))</f>
        <v>Garcia</v>
      </c>
      <c r="S151" s="25">
        <f t="shared" si="2"/>
        <v>35</v>
      </c>
      <c r="T151" t="str">
        <f>LEFT(Before_Tbl[[#This Row],[Department_Region]],FIND("-",Before_Tbl[[#This Row],[Department_Region]])-1)</f>
        <v>Sales</v>
      </c>
      <c r="U151" t="str">
        <f>RIGHT(Before_Tbl[[#This Row],[Department_Region]],LEN(Before_Tbl[[#This Row],[Department_Region]])-FIND("-",Before_Tbl[[#This Row],[Department_Region]]))</f>
        <v>Florida</v>
      </c>
      <c r="V151" t="str">
        <f>TRIM(PROPER(Before_Tbl[[#This Row],[Status]]))</f>
        <v>Pending</v>
      </c>
      <c r="W151" s="26">
        <v>44591</v>
      </c>
      <c r="X151" s="4">
        <v>57584.23</v>
      </c>
      <c r="Y151" t="str">
        <f>TRIM(LOWER(Before_Tbl[[#This Row],[Email]]))</f>
        <v>frank.garcia@example.com</v>
      </c>
      <c r="Z151" s="2" t="str">
        <f>SUBSTITUTE(Before_Tbl[[#This Row],[Phone]],"-","")</f>
        <v>5669078262</v>
      </c>
      <c r="AA151" t="str">
        <f>TRIM(PROPER(Before_Tbl[[#This Row],[Performance_Score]]))</f>
        <v>Average</v>
      </c>
      <c r="AB151" s="2" t="str">
        <f>TRIM(UPPER(Before_Tbl[[#This Row],[Remote_Work]]))</f>
        <v>TRUE</v>
      </c>
    </row>
    <row r="152" spans="1:28" x14ac:dyDescent="0.35">
      <c r="A152" t="s">
        <v>361</v>
      </c>
      <c r="B152" t="s">
        <v>25</v>
      </c>
      <c r="C152" t="s">
        <v>38</v>
      </c>
      <c r="E152" t="s">
        <v>177</v>
      </c>
      <c r="F152" t="s">
        <v>28</v>
      </c>
      <c r="G152" t="s">
        <v>362</v>
      </c>
      <c r="H152">
        <v>95335.67</v>
      </c>
      <c r="I152" t="s">
        <v>363</v>
      </c>
      <c r="J152">
        <v>-3373898774</v>
      </c>
      <c r="K152" t="s">
        <v>41</v>
      </c>
      <c r="L152" t="b">
        <v>0</v>
      </c>
      <c r="P152" t="str">
        <f>TRIM(Before_Tbl[[#This Row],[Employee_ID]])</f>
        <v>EMP1150</v>
      </c>
      <c r="Q152" t="str">
        <f>TRIM(PROPER(Before_Tbl[[#This Row],[First_Name]]))</f>
        <v>Alice</v>
      </c>
      <c r="R152" t="str">
        <f>TRIM(PROPER(Before_Tbl[[#This Row],[Last_Name]]))</f>
        <v>Williams</v>
      </c>
      <c r="S152" s="25">
        <f t="shared" si="2"/>
        <v>30</v>
      </c>
      <c r="T152" t="str">
        <f>LEFT(Before_Tbl[[#This Row],[Department_Region]],FIND("-",Before_Tbl[[#This Row],[Department_Region]])-1)</f>
        <v>Sales</v>
      </c>
      <c r="U152" t="str">
        <f>RIGHT(Before_Tbl[[#This Row],[Department_Region]],LEN(Before_Tbl[[#This Row],[Department_Region]])-FIND("-",Before_Tbl[[#This Row],[Department_Region]]))</f>
        <v>California</v>
      </c>
      <c r="V152" t="str">
        <f>TRIM(PROPER(Before_Tbl[[#This Row],[Status]]))</f>
        <v>Pending</v>
      </c>
      <c r="W152" s="26">
        <v>44284</v>
      </c>
      <c r="X152" s="4">
        <v>95335.67</v>
      </c>
      <c r="Y152" t="str">
        <f>TRIM(LOWER(Before_Tbl[[#This Row],[Email]]))</f>
        <v>alice.williams@example.com</v>
      </c>
      <c r="Z152" s="2" t="str">
        <f>SUBSTITUTE(Before_Tbl[[#This Row],[Phone]],"-","")</f>
        <v>3373898774</v>
      </c>
      <c r="AA152" t="str">
        <f>TRIM(PROPER(Before_Tbl[[#This Row],[Performance_Score]]))</f>
        <v>Poor</v>
      </c>
      <c r="AB152" s="2" t="str">
        <f>TRIM(UPPER(Before_Tbl[[#This Row],[Remote_Work]]))</f>
        <v>FALSE</v>
      </c>
    </row>
    <row r="153" spans="1:28" x14ac:dyDescent="0.35">
      <c r="A153" t="s">
        <v>364</v>
      </c>
      <c r="B153" t="s">
        <v>65</v>
      </c>
      <c r="C153" t="s">
        <v>38</v>
      </c>
      <c r="D153">
        <v>35</v>
      </c>
      <c r="E153" t="s">
        <v>230</v>
      </c>
      <c r="F153" t="s">
        <v>16</v>
      </c>
      <c r="G153" t="s">
        <v>365</v>
      </c>
      <c r="H153">
        <v>53174.28</v>
      </c>
      <c r="I153" t="s">
        <v>67</v>
      </c>
      <c r="J153">
        <v>-1536637779</v>
      </c>
      <c r="K153" t="s">
        <v>18</v>
      </c>
      <c r="L153" t="b">
        <v>1</v>
      </c>
      <c r="P153" t="str">
        <f>TRIM(Before_Tbl[[#This Row],[Employee_ID]])</f>
        <v>EMP1151</v>
      </c>
      <c r="Q153" t="str">
        <f>TRIM(PROPER(Before_Tbl[[#This Row],[First_Name]]))</f>
        <v>Heidi</v>
      </c>
      <c r="R153" t="str">
        <f>TRIM(PROPER(Before_Tbl[[#This Row],[Last_Name]]))</f>
        <v>Williams</v>
      </c>
      <c r="S153" s="25">
        <f t="shared" si="2"/>
        <v>35</v>
      </c>
      <c r="T153" t="str">
        <f>LEFT(Before_Tbl[[#This Row],[Department_Region]],FIND("-",Before_Tbl[[#This Row],[Department_Region]])-1)</f>
        <v>DevOps</v>
      </c>
      <c r="U153" t="str">
        <f>RIGHT(Before_Tbl[[#This Row],[Department_Region]],LEN(Before_Tbl[[#This Row],[Department_Region]])-FIND("-",Before_Tbl[[#This Row],[Department_Region]]))</f>
        <v>Florida</v>
      </c>
      <c r="V153" t="str">
        <f>TRIM(PROPER(Before_Tbl[[#This Row],[Status]]))</f>
        <v>Active</v>
      </c>
      <c r="W153" s="26">
        <v>44117</v>
      </c>
      <c r="X153" s="4">
        <v>53174.28</v>
      </c>
      <c r="Y153" t="str">
        <f>TRIM(LOWER(Before_Tbl[[#This Row],[Email]]))</f>
        <v>heidi.williams@example.com</v>
      </c>
      <c r="Z153" s="2" t="str">
        <f>SUBSTITUTE(Before_Tbl[[#This Row],[Phone]],"-","")</f>
        <v>1536637779</v>
      </c>
      <c r="AA153" t="str">
        <f>TRIM(PROPER(Before_Tbl[[#This Row],[Performance_Score]]))</f>
        <v>Average</v>
      </c>
      <c r="AB153" s="2" t="str">
        <f>TRIM(UPPER(Before_Tbl[[#This Row],[Remote_Work]]))</f>
        <v>TRUE</v>
      </c>
    </row>
    <row r="154" spans="1:28" x14ac:dyDescent="0.35">
      <c r="A154" t="s">
        <v>366</v>
      </c>
      <c r="B154" t="s">
        <v>65</v>
      </c>
      <c r="C154" t="s">
        <v>122</v>
      </c>
      <c r="D154">
        <v>25</v>
      </c>
      <c r="E154" t="s">
        <v>60</v>
      </c>
      <c r="F154" t="s">
        <v>28</v>
      </c>
      <c r="G154" s="1">
        <v>43931</v>
      </c>
      <c r="H154">
        <v>77205.210000000006</v>
      </c>
      <c r="I154" t="s">
        <v>367</v>
      </c>
      <c r="J154">
        <v>-5292407552</v>
      </c>
      <c r="K154" t="s">
        <v>18</v>
      </c>
      <c r="L154" t="b">
        <v>0</v>
      </c>
      <c r="P154" t="str">
        <f>TRIM(Before_Tbl[[#This Row],[Employee_ID]])</f>
        <v>EMP1152</v>
      </c>
      <c r="Q154" t="str">
        <f>TRIM(PROPER(Before_Tbl[[#This Row],[First_Name]]))</f>
        <v>Heidi</v>
      </c>
      <c r="R154" t="str">
        <f>TRIM(PROPER(Before_Tbl[[#This Row],[Last_Name]]))</f>
        <v>Smith</v>
      </c>
      <c r="S154" s="25">
        <f t="shared" si="2"/>
        <v>25</v>
      </c>
      <c r="T154" t="str">
        <f>LEFT(Before_Tbl[[#This Row],[Department_Region]],FIND("-",Before_Tbl[[#This Row],[Department_Region]])-1)</f>
        <v>Cloud Tech</v>
      </c>
      <c r="U154" t="str">
        <f>RIGHT(Before_Tbl[[#This Row],[Department_Region]],LEN(Before_Tbl[[#This Row],[Department_Region]])-FIND("-",Before_Tbl[[#This Row],[Department_Region]]))</f>
        <v>New York</v>
      </c>
      <c r="V154" t="str">
        <f>TRIM(PROPER(Before_Tbl[[#This Row],[Status]]))</f>
        <v>Pending</v>
      </c>
      <c r="W154" s="26">
        <v>43931</v>
      </c>
      <c r="X154" s="4">
        <v>77205.210000000006</v>
      </c>
      <c r="Y154" t="str">
        <f>TRIM(LOWER(Before_Tbl[[#This Row],[Email]]))</f>
        <v>heidi.smith@example.com</v>
      </c>
      <c r="Z154" s="2" t="str">
        <f>SUBSTITUTE(Before_Tbl[[#This Row],[Phone]],"-","")</f>
        <v>5292407552</v>
      </c>
      <c r="AA154" t="str">
        <f>TRIM(PROPER(Before_Tbl[[#This Row],[Performance_Score]]))</f>
        <v>Average</v>
      </c>
      <c r="AB154" s="2" t="str">
        <f>TRIM(UPPER(Before_Tbl[[#This Row],[Remote_Work]]))</f>
        <v>FALSE</v>
      </c>
    </row>
    <row r="155" spans="1:28" x14ac:dyDescent="0.35">
      <c r="A155" t="s">
        <v>368</v>
      </c>
      <c r="B155" t="s">
        <v>69</v>
      </c>
      <c r="C155" t="s">
        <v>38</v>
      </c>
      <c r="E155" t="s">
        <v>329</v>
      </c>
      <c r="F155" t="s">
        <v>16</v>
      </c>
      <c r="G155" t="s">
        <v>369</v>
      </c>
      <c r="H155">
        <v>79041.919999999998</v>
      </c>
      <c r="I155" t="s">
        <v>71</v>
      </c>
      <c r="J155">
        <v>-6668459089</v>
      </c>
      <c r="K155" t="s">
        <v>18</v>
      </c>
      <c r="L155" t="b">
        <v>1</v>
      </c>
      <c r="P155" t="str">
        <f>TRIM(Before_Tbl[[#This Row],[Employee_ID]])</f>
        <v>EMP1153</v>
      </c>
      <c r="Q155" t="str">
        <f>TRIM(PROPER(Before_Tbl[[#This Row],[First_Name]]))</f>
        <v>Grace</v>
      </c>
      <c r="R155" t="str">
        <f>TRIM(PROPER(Before_Tbl[[#This Row],[Last_Name]]))</f>
        <v>Williams</v>
      </c>
      <c r="S155" s="25">
        <f t="shared" si="2"/>
        <v>30</v>
      </c>
      <c r="T155" t="str">
        <f>LEFT(Before_Tbl[[#This Row],[Department_Region]],FIND("-",Before_Tbl[[#This Row],[Department_Region]])-1)</f>
        <v>DevOps</v>
      </c>
      <c r="U155" t="str">
        <f>RIGHT(Before_Tbl[[#This Row],[Department_Region]],LEN(Before_Tbl[[#This Row],[Department_Region]])-FIND("-",Before_Tbl[[#This Row],[Department_Region]]))</f>
        <v>Nevada</v>
      </c>
      <c r="V155" t="str">
        <f>TRIM(PROPER(Before_Tbl[[#This Row],[Status]]))</f>
        <v>Active</v>
      </c>
      <c r="W155" s="26">
        <v>45644</v>
      </c>
      <c r="X155" s="4">
        <v>79041.919999999998</v>
      </c>
      <c r="Y155" t="str">
        <f>TRIM(LOWER(Before_Tbl[[#This Row],[Email]]))</f>
        <v>grace.williams@example.com</v>
      </c>
      <c r="Z155" s="2" t="str">
        <f>SUBSTITUTE(Before_Tbl[[#This Row],[Phone]],"-","")</f>
        <v>6668459089</v>
      </c>
      <c r="AA155" t="str">
        <f>TRIM(PROPER(Before_Tbl[[#This Row],[Performance_Score]]))</f>
        <v>Average</v>
      </c>
      <c r="AB155" s="2" t="str">
        <f>TRIM(UPPER(Before_Tbl[[#This Row],[Remote_Work]]))</f>
        <v>TRUE</v>
      </c>
    </row>
    <row r="156" spans="1:28" x14ac:dyDescent="0.35">
      <c r="A156" t="s">
        <v>370</v>
      </c>
      <c r="B156" t="s">
        <v>65</v>
      </c>
      <c r="C156" t="s">
        <v>26</v>
      </c>
      <c r="E156" t="s">
        <v>70</v>
      </c>
      <c r="F156" t="s">
        <v>16</v>
      </c>
      <c r="G156" t="s">
        <v>371</v>
      </c>
      <c r="H156">
        <v>75937.100000000006</v>
      </c>
      <c r="I156" t="s">
        <v>320</v>
      </c>
      <c r="J156">
        <v>-2259999662</v>
      </c>
      <c r="K156" t="s">
        <v>23</v>
      </c>
      <c r="L156" t="b">
        <v>1</v>
      </c>
      <c r="P156" t="str">
        <f>TRIM(Before_Tbl[[#This Row],[Employee_ID]])</f>
        <v>EMP1154</v>
      </c>
      <c r="Q156" t="str">
        <f>TRIM(PROPER(Before_Tbl[[#This Row],[First_Name]]))</f>
        <v>Heidi</v>
      </c>
      <c r="R156" t="str">
        <f>TRIM(PROPER(Before_Tbl[[#This Row],[Last_Name]]))</f>
        <v>Jones</v>
      </c>
      <c r="S156" s="25">
        <f t="shared" si="2"/>
        <v>30</v>
      </c>
      <c r="T156" t="str">
        <f>LEFT(Before_Tbl[[#This Row],[Department_Region]],FIND("-",Before_Tbl[[#This Row],[Department_Region]])-1)</f>
        <v>Finance</v>
      </c>
      <c r="U156" t="str">
        <f>RIGHT(Before_Tbl[[#This Row],[Department_Region]],LEN(Before_Tbl[[#This Row],[Department_Region]])-FIND("-",Before_Tbl[[#This Row],[Department_Region]]))</f>
        <v>California</v>
      </c>
      <c r="V156" t="str">
        <f>TRIM(PROPER(Before_Tbl[[#This Row],[Status]]))</f>
        <v>Active</v>
      </c>
      <c r="W156" s="26">
        <v>45244</v>
      </c>
      <c r="X156" s="4">
        <v>75937.100000000006</v>
      </c>
      <c r="Y156" t="str">
        <f>TRIM(LOWER(Before_Tbl[[#This Row],[Email]]))</f>
        <v>heidi.jones@example.com</v>
      </c>
      <c r="Z156" s="2" t="str">
        <f>SUBSTITUTE(Before_Tbl[[#This Row],[Phone]],"-","")</f>
        <v>2259999662</v>
      </c>
      <c r="AA156" t="str">
        <f>TRIM(PROPER(Before_Tbl[[#This Row],[Performance_Score]]))</f>
        <v>Excellent</v>
      </c>
      <c r="AB156" s="2" t="str">
        <f>TRIM(UPPER(Before_Tbl[[#This Row],[Remote_Work]]))</f>
        <v>TRUE</v>
      </c>
    </row>
    <row r="157" spans="1:28" x14ac:dyDescent="0.35">
      <c r="A157" t="s">
        <v>372</v>
      </c>
      <c r="B157" t="s">
        <v>59</v>
      </c>
      <c r="C157" t="s">
        <v>55</v>
      </c>
      <c r="D157">
        <v>35</v>
      </c>
      <c r="E157" t="s">
        <v>85</v>
      </c>
      <c r="F157" t="s">
        <v>33</v>
      </c>
      <c r="G157" t="s">
        <v>373</v>
      </c>
      <c r="H157">
        <v>113118.73</v>
      </c>
      <c r="I157" t="s">
        <v>217</v>
      </c>
      <c r="J157">
        <v>-6186371596</v>
      </c>
      <c r="K157" t="s">
        <v>18</v>
      </c>
      <c r="L157" t="b">
        <v>0</v>
      </c>
      <c r="P157" t="str">
        <f>TRIM(Before_Tbl[[#This Row],[Employee_ID]])</f>
        <v>EMP1155</v>
      </c>
      <c r="Q157" t="str">
        <f>TRIM(PROPER(Before_Tbl[[#This Row],[First_Name]]))</f>
        <v>David</v>
      </c>
      <c r="R157" t="str">
        <f>TRIM(PROPER(Before_Tbl[[#This Row],[Last_Name]]))</f>
        <v>Johnson</v>
      </c>
      <c r="S157" s="25">
        <f t="shared" si="2"/>
        <v>35</v>
      </c>
      <c r="T157" t="str">
        <f>LEFT(Before_Tbl[[#This Row],[Department_Region]],FIND("-",Before_Tbl[[#This Row],[Department_Region]])-1)</f>
        <v>Cloud Tech</v>
      </c>
      <c r="U157" t="str">
        <f>RIGHT(Before_Tbl[[#This Row],[Department_Region]],LEN(Before_Tbl[[#This Row],[Department_Region]])-FIND("-",Before_Tbl[[#This Row],[Department_Region]]))</f>
        <v>Nevada</v>
      </c>
      <c r="V157" t="str">
        <f>TRIM(PROPER(Before_Tbl[[#This Row],[Status]]))</f>
        <v>Inactive</v>
      </c>
      <c r="W157" s="26">
        <v>44946</v>
      </c>
      <c r="X157" s="4">
        <v>113118.73</v>
      </c>
      <c r="Y157" t="str">
        <f>TRIM(LOWER(Before_Tbl[[#This Row],[Email]]))</f>
        <v>david.johnson@example.com</v>
      </c>
      <c r="Z157" s="2" t="str">
        <f>SUBSTITUTE(Before_Tbl[[#This Row],[Phone]],"-","")</f>
        <v>6186371596</v>
      </c>
      <c r="AA157" t="str">
        <f>TRIM(PROPER(Before_Tbl[[#This Row],[Performance_Score]]))</f>
        <v>Average</v>
      </c>
      <c r="AB157" s="2" t="str">
        <f>TRIM(UPPER(Before_Tbl[[#This Row],[Remote_Work]]))</f>
        <v>FALSE</v>
      </c>
    </row>
    <row r="158" spans="1:28" x14ac:dyDescent="0.35">
      <c r="A158" t="s">
        <v>374</v>
      </c>
      <c r="B158" t="s">
        <v>25</v>
      </c>
      <c r="C158" t="s">
        <v>14</v>
      </c>
      <c r="D158">
        <v>40</v>
      </c>
      <c r="E158" t="s">
        <v>66</v>
      </c>
      <c r="F158" t="s">
        <v>16</v>
      </c>
      <c r="G158" s="1">
        <v>45332</v>
      </c>
      <c r="H158">
        <v>107693.38</v>
      </c>
      <c r="I158" t="s">
        <v>163</v>
      </c>
      <c r="J158">
        <v>-4121820969</v>
      </c>
      <c r="K158" t="s">
        <v>18</v>
      </c>
      <c r="L158" t="b">
        <v>1</v>
      </c>
      <c r="P158" t="str">
        <f>TRIM(Before_Tbl[[#This Row],[Employee_ID]])</f>
        <v>EMP1156</v>
      </c>
      <c r="Q158" t="str">
        <f>TRIM(PROPER(Before_Tbl[[#This Row],[First_Name]]))</f>
        <v>Alice</v>
      </c>
      <c r="R158" t="str">
        <f>TRIM(PROPER(Before_Tbl[[#This Row],[Last_Name]]))</f>
        <v>Davis</v>
      </c>
      <c r="S158" s="25">
        <f t="shared" si="2"/>
        <v>40</v>
      </c>
      <c r="T158" t="str">
        <f>LEFT(Before_Tbl[[#This Row],[Department_Region]],FIND("-",Before_Tbl[[#This Row],[Department_Region]])-1)</f>
        <v>HR</v>
      </c>
      <c r="U158" t="str">
        <f>RIGHT(Before_Tbl[[#This Row],[Department_Region]],LEN(Before_Tbl[[#This Row],[Department_Region]])-FIND("-",Before_Tbl[[#This Row],[Department_Region]]))</f>
        <v>New York</v>
      </c>
      <c r="V158" t="str">
        <f>TRIM(PROPER(Before_Tbl[[#This Row],[Status]]))</f>
        <v>Active</v>
      </c>
      <c r="W158" s="26">
        <v>45332</v>
      </c>
      <c r="X158" s="4">
        <v>107693.38</v>
      </c>
      <c r="Y158" t="str">
        <f>TRIM(LOWER(Before_Tbl[[#This Row],[Email]]))</f>
        <v>alice.davis@example.com</v>
      </c>
      <c r="Z158" s="2" t="str">
        <f>SUBSTITUTE(Before_Tbl[[#This Row],[Phone]],"-","")</f>
        <v>4121820969</v>
      </c>
      <c r="AA158" t="str">
        <f>TRIM(PROPER(Before_Tbl[[#This Row],[Performance_Score]]))</f>
        <v>Average</v>
      </c>
      <c r="AB158" s="2" t="str">
        <f>TRIM(UPPER(Before_Tbl[[#This Row],[Remote_Work]]))</f>
        <v>TRUE</v>
      </c>
    </row>
    <row r="159" spans="1:28" x14ac:dyDescent="0.35">
      <c r="A159" t="s">
        <v>375</v>
      </c>
      <c r="B159" t="s">
        <v>59</v>
      </c>
      <c r="C159" t="s">
        <v>55</v>
      </c>
      <c r="E159" t="s">
        <v>159</v>
      </c>
      <c r="F159" t="s">
        <v>33</v>
      </c>
      <c r="G159" t="s">
        <v>376</v>
      </c>
      <c r="H159">
        <v>119217.46</v>
      </c>
      <c r="I159" t="s">
        <v>217</v>
      </c>
      <c r="J159">
        <v>-2316433480</v>
      </c>
      <c r="K159" t="s">
        <v>41</v>
      </c>
      <c r="L159" t="b">
        <v>0</v>
      </c>
      <c r="P159" t="str">
        <f>TRIM(Before_Tbl[[#This Row],[Employee_ID]])</f>
        <v>EMP1157</v>
      </c>
      <c r="Q159" t="str">
        <f>TRIM(PROPER(Before_Tbl[[#This Row],[First_Name]]))</f>
        <v>David</v>
      </c>
      <c r="R159" t="str">
        <f>TRIM(PROPER(Before_Tbl[[#This Row],[Last_Name]]))</f>
        <v>Johnson</v>
      </c>
      <c r="S159" s="25">
        <f t="shared" si="2"/>
        <v>30</v>
      </c>
      <c r="T159" t="str">
        <f>LEFT(Before_Tbl[[#This Row],[Department_Region]],FIND("-",Before_Tbl[[#This Row],[Department_Region]])-1)</f>
        <v>Cloud Tech</v>
      </c>
      <c r="U159" t="str">
        <f>RIGHT(Before_Tbl[[#This Row],[Department_Region]],LEN(Before_Tbl[[#This Row],[Department_Region]])-FIND("-",Before_Tbl[[#This Row],[Department_Region]]))</f>
        <v>Texas</v>
      </c>
      <c r="V159" t="str">
        <f>TRIM(PROPER(Before_Tbl[[#This Row],[Status]]))</f>
        <v>Inactive</v>
      </c>
      <c r="W159" s="26">
        <v>44329</v>
      </c>
      <c r="X159" s="4">
        <v>119217.46</v>
      </c>
      <c r="Y159" t="str">
        <f>TRIM(LOWER(Before_Tbl[[#This Row],[Email]]))</f>
        <v>david.johnson@example.com</v>
      </c>
      <c r="Z159" s="2" t="str">
        <f>SUBSTITUTE(Before_Tbl[[#This Row],[Phone]],"-","")</f>
        <v>2316433480</v>
      </c>
      <c r="AA159" t="str">
        <f>TRIM(PROPER(Before_Tbl[[#This Row],[Performance_Score]]))</f>
        <v>Poor</v>
      </c>
      <c r="AB159" s="2" t="str">
        <f>TRIM(UPPER(Before_Tbl[[#This Row],[Remote_Work]]))</f>
        <v>FALSE</v>
      </c>
    </row>
    <row r="160" spans="1:28" x14ac:dyDescent="0.35">
      <c r="A160" t="s">
        <v>377</v>
      </c>
      <c r="B160" t="s">
        <v>59</v>
      </c>
      <c r="C160" t="s">
        <v>122</v>
      </c>
      <c r="D160">
        <v>25</v>
      </c>
      <c r="E160" t="s">
        <v>109</v>
      </c>
      <c r="F160" t="s">
        <v>28</v>
      </c>
      <c r="G160" t="s">
        <v>378</v>
      </c>
      <c r="H160">
        <v>106913.71</v>
      </c>
      <c r="I160" t="s">
        <v>341</v>
      </c>
      <c r="J160">
        <v>-7058025661</v>
      </c>
      <c r="K160" t="s">
        <v>18</v>
      </c>
      <c r="L160" t="b">
        <v>0</v>
      </c>
      <c r="P160" t="str">
        <f>TRIM(Before_Tbl[[#This Row],[Employee_ID]])</f>
        <v>EMP1158</v>
      </c>
      <c r="Q160" t="str">
        <f>TRIM(PROPER(Before_Tbl[[#This Row],[First_Name]]))</f>
        <v>David</v>
      </c>
      <c r="R160" t="str">
        <f>TRIM(PROPER(Before_Tbl[[#This Row],[Last_Name]]))</f>
        <v>Smith</v>
      </c>
      <c r="S160" s="25">
        <f t="shared" si="2"/>
        <v>25</v>
      </c>
      <c r="T160" t="str">
        <f>LEFT(Before_Tbl[[#This Row],[Department_Region]],FIND("-",Before_Tbl[[#This Row],[Department_Region]])-1)</f>
        <v>Sales</v>
      </c>
      <c r="U160" t="str">
        <f>RIGHT(Before_Tbl[[#This Row],[Department_Region]],LEN(Before_Tbl[[#This Row],[Department_Region]])-FIND("-",Before_Tbl[[#This Row],[Department_Region]]))</f>
        <v>New York</v>
      </c>
      <c r="V160" t="str">
        <f>TRIM(PROPER(Before_Tbl[[#This Row],[Status]]))</f>
        <v>Pending</v>
      </c>
      <c r="W160" s="26">
        <v>44273</v>
      </c>
      <c r="X160" s="4">
        <v>106913.71</v>
      </c>
      <c r="Y160" t="str">
        <f>TRIM(LOWER(Before_Tbl[[#This Row],[Email]]))</f>
        <v>david.smith@example.com</v>
      </c>
      <c r="Z160" s="2" t="str">
        <f>SUBSTITUTE(Before_Tbl[[#This Row],[Phone]],"-","")</f>
        <v>7058025661</v>
      </c>
      <c r="AA160" t="str">
        <f>TRIM(PROPER(Before_Tbl[[#This Row],[Performance_Score]]))</f>
        <v>Average</v>
      </c>
      <c r="AB160" s="2" t="str">
        <f>TRIM(UPPER(Before_Tbl[[#This Row],[Remote_Work]]))</f>
        <v>FALSE</v>
      </c>
    </row>
    <row r="161" spans="1:28" x14ac:dyDescent="0.35">
      <c r="A161" t="s">
        <v>379</v>
      </c>
      <c r="B161" t="s">
        <v>54</v>
      </c>
      <c r="C161" t="s">
        <v>20</v>
      </c>
      <c r="E161" t="s">
        <v>268</v>
      </c>
      <c r="F161" t="s">
        <v>16</v>
      </c>
      <c r="G161" t="s">
        <v>380</v>
      </c>
      <c r="H161">
        <v>87815.08</v>
      </c>
      <c r="I161" t="s">
        <v>125</v>
      </c>
      <c r="J161">
        <v>-1286716322</v>
      </c>
      <c r="K161" t="s">
        <v>18</v>
      </c>
      <c r="L161" t="b">
        <v>1</v>
      </c>
      <c r="P161" t="str">
        <f>TRIM(Before_Tbl[[#This Row],[Employee_ID]])</f>
        <v>EMP1159</v>
      </c>
      <c r="Q161" t="str">
        <f>TRIM(PROPER(Before_Tbl[[#This Row],[First_Name]]))</f>
        <v>Charlie</v>
      </c>
      <c r="R161" t="str">
        <f>TRIM(PROPER(Before_Tbl[[#This Row],[Last_Name]]))</f>
        <v>Brown</v>
      </c>
      <c r="S161" s="25">
        <f t="shared" si="2"/>
        <v>30</v>
      </c>
      <c r="T161" t="str">
        <f>LEFT(Before_Tbl[[#This Row],[Department_Region]],FIND("-",Before_Tbl[[#This Row],[Department_Region]])-1)</f>
        <v>Cloud Tech</v>
      </c>
      <c r="U161" t="str">
        <f>RIGHT(Before_Tbl[[#This Row],[Department_Region]],LEN(Before_Tbl[[#This Row],[Department_Region]])-FIND("-",Before_Tbl[[#This Row],[Department_Region]]))</f>
        <v>California</v>
      </c>
      <c r="V161" t="str">
        <f>TRIM(PROPER(Before_Tbl[[#This Row],[Status]]))</f>
        <v>Active</v>
      </c>
      <c r="W161" s="26">
        <v>44097</v>
      </c>
      <c r="X161" s="4">
        <v>87815.08</v>
      </c>
      <c r="Y161" t="str">
        <f>TRIM(LOWER(Before_Tbl[[#This Row],[Email]]))</f>
        <v>charlie.brown@example.com</v>
      </c>
      <c r="Z161" s="2" t="str">
        <f>SUBSTITUTE(Before_Tbl[[#This Row],[Phone]],"-","")</f>
        <v>1286716322</v>
      </c>
      <c r="AA161" t="str">
        <f>TRIM(PROPER(Before_Tbl[[#This Row],[Performance_Score]]))</f>
        <v>Average</v>
      </c>
      <c r="AB161" s="2" t="str">
        <f>TRIM(UPPER(Before_Tbl[[#This Row],[Remote_Work]]))</f>
        <v>TRUE</v>
      </c>
    </row>
    <row r="162" spans="1:28" x14ac:dyDescent="0.35">
      <c r="A162" t="s">
        <v>381</v>
      </c>
      <c r="B162" t="s">
        <v>13</v>
      </c>
      <c r="C162" t="s">
        <v>14</v>
      </c>
      <c r="D162">
        <v>25</v>
      </c>
      <c r="E162" t="s">
        <v>103</v>
      </c>
      <c r="F162" t="s">
        <v>33</v>
      </c>
      <c r="G162" s="1">
        <v>45418</v>
      </c>
      <c r="H162">
        <v>105190.21</v>
      </c>
      <c r="I162" t="s">
        <v>17</v>
      </c>
      <c r="J162">
        <v>-4672994937</v>
      </c>
      <c r="K162" t="s">
        <v>30</v>
      </c>
      <c r="L162" t="b">
        <v>1</v>
      </c>
      <c r="P162" t="str">
        <f>TRIM(Before_Tbl[[#This Row],[Employee_ID]])</f>
        <v>EMP1160</v>
      </c>
      <c r="Q162" t="str">
        <f>TRIM(PROPER(Before_Tbl[[#This Row],[First_Name]]))</f>
        <v>Bob</v>
      </c>
      <c r="R162" t="str">
        <f>TRIM(PROPER(Before_Tbl[[#This Row],[Last_Name]]))</f>
        <v>Davis</v>
      </c>
      <c r="S162" s="25">
        <f t="shared" si="2"/>
        <v>25</v>
      </c>
      <c r="T162" t="str">
        <f>LEFT(Before_Tbl[[#This Row],[Department_Region]],FIND("-",Before_Tbl[[#This Row],[Department_Region]])-1)</f>
        <v>Admin</v>
      </c>
      <c r="U162" t="str">
        <f>RIGHT(Before_Tbl[[#This Row],[Department_Region]],LEN(Before_Tbl[[#This Row],[Department_Region]])-FIND("-",Before_Tbl[[#This Row],[Department_Region]]))</f>
        <v>Texas</v>
      </c>
      <c r="V162" t="str">
        <f>TRIM(PROPER(Before_Tbl[[#This Row],[Status]]))</f>
        <v>Inactive</v>
      </c>
      <c r="W162" s="26">
        <v>45418</v>
      </c>
      <c r="X162" s="4">
        <v>105190.21</v>
      </c>
      <c r="Y162" t="str">
        <f>TRIM(LOWER(Before_Tbl[[#This Row],[Email]]))</f>
        <v>bob.davis@example.com</v>
      </c>
      <c r="Z162" s="2" t="str">
        <f>SUBSTITUTE(Before_Tbl[[#This Row],[Phone]],"-","")</f>
        <v>4672994937</v>
      </c>
      <c r="AA162" t="str">
        <f>TRIM(PROPER(Before_Tbl[[#This Row],[Performance_Score]]))</f>
        <v>Good</v>
      </c>
      <c r="AB162" s="2" t="str">
        <f>TRIM(UPPER(Before_Tbl[[#This Row],[Remote_Work]]))</f>
        <v>TRUE</v>
      </c>
    </row>
    <row r="163" spans="1:28" x14ac:dyDescent="0.35">
      <c r="A163" t="s">
        <v>382</v>
      </c>
      <c r="B163" t="s">
        <v>25</v>
      </c>
      <c r="C163" t="s">
        <v>122</v>
      </c>
      <c r="D163">
        <v>30</v>
      </c>
      <c r="E163" t="s">
        <v>139</v>
      </c>
      <c r="F163" t="s">
        <v>16</v>
      </c>
      <c r="G163" t="s">
        <v>383</v>
      </c>
      <c r="H163">
        <v>79467.240000000005</v>
      </c>
      <c r="I163" t="s">
        <v>182</v>
      </c>
      <c r="J163">
        <v>-7430271692</v>
      </c>
      <c r="K163" t="s">
        <v>41</v>
      </c>
      <c r="L163" t="b">
        <v>0</v>
      </c>
      <c r="P163" t="str">
        <f>TRIM(Before_Tbl[[#This Row],[Employee_ID]])</f>
        <v>EMP1161</v>
      </c>
      <c r="Q163" t="str">
        <f>TRIM(PROPER(Before_Tbl[[#This Row],[First_Name]]))</f>
        <v>Alice</v>
      </c>
      <c r="R163" t="str">
        <f>TRIM(PROPER(Before_Tbl[[#This Row],[Last_Name]]))</f>
        <v>Smith</v>
      </c>
      <c r="S163" s="25">
        <f t="shared" si="2"/>
        <v>30</v>
      </c>
      <c r="T163" t="str">
        <f>LEFT(Before_Tbl[[#This Row],[Department_Region]],FIND("-",Before_Tbl[[#This Row],[Department_Region]])-1)</f>
        <v>HR</v>
      </c>
      <c r="U163" t="str">
        <f>RIGHT(Before_Tbl[[#This Row],[Department_Region]],LEN(Before_Tbl[[#This Row],[Department_Region]])-FIND("-",Before_Tbl[[#This Row],[Department_Region]]))</f>
        <v>Texas</v>
      </c>
      <c r="V163" t="str">
        <f>TRIM(PROPER(Before_Tbl[[#This Row],[Status]]))</f>
        <v>Active</v>
      </c>
      <c r="W163" s="26">
        <v>45350</v>
      </c>
      <c r="X163" s="4">
        <v>79467.240000000005</v>
      </c>
      <c r="Y163" t="str">
        <f>TRIM(LOWER(Before_Tbl[[#This Row],[Email]]))</f>
        <v>alice.smith@example.com</v>
      </c>
      <c r="Z163" s="2" t="str">
        <f>SUBSTITUTE(Before_Tbl[[#This Row],[Phone]],"-","")</f>
        <v>7430271692</v>
      </c>
      <c r="AA163" t="str">
        <f>TRIM(PROPER(Before_Tbl[[#This Row],[Performance_Score]]))</f>
        <v>Poor</v>
      </c>
      <c r="AB163" s="2" t="str">
        <f>TRIM(UPPER(Before_Tbl[[#This Row],[Remote_Work]]))</f>
        <v>FALSE</v>
      </c>
    </row>
    <row r="164" spans="1:28" x14ac:dyDescent="0.35">
      <c r="A164" t="s">
        <v>384</v>
      </c>
      <c r="B164" t="s">
        <v>13</v>
      </c>
      <c r="C164" t="s">
        <v>43</v>
      </c>
      <c r="D164">
        <v>40</v>
      </c>
      <c r="E164" t="s">
        <v>70</v>
      </c>
      <c r="F164" t="s">
        <v>28</v>
      </c>
      <c r="G164" t="s">
        <v>385</v>
      </c>
      <c r="H164">
        <v>57633.78</v>
      </c>
      <c r="I164" t="s">
        <v>153</v>
      </c>
      <c r="J164">
        <v>-8597779013</v>
      </c>
      <c r="K164" t="s">
        <v>41</v>
      </c>
      <c r="L164" t="b">
        <v>1</v>
      </c>
      <c r="P164" t="str">
        <f>TRIM(Before_Tbl[[#This Row],[Employee_ID]])</f>
        <v>EMP1162</v>
      </c>
      <c r="Q164" t="str">
        <f>TRIM(PROPER(Before_Tbl[[#This Row],[First_Name]]))</f>
        <v>Bob</v>
      </c>
      <c r="R164" t="str">
        <f>TRIM(PROPER(Before_Tbl[[#This Row],[Last_Name]]))</f>
        <v>Garcia</v>
      </c>
      <c r="S164" s="25">
        <f t="shared" si="2"/>
        <v>40</v>
      </c>
      <c r="T164" t="str">
        <f>LEFT(Before_Tbl[[#This Row],[Department_Region]],FIND("-",Before_Tbl[[#This Row],[Department_Region]])-1)</f>
        <v>Finance</v>
      </c>
      <c r="U164" t="str">
        <f>RIGHT(Before_Tbl[[#This Row],[Department_Region]],LEN(Before_Tbl[[#This Row],[Department_Region]])-FIND("-",Before_Tbl[[#This Row],[Department_Region]]))</f>
        <v>California</v>
      </c>
      <c r="V164" t="str">
        <f>TRIM(PROPER(Before_Tbl[[#This Row],[Status]]))</f>
        <v>Pending</v>
      </c>
      <c r="W164" s="26">
        <v>45046</v>
      </c>
      <c r="X164" s="4">
        <v>57633.78</v>
      </c>
      <c r="Y164" t="str">
        <f>TRIM(LOWER(Before_Tbl[[#This Row],[Email]]))</f>
        <v>bob.garcia@example.com</v>
      </c>
      <c r="Z164" s="2" t="str">
        <f>SUBSTITUTE(Before_Tbl[[#This Row],[Phone]],"-","")</f>
        <v>8597779013</v>
      </c>
      <c r="AA164" t="str">
        <f>TRIM(PROPER(Before_Tbl[[#This Row],[Performance_Score]]))</f>
        <v>Poor</v>
      </c>
      <c r="AB164" s="2" t="str">
        <f>TRIM(UPPER(Before_Tbl[[#This Row],[Remote_Work]]))</f>
        <v>TRUE</v>
      </c>
    </row>
    <row r="165" spans="1:28" x14ac:dyDescent="0.35">
      <c r="A165" t="s">
        <v>386</v>
      </c>
      <c r="B165" t="s">
        <v>25</v>
      </c>
      <c r="C165" t="s">
        <v>20</v>
      </c>
      <c r="E165" t="s">
        <v>212</v>
      </c>
      <c r="F165" t="s">
        <v>28</v>
      </c>
      <c r="G165" s="1">
        <v>43924</v>
      </c>
      <c r="H165">
        <v>54257.78</v>
      </c>
      <c r="I165" t="s">
        <v>80</v>
      </c>
      <c r="J165">
        <v>-7546926328</v>
      </c>
      <c r="K165" t="s">
        <v>41</v>
      </c>
      <c r="L165" t="b">
        <v>1</v>
      </c>
      <c r="P165" t="str">
        <f>TRIM(Before_Tbl[[#This Row],[Employee_ID]])</f>
        <v>EMP1163</v>
      </c>
      <c r="Q165" t="str">
        <f>TRIM(PROPER(Before_Tbl[[#This Row],[First_Name]]))</f>
        <v>Alice</v>
      </c>
      <c r="R165" t="str">
        <f>TRIM(PROPER(Before_Tbl[[#This Row],[Last_Name]]))</f>
        <v>Brown</v>
      </c>
      <c r="S165" s="25">
        <f t="shared" si="2"/>
        <v>30</v>
      </c>
      <c r="T165" t="str">
        <f>LEFT(Before_Tbl[[#This Row],[Department_Region]],FIND("-",Before_Tbl[[#This Row],[Department_Region]])-1)</f>
        <v>HR</v>
      </c>
      <c r="U165" t="str">
        <f>RIGHT(Before_Tbl[[#This Row],[Department_Region]],LEN(Before_Tbl[[#This Row],[Department_Region]])-FIND("-",Before_Tbl[[#This Row],[Department_Region]]))</f>
        <v>Florida</v>
      </c>
      <c r="V165" t="str">
        <f>TRIM(PROPER(Before_Tbl[[#This Row],[Status]]))</f>
        <v>Pending</v>
      </c>
      <c r="W165" s="26">
        <v>43924</v>
      </c>
      <c r="X165" s="4">
        <v>54257.78</v>
      </c>
      <c r="Y165" t="str">
        <f>TRIM(LOWER(Before_Tbl[[#This Row],[Email]]))</f>
        <v>alice.brown@example.com</v>
      </c>
      <c r="Z165" s="2" t="str">
        <f>SUBSTITUTE(Before_Tbl[[#This Row],[Phone]],"-","")</f>
        <v>7546926328</v>
      </c>
      <c r="AA165" t="str">
        <f>TRIM(PROPER(Before_Tbl[[#This Row],[Performance_Score]]))</f>
        <v>Poor</v>
      </c>
      <c r="AB165" s="2" t="str">
        <f>TRIM(UPPER(Before_Tbl[[#This Row],[Remote_Work]]))</f>
        <v>TRUE</v>
      </c>
    </row>
    <row r="166" spans="1:28" x14ac:dyDescent="0.35">
      <c r="A166" t="s">
        <v>387</v>
      </c>
      <c r="B166" t="s">
        <v>69</v>
      </c>
      <c r="C166" t="s">
        <v>55</v>
      </c>
      <c r="D166">
        <v>40</v>
      </c>
      <c r="E166" t="s">
        <v>237</v>
      </c>
      <c r="F166" t="s">
        <v>33</v>
      </c>
      <c r="G166" t="s">
        <v>388</v>
      </c>
      <c r="H166">
        <v>113679.06</v>
      </c>
      <c r="I166" t="s">
        <v>127</v>
      </c>
      <c r="J166">
        <v>-6762916031</v>
      </c>
      <c r="K166" t="s">
        <v>41</v>
      </c>
      <c r="L166" t="b">
        <v>1</v>
      </c>
      <c r="P166" t="str">
        <f>TRIM(Before_Tbl[[#This Row],[Employee_ID]])</f>
        <v>EMP1164</v>
      </c>
      <c r="Q166" t="str">
        <f>TRIM(PROPER(Before_Tbl[[#This Row],[First_Name]]))</f>
        <v>Grace</v>
      </c>
      <c r="R166" t="str">
        <f>TRIM(PROPER(Before_Tbl[[#This Row],[Last_Name]]))</f>
        <v>Johnson</v>
      </c>
      <c r="S166" s="25">
        <f t="shared" si="2"/>
        <v>40</v>
      </c>
      <c r="T166" t="str">
        <f>LEFT(Before_Tbl[[#This Row],[Department_Region]],FIND("-",Before_Tbl[[#This Row],[Department_Region]])-1)</f>
        <v>DevOps</v>
      </c>
      <c r="U166" t="str">
        <f>RIGHT(Before_Tbl[[#This Row],[Department_Region]],LEN(Before_Tbl[[#This Row],[Department_Region]])-FIND("-",Before_Tbl[[#This Row],[Department_Region]]))</f>
        <v>Texas</v>
      </c>
      <c r="V166" t="str">
        <f>TRIM(PROPER(Before_Tbl[[#This Row],[Status]]))</f>
        <v>Inactive</v>
      </c>
      <c r="W166" s="26">
        <v>45289</v>
      </c>
      <c r="X166" s="4">
        <v>113679.06</v>
      </c>
      <c r="Y166" t="str">
        <f>TRIM(LOWER(Before_Tbl[[#This Row],[Email]]))</f>
        <v>grace.johnson@example.com</v>
      </c>
      <c r="Z166" s="2" t="str">
        <f>SUBSTITUTE(Before_Tbl[[#This Row],[Phone]],"-","")</f>
        <v>6762916031</v>
      </c>
      <c r="AA166" t="str">
        <f>TRIM(PROPER(Before_Tbl[[#This Row],[Performance_Score]]))</f>
        <v>Poor</v>
      </c>
      <c r="AB166" s="2" t="str">
        <f>TRIM(UPPER(Before_Tbl[[#This Row],[Remote_Work]]))</f>
        <v>TRUE</v>
      </c>
    </row>
    <row r="167" spans="1:28" x14ac:dyDescent="0.35">
      <c r="A167" t="s">
        <v>389</v>
      </c>
      <c r="B167" t="s">
        <v>13</v>
      </c>
      <c r="C167" t="s">
        <v>122</v>
      </c>
      <c r="D167">
        <v>35</v>
      </c>
      <c r="E167" t="s">
        <v>109</v>
      </c>
      <c r="F167" t="s">
        <v>16</v>
      </c>
      <c r="G167" t="s">
        <v>241</v>
      </c>
      <c r="H167">
        <v>69251.12</v>
      </c>
      <c r="I167" t="s">
        <v>123</v>
      </c>
      <c r="J167">
        <v>-4841376814</v>
      </c>
      <c r="K167" t="s">
        <v>41</v>
      </c>
      <c r="L167" t="b">
        <v>1</v>
      </c>
      <c r="P167" t="str">
        <f>TRIM(Before_Tbl[[#This Row],[Employee_ID]])</f>
        <v>EMP1165</v>
      </c>
      <c r="Q167" t="str">
        <f>TRIM(PROPER(Before_Tbl[[#This Row],[First_Name]]))</f>
        <v>Bob</v>
      </c>
      <c r="R167" t="str">
        <f>TRIM(PROPER(Before_Tbl[[#This Row],[Last_Name]]))</f>
        <v>Smith</v>
      </c>
      <c r="S167" s="25">
        <f t="shared" si="2"/>
        <v>35</v>
      </c>
      <c r="T167" t="str">
        <f>LEFT(Before_Tbl[[#This Row],[Department_Region]],FIND("-",Before_Tbl[[#This Row],[Department_Region]])-1)</f>
        <v>Sales</v>
      </c>
      <c r="U167" t="str">
        <f>RIGHT(Before_Tbl[[#This Row],[Department_Region]],LEN(Before_Tbl[[#This Row],[Department_Region]])-FIND("-",Before_Tbl[[#This Row],[Department_Region]]))</f>
        <v>New York</v>
      </c>
      <c r="V167" t="str">
        <f>TRIM(PROPER(Before_Tbl[[#This Row],[Status]]))</f>
        <v>Active</v>
      </c>
      <c r="W167" s="26">
        <v>44089</v>
      </c>
      <c r="X167" s="4">
        <v>69251.12</v>
      </c>
      <c r="Y167" t="str">
        <f>TRIM(LOWER(Before_Tbl[[#This Row],[Email]]))</f>
        <v>bob.smith@example.com</v>
      </c>
      <c r="Z167" s="2" t="str">
        <f>SUBSTITUTE(Before_Tbl[[#This Row],[Phone]],"-","")</f>
        <v>4841376814</v>
      </c>
      <c r="AA167" t="str">
        <f>TRIM(PROPER(Before_Tbl[[#This Row],[Performance_Score]]))</f>
        <v>Poor</v>
      </c>
      <c r="AB167" s="2" t="str">
        <f>TRIM(UPPER(Before_Tbl[[#This Row],[Remote_Work]]))</f>
        <v>TRUE</v>
      </c>
    </row>
    <row r="168" spans="1:28" x14ac:dyDescent="0.35">
      <c r="A168" t="s">
        <v>390</v>
      </c>
      <c r="B168" t="s">
        <v>37</v>
      </c>
      <c r="C168" t="s">
        <v>43</v>
      </c>
      <c r="D168">
        <v>40</v>
      </c>
      <c r="E168" t="s">
        <v>98</v>
      </c>
      <c r="F168" t="s">
        <v>33</v>
      </c>
      <c r="G168" t="s">
        <v>391</v>
      </c>
      <c r="H168">
        <v>85388.58</v>
      </c>
      <c r="I168" t="s">
        <v>180</v>
      </c>
      <c r="J168">
        <v>-1185672437</v>
      </c>
      <c r="K168" t="s">
        <v>41</v>
      </c>
      <c r="L168" t="b">
        <v>1</v>
      </c>
      <c r="P168" t="str">
        <f>TRIM(Before_Tbl[[#This Row],[Employee_ID]])</f>
        <v>EMP1166</v>
      </c>
      <c r="Q168" t="str">
        <f>TRIM(PROPER(Before_Tbl[[#This Row],[First_Name]]))</f>
        <v>Frank</v>
      </c>
      <c r="R168" t="str">
        <f>TRIM(PROPER(Before_Tbl[[#This Row],[Last_Name]]))</f>
        <v>Garcia</v>
      </c>
      <c r="S168" s="25">
        <f t="shared" si="2"/>
        <v>40</v>
      </c>
      <c r="T168" t="str">
        <f>LEFT(Before_Tbl[[#This Row],[Department_Region]],FIND("-",Before_Tbl[[#This Row],[Department_Region]])-1)</f>
        <v>Sales</v>
      </c>
      <c r="U168" t="str">
        <f>RIGHT(Before_Tbl[[#This Row],[Department_Region]],LEN(Before_Tbl[[#This Row],[Department_Region]])-FIND("-",Before_Tbl[[#This Row],[Department_Region]]))</f>
        <v>Illinois</v>
      </c>
      <c r="V168" t="str">
        <f>TRIM(PROPER(Before_Tbl[[#This Row],[Status]]))</f>
        <v>Inactive</v>
      </c>
      <c r="W168" s="26">
        <v>44760</v>
      </c>
      <c r="X168" s="4">
        <v>85388.58</v>
      </c>
      <c r="Y168" t="str">
        <f>TRIM(LOWER(Before_Tbl[[#This Row],[Email]]))</f>
        <v>frank.garcia@example.com</v>
      </c>
      <c r="Z168" s="2" t="str">
        <f>SUBSTITUTE(Before_Tbl[[#This Row],[Phone]],"-","")</f>
        <v>1185672437</v>
      </c>
      <c r="AA168" t="str">
        <f>TRIM(PROPER(Before_Tbl[[#This Row],[Performance_Score]]))</f>
        <v>Poor</v>
      </c>
      <c r="AB168" s="2" t="str">
        <f>TRIM(UPPER(Before_Tbl[[#This Row],[Remote_Work]]))</f>
        <v>TRUE</v>
      </c>
    </row>
    <row r="169" spans="1:28" x14ac:dyDescent="0.35">
      <c r="A169" t="s">
        <v>392</v>
      </c>
      <c r="B169" t="s">
        <v>13</v>
      </c>
      <c r="C169" t="s">
        <v>14</v>
      </c>
      <c r="E169" t="s">
        <v>56</v>
      </c>
      <c r="F169" t="s">
        <v>33</v>
      </c>
      <c r="G169" t="s">
        <v>393</v>
      </c>
      <c r="H169">
        <v>112166.37</v>
      </c>
      <c r="I169" t="s">
        <v>17</v>
      </c>
      <c r="J169">
        <v>-701765635</v>
      </c>
      <c r="K169" t="s">
        <v>23</v>
      </c>
      <c r="L169" t="b">
        <v>0</v>
      </c>
      <c r="P169" t="str">
        <f>TRIM(Before_Tbl[[#This Row],[Employee_ID]])</f>
        <v>EMP1167</v>
      </c>
      <c r="Q169" t="str">
        <f>TRIM(PROPER(Before_Tbl[[#This Row],[First_Name]]))</f>
        <v>Bob</v>
      </c>
      <c r="R169" t="str">
        <f>TRIM(PROPER(Before_Tbl[[#This Row],[Last_Name]]))</f>
        <v>Davis</v>
      </c>
      <c r="S169" s="25">
        <f t="shared" si="2"/>
        <v>30</v>
      </c>
      <c r="T169" t="str">
        <f>LEFT(Before_Tbl[[#This Row],[Department_Region]],FIND("-",Before_Tbl[[#This Row],[Department_Region]])-1)</f>
        <v>DevOps</v>
      </c>
      <c r="U169" t="str">
        <f>RIGHT(Before_Tbl[[#This Row],[Department_Region]],LEN(Before_Tbl[[#This Row],[Department_Region]])-FIND("-",Before_Tbl[[#This Row],[Department_Region]]))</f>
        <v>New York</v>
      </c>
      <c r="V169" t="str">
        <f>TRIM(PROPER(Before_Tbl[[#This Row],[Status]]))</f>
        <v>Inactive</v>
      </c>
      <c r="W169" s="26">
        <v>44755</v>
      </c>
      <c r="X169" s="4">
        <v>112166.37</v>
      </c>
      <c r="Y169" t="str">
        <f>TRIM(LOWER(Before_Tbl[[#This Row],[Email]]))</f>
        <v>bob.davis@example.com</v>
      </c>
      <c r="Z169" s="2" t="str">
        <f>SUBSTITUTE(Before_Tbl[[#This Row],[Phone]],"-","")</f>
        <v>701765635</v>
      </c>
      <c r="AA169" t="str">
        <f>TRIM(PROPER(Before_Tbl[[#This Row],[Performance_Score]]))</f>
        <v>Excellent</v>
      </c>
      <c r="AB169" s="2" t="str">
        <f>TRIM(UPPER(Before_Tbl[[#This Row],[Remote_Work]]))</f>
        <v>FALSE</v>
      </c>
    </row>
    <row r="170" spans="1:28" x14ac:dyDescent="0.35">
      <c r="A170" t="s">
        <v>394</v>
      </c>
      <c r="B170" t="s">
        <v>65</v>
      </c>
      <c r="C170" t="s">
        <v>14</v>
      </c>
      <c r="D170">
        <v>40</v>
      </c>
      <c r="E170" t="s">
        <v>100</v>
      </c>
      <c r="F170" t="s">
        <v>16</v>
      </c>
      <c r="G170" s="1">
        <v>44237</v>
      </c>
      <c r="H170">
        <v>79873.48</v>
      </c>
      <c r="I170" t="s">
        <v>395</v>
      </c>
      <c r="J170">
        <v>-41257770</v>
      </c>
      <c r="K170" t="s">
        <v>18</v>
      </c>
      <c r="L170" t="b">
        <v>0</v>
      </c>
      <c r="P170" t="str">
        <f>TRIM(Before_Tbl[[#This Row],[Employee_ID]])</f>
        <v>EMP1168</v>
      </c>
      <c r="Q170" t="str">
        <f>TRIM(PROPER(Before_Tbl[[#This Row],[First_Name]]))</f>
        <v>Heidi</v>
      </c>
      <c r="R170" t="str">
        <f>TRIM(PROPER(Before_Tbl[[#This Row],[Last_Name]]))</f>
        <v>Davis</v>
      </c>
      <c r="S170" s="25">
        <f t="shared" si="2"/>
        <v>40</v>
      </c>
      <c r="T170" t="str">
        <f>LEFT(Before_Tbl[[#This Row],[Department_Region]],FIND("-",Before_Tbl[[#This Row],[Department_Region]])-1)</f>
        <v>Finance</v>
      </c>
      <c r="U170" t="str">
        <f>RIGHT(Before_Tbl[[#This Row],[Department_Region]],LEN(Before_Tbl[[#This Row],[Department_Region]])-FIND("-",Before_Tbl[[#This Row],[Department_Region]]))</f>
        <v>Nevada</v>
      </c>
      <c r="V170" t="str">
        <f>TRIM(PROPER(Before_Tbl[[#This Row],[Status]]))</f>
        <v>Active</v>
      </c>
      <c r="W170" s="26">
        <v>44237</v>
      </c>
      <c r="X170" s="4">
        <v>79873.48</v>
      </c>
      <c r="Y170" t="str">
        <f>TRIM(LOWER(Before_Tbl[[#This Row],[Email]]))</f>
        <v>heidi.davis@example.com</v>
      </c>
      <c r="Z170" s="2" t="str">
        <f>SUBSTITUTE(Before_Tbl[[#This Row],[Phone]],"-","")</f>
        <v>41257770</v>
      </c>
      <c r="AA170" t="str">
        <f>TRIM(PROPER(Before_Tbl[[#This Row],[Performance_Score]]))</f>
        <v>Average</v>
      </c>
      <c r="AB170" s="2" t="str">
        <f>TRIM(UPPER(Before_Tbl[[#This Row],[Remote_Work]]))</f>
        <v>FALSE</v>
      </c>
    </row>
    <row r="171" spans="1:28" x14ac:dyDescent="0.35">
      <c r="A171" t="s">
        <v>396</v>
      </c>
      <c r="B171" t="s">
        <v>37</v>
      </c>
      <c r="C171" t="s">
        <v>92</v>
      </c>
      <c r="D171">
        <v>30</v>
      </c>
      <c r="E171" t="s">
        <v>230</v>
      </c>
      <c r="F171" t="s">
        <v>16</v>
      </c>
      <c r="G171" s="1">
        <v>43958</v>
      </c>
      <c r="H171">
        <v>108224.03</v>
      </c>
      <c r="I171" t="s">
        <v>110</v>
      </c>
      <c r="J171">
        <v>-1837274219</v>
      </c>
      <c r="K171" t="s">
        <v>41</v>
      </c>
      <c r="L171" t="b">
        <v>1</v>
      </c>
      <c r="P171" t="str">
        <f>TRIM(Before_Tbl[[#This Row],[Employee_ID]])</f>
        <v>EMP1169</v>
      </c>
      <c r="Q171" t="str">
        <f>TRIM(PROPER(Before_Tbl[[#This Row],[First_Name]]))</f>
        <v>Frank</v>
      </c>
      <c r="R171" t="str">
        <f>TRIM(PROPER(Before_Tbl[[#This Row],[Last_Name]]))</f>
        <v>Miller</v>
      </c>
      <c r="S171" s="25">
        <f t="shared" si="2"/>
        <v>30</v>
      </c>
      <c r="T171" t="str">
        <f>LEFT(Before_Tbl[[#This Row],[Department_Region]],FIND("-",Before_Tbl[[#This Row],[Department_Region]])-1)</f>
        <v>DevOps</v>
      </c>
      <c r="U171" t="str">
        <f>RIGHT(Before_Tbl[[#This Row],[Department_Region]],LEN(Before_Tbl[[#This Row],[Department_Region]])-FIND("-",Before_Tbl[[#This Row],[Department_Region]]))</f>
        <v>Florida</v>
      </c>
      <c r="V171" t="str">
        <f>TRIM(PROPER(Before_Tbl[[#This Row],[Status]]))</f>
        <v>Active</v>
      </c>
      <c r="W171" s="26">
        <v>43958</v>
      </c>
      <c r="X171" s="4">
        <v>108224.03</v>
      </c>
      <c r="Y171" t="str">
        <f>TRIM(LOWER(Before_Tbl[[#This Row],[Email]]))</f>
        <v>frank.miller@example.com</v>
      </c>
      <c r="Z171" s="2" t="str">
        <f>SUBSTITUTE(Before_Tbl[[#This Row],[Phone]],"-","")</f>
        <v>1837274219</v>
      </c>
      <c r="AA171" t="str">
        <f>TRIM(PROPER(Before_Tbl[[#This Row],[Performance_Score]]))</f>
        <v>Poor</v>
      </c>
      <c r="AB171" s="2" t="str">
        <f>TRIM(UPPER(Before_Tbl[[#This Row],[Remote_Work]]))</f>
        <v>TRUE</v>
      </c>
    </row>
    <row r="172" spans="1:28" x14ac:dyDescent="0.35">
      <c r="A172" t="s">
        <v>397</v>
      </c>
      <c r="B172" t="s">
        <v>13</v>
      </c>
      <c r="C172" t="s">
        <v>43</v>
      </c>
      <c r="D172">
        <v>35</v>
      </c>
      <c r="E172" t="s">
        <v>89</v>
      </c>
      <c r="F172" t="s">
        <v>16</v>
      </c>
      <c r="G172" t="s">
        <v>398</v>
      </c>
      <c r="H172">
        <v>116963.72</v>
      </c>
      <c r="I172" t="s">
        <v>153</v>
      </c>
      <c r="J172">
        <v>-9124186209</v>
      </c>
      <c r="K172" t="s">
        <v>18</v>
      </c>
      <c r="L172" t="b">
        <v>1</v>
      </c>
      <c r="P172" t="str">
        <f>TRIM(Before_Tbl[[#This Row],[Employee_ID]])</f>
        <v>EMP1170</v>
      </c>
      <c r="Q172" t="str">
        <f>TRIM(PROPER(Before_Tbl[[#This Row],[First_Name]]))</f>
        <v>Bob</v>
      </c>
      <c r="R172" t="str">
        <f>TRIM(PROPER(Before_Tbl[[#This Row],[Last_Name]]))</f>
        <v>Garcia</v>
      </c>
      <c r="S172" s="25">
        <f t="shared" si="2"/>
        <v>35</v>
      </c>
      <c r="T172" t="str">
        <f>LEFT(Before_Tbl[[#This Row],[Department_Region]],FIND("-",Before_Tbl[[#This Row],[Department_Region]])-1)</f>
        <v>Admin</v>
      </c>
      <c r="U172" t="str">
        <f>RIGHT(Before_Tbl[[#This Row],[Department_Region]],LEN(Before_Tbl[[#This Row],[Department_Region]])-FIND("-",Before_Tbl[[#This Row],[Department_Region]]))</f>
        <v>Illinois</v>
      </c>
      <c r="V172" t="str">
        <f>TRIM(PROPER(Before_Tbl[[#This Row],[Status]]))</f>
        <v>Active</v>
      </c>
      <c r="W172" s="26">
        <v>45032</v>
      </c>
      <c r="X172" s="4">
        <v>116963.72</v>
      </c>
      <c r="Y172" t="str">
        <f>TRIM(LOWER(Before_Tbl[[#This Row],[Email]]))</f>
        <v>bob.garcia@example.com</v>
      </c>
      <c r="Z172" s="2" t="str">
        <f>SUBSTITUTE(Before_Tbl[[#This Row],[Phone]],"-","")</f>
        <v>9124186209</v>
      </c>
      <c r="AA172" t="str">
        <f>TRIM(PROPER(Before_Tbl[[#This Row],[Performance_Score]]))</f>
        <v>Average</v>
      </c>
      <c r="AB172" s="2" t="str">
        <f>TRIM(UPPER(Before_Tbl[[#This Row],[Remote_Work]]))</f>
        <v>TRUE</v>
      </c>
    </row>
    <row r="173" spans="1:28" x14ac:dyDescent="0.35">
      <c r="A173" t="s">
        <v>399</v>
      </c>
      <c r="B173" t="s">
        <v>13</v>
      </c>
      <c r="C173" t="s">
        <v>26</v>
      </c>
      <c r="D173">
        <v>40</v>
      </c>
      <c r="E173" t="s">
        <v>149</v>
      </c>
      <c r="F173" t="s">
        <v>33</v>
      </c>
      <c r="G173" s="1">
        <v>45637</v>
      </c>
      <c r="H173">
        <v>114109.06</v>
      </c>
      <c r="I173" t="s">
        <v>50</v>
      </c>
      <c r="J173">
        <v>-4275230836</v>
      </c>
      <c r="K173" t="s">
        <v>18</v>
      </c>
      <c r="L173" t="b">
        <v>1</v>
      </c>
      <c r="P173" t="str">
        <f>TRIM(Before_Tbl[[#This Row],[Employee_ID]])</f>
        <v>EMP1171</v>
      </c>
      <c r="Q173" t="str">
        <f>TRIM(PROPER(Before_Tbl[[#This Row],[First_Name]]))</f>
        <v>Bob</v>
      </c>
      <c r="R173" t="str">
        <f>TRIM(PROPER(Before_Tbl[[#This Row],[Last_Name]]))</f>
        <v>Jones</v>
      </c>
      <c r="S173" s="25">
        <f t="shared" si="2"/>
        <v>40</v>
      </c>
      <c r="T173" t="str">
        <f>LEFT(Before_Tbl[[#This Row],[Department_Region]],FIND("-",Before_Tbl[[#This Row],[Department_Region]])-1)</f>
        <v>HR</v>
      </c>
      <c r="U173" t="str">
        <f>RIGHT(Before_Tbl[[#This Row],[Department_Region]],LEN(Before_Tbl[[#This Row],[Department_Region]])-FIND("-",Before_Tbl[[#This Row],[Department_Region]]))</f>
        <v>Nevada</v>
      </c>
      <c r="V173" t="str">
        <f>TRIM(PROPER(Before_Tbl[[#This Row],[Status]]))</f>
        <v>Inactive</v>
      </c>
      <c r="W173" s="26">
        <v>45637</v>
      </c>
      <c r="X173" s="4">
        <v>114109.06</v>
      </c>
      <c r="Y173" t="str">
        <f>TRIM(LOWER(Before_Tbl[[#This Row],[Email]]))</f>
        <v>bob.jones@example.com</v>
      </c>
      <c r="Z173" s="2" t="str">
        <f>SUBSTITUTE(Before_Tbl[[#This Row],[Phone]],"-","")</f>
        <v>4275230836</v>
      </c>
      <c r="AA173" t="str">
        <f>TRIM(PROPER(Before_Tbl[[#This Row],[Performance_Score]]))</f>
        <v>Average</v>
      </c>
      <c r="AB173" s="2" t="str">
        <f>TRIM(UPPER(Before_Tbl[[#This Row],[Remote_Work]]))</f>
        <v>TRUE</v>
      </c>
    </row>
    <row r="174" spans="1:28" x14ac:dyDescent="0.35">
      <c r="A174" t="s">
        <v>400</v>
      </c>
      <c r="B174" t="s">
        <v>32</v>
      </c>
      <c r="C174" t="s">
        <v>38</v>
      </c>
      <c r="E174" t="s">
        <v>146</v>
      </c>
      <c r="F174" t="s">
        <v>16</v>
      </c>
      <c r="G174" t="s">
        <v>401</v>
      </c>
      <c r="H174">
        <v>85518.88</v>
      </c>
      <c r="I174" t="s">
        <v>141</v>
      </c>
      <c r="J174">
        <v>-816470899</v>
      </c>
      <c r="K174" t="s">
        <v>23</v>
      </c>
      <c r="L174" t="b">
        <v>0</v>
      </c>
      <c r="P174" t="str">
        <f>TRIM(Before_Tbl[[#This Row],[Employee_ID]])</f>
        <v>EMP1172</v>
      </c>
      <c r="Q174" t="str">
        <f>TRIM(PROPER(Before_Tbl[[#This Row],[First_Name]]))</f>
        <v>Eva</v>
      </c>
      <c r="R174" t="str">
        <f>TRIM(PROPER(Before_Tbl[[#This Row],[Last_Name]]))</f>
        <v>Williams</v>
      </c>
      <c r="S174" s="25">
        <f t="shared" si="2"/>
        <v>30</v>
      </c>
      <c r="T174" t="str">
        <f>LEFT(Before_Tbl[[#This Row],[Department_Region]],FIND("-",Before_Tbl[[#This Row],[Department_Region]])-1)</f>
        <v>HR</v>
      </c>
      <c r="U174" t="str">
        <f>RIGHT(Before_Tbl[[#This Row],[Department_Region]],LEN(Before_Tbl[[#This Row],[Department_Region]])-FIND("-",Before_Tbl[[#This Row],[Department_Region]]))</f>
        <v>California</v>
      </c>
      <c r="V174" t="str">
        <f>TRIM(PROPER(Before_Tbl[[#This Row],[Status]]))</f>
        <v>Active</v>
      </c>
      <c r="W174" s="26">
        <v>45014</v>
      </c>
      <c r="X174" s="4">
        <v>85518.88</v>
      </c>
      <c r="Y174" t="str">
        <f>TRIM(LOWER(Before_Tbl[[#This Row],[Email]]))</f>
        <v>eva.williams@example.com</v>
      </c>
      <c r="Z174" s="2" t="str">
        <f>SUBSTITUTE(Before_Tbl[[#This Row],[Phone]],"-","")</f>
        <v>816470899</v>
      </c>
      <c r="AA174" t="str">
        <f>TRIM(PROPER(Before_Tbl[[#This Row],[Performance_Score]]))</f>
        <v>Excellent</v>
      </c>
      <c r="AB174" s="2" t="str">
        <f>TRIM(UPPER(Before_Tbl[[#This Row],[Remote_Work]]))</f>
        <v>FALSE</v>
      </c>
    </row>
    <row r="175" spans="1:28" x14ac:dyDescent="0.35">
      <c r="A175" t="s">
        <v>402</v>
      </c>
      <c r="B175" t="s">
        <v>65</v>
      </c>
      <c r="C175" t="s">
        <v>20</v>
      </c>
      <c r="D175">
        <v>30</v>
      </c>
      <c r="E175" t="s">
        <v>268</v>
      </c>
      <c r="F175" t="s">
        <v>28</v>
      </c>
      <c r="G175" t="s">
        <v>403</v>
      </c>
      <c r="H175">
        <v>58041.97</v>
      </c>
      <c r="I175" t="s">
        <v>404</v>
      </c>
      <c r="J175">
        <v>-6335331059</v>
      </c>
      <c r="K175" t="s">
        <v>41</v>
      </c>
      <c r="L175" t="b">
        <v>1</v>
      </c>
      <c r="P175" t="str">
        <f>TRIM(Before_Tbl[[#This Row],[Employee_ID]])</f>
        <v>EMP1173</v>
      </c>
      <c r="Q175" t="str">
        <f>TRIM(PROPER(Before_Tbl[[#This Row],[First_Name]]))</f>
        <v>Heidi</v>
      </c>
      <c r="R175" t="str">
        <f>TRIM(PROPER(Before_Tbl[[#This Row],[Last_Name]]))</f>
        <v>Brown</v>
      </c>
      <c r="S175" s="25">
        <f t="shared" si="2"/>
        <v>30</v>
      </c>
      <c r="T175" t="str">
        <f>LEFT(Before_Tbl[[#This Row],[Department_Region]],FIND("-",Before_Tbl[[#This Row],[Department_Region]])-1)</f>
        <v>Cloud Tech</v>
      </c>
      <c r="U175" t="str">
        <f>RIGHT(Before_Tbl[[#This Row],[Department_Region]],LEN(Before_Tbl[[#This Row],[Department_Region]])-FIND("-",Before_Tbl[[#This Row],[Department_Region]]))</f>
        <v>California</v>
      </c>
      <c r="V175" t="str">
        <f>TRIM(PROPER(Before_Tbl[[#This Row],[Status]]))</f>
        <v>Pending</v>
      </c>
      <c r="W175" s="26">
        <v>44583</v>
      </c>
      <c r="X175" s="4">
        <v>58041.97</v>
      </c>
      <c r="Y175" t="str">
        <f>TRIM(LOWER(Before_Tbl[[#This Row],[Email]]))</f>
        <v>heidi.brown@example.com</v>
      </c>
      <c r="Z175" s="2" t="str">
        <f>SUBSTITUTE(Before_Tbl[[#This Row],[Phone]],"-","")</f>
        <v>6335331059</v>
      </c>
      <c r="AA175" t="str">
        <f>TRIM(PROPER(Before_Tbl[[#This Row],[Performance_Score]]))</f>
        <v>Poor</v>
      </c>
      <c r="AB175" s="2" t="str">
        <f>TRIM(UPPER(Before_Tbl[[#This Row],[Remote_Work]]))</f>
        <v>TRUE</v>
      </c>
    </row>
    <row r="176" spans="1:28" x14ac:dyDescent="0.35">
      <c r="A176" t="s">
        <v>405</v>
      </c>
      <c r="B176" t="s">
        <v>59</v>
      </c>
      <c r="C176" t="s">
        <v>43</v>
      </c>
      <c r="D176">
        <v>40</v>
      </c>
      <c r="E176" t="s">
        <v>98</v>
      </c>
      <c r="F176" t="s">
        <v>28</v>
      </c>
      <c r="G176" t="s">
        <v>406</v>
      </c>
      <c r="H176">
        <v>94988.94</v>
      </c>
      <c r="I176" t="s">
        <v>101</v>
      </c>
      <c r="J176">
        <v>-531312205</v>
      </c>
      <c r="K176" t="s">
        <v>30</v>
      </c>
      <c r="L176" t="b">
        <v>0</v>
      </c>
      <c r="P176" t="str">
        <f>TRIM(Before_Tbl[[#This Row],[Employee_ID]])</f>
        <v>EMP1174</v>
      </c>
      <c r="Q176" t="str">
        <f>TRIM(PROPER(Before_Tbl[[#This Row],[First_Name]]))</f>
        <v>David</v>
      </c>
      <c r="R176" t="str">
        <f>TRIM(PROPER(Before_Tbl[[#This Row],[Last_Name]]))</f>
        <v>Garcia</v>
      </c>
      <c r="S176" s="25">
        <f t="shared" si="2"/>
        <v>40</v>
      </c>
      <c r="T176" t="str">
        <f>LEFT(Before_Tbl[[#This Row],[Department_Region]],FIND("-",Before_Tbl[[#This Row],[Department_Region]])-1)</f>
        <v>Sales</v>
      </c>
      <c r="U176" t="str">
        <f>RIGHT(Before_Tbl[[#This Row],[Department_Region]],LEN(Before_Tbl[[#This Row],[Department_Region]])-FIND("-",Before_Tbl[[#This Row],[Department_Region]]))</f>
        <v>Illinois</v>
      </c>
      <c r="V176" t="str">
        <f>TRIM(PROPER(Before_Tbl[[#This Row],[Status]]))</f>
        <v>Pending</v>
      </c>
      <c r="W176" s="26">
        <v>45213</v>
      </c>
      <c r="X176" s="4">
        <v>94988.94</v>
      </c>
      <c r="Y176" t="str">
        <f>TRIM(LOWER(Before_Tbl[[#This Row],[Email]]))</f>
        <v>david.garcia@example.com</v>
      </c>
      <c r="Z176" s="2" t="str">
        <f>SUBSTITUTE(Before_Tbl[[#This Row],[Phone]],"-","")</f>
        <v>531312205</v>
      </c>
      <c r="AA176" t="str">
        <f>TRIM(PROPER(Before_Tbl[[#This Row],[Performance_Score]]))</f>
        <v>Good</v>
      </c>
      <c r="AB176" s="2" t="str">
        <f>TRIM(UPPER(Before_Tbl[[#This Row],[Remote_Work]]))</f>
        <v>FALSE</v>
      </c>
    </row>
    <row r="177" spans="1:28" x14ac:dyDescent="0.35">
      <c r="A177" t="s">
        <v>407</v>
      </c>
      <c r="B177" t="s">
        <v>32</v>
      </c>
      <c r="C177" t="s">
        <v>92</v>
      </c>
      <c r="D177">
        <v>25</v>
      </c>
      <c r="E177" t="s">
        <v>118</v>
      </c>
      <c r="F177" t="s">
        <v>28</v>
      </c>
      <c r="G177" s="1">
        <v>45569</v>
      </c>
      <c r="H177">
        <v>71628.929999999993</v>
      </c>
      <c r="I177" t="s">
        <v>263</v>
      </c>
      <c r="J177">
        <v>-8155839385</v>
      </c>
      <c r="K177" t="s">
        <v>23</v>
      </c>
      <c r="L177" t="b">
        <v>0</v>
      </c>
      <c r="P177" t="str">
        <f>TRIM(Before_Tbl[[#This Row],[Employee_ID]])</f>
        <v>EMP1175</v>
      </c>
      <c r="Q177" t="str">
        <f>TRIM(PROPER(Before_Tbl[[#This Row],[First_Name]]))</f>
        <v>Eva</v>
      </c>
      <c r="R177" t="str">
        <f>TRIM(PROPER(Before_Tbl[[#This Row],[Last_Name]]))</f>
        <v>Miller</v>
      </c>
      <c r="S177" s="25">
        <f t="shared" si="2"/>
        <v>25</v>
      </c>
      <c r="T177" t="str">
        <f>LEFT(Before_Tbl[[#This Row],[Department_Region]],FIND("-",Before_Tbl[[#This Row],[Department_Region]])-1)</f>
        <v>Admin</v>
      </c>
      <c r="U177" t="str">
        <f>RIGHT(Before_Tbl[[#This Row],[Department_Region]],LEN(Before_Tbl[[#This Row],[Department_Region]])-FIND("-",Before_Tbl[[#This Row],[Department_Region]]))</f>
        <v>California</v>
      </c>
      <c r="V177" t="str">
        <f>TRIM(PROPER(Before_Tbl[[#This Row],[Status]]))</f>
        <v>Pending</v>
      </c>
      <c r="W177" s="26">
        <v>45569</v>
      </c>
      <c r="X177" s="4">
        <v>71628.929999999993</v>
      </c>
      <c r="Y177" t="str">
        <f>TRIM(LOWER(Before_Tbl[[#This Row],[Email]]))</f>
        <v>eva.miller@example.com</v>
      </c>
      <c r="Z177" s="2" t="str">
        <f>SUBSTITUTE(Before_Tbl[[#This Row],[Phone]],"-","")</f>
        <v>8155839385</v>
      </c>
      <c r="AA177" t="str">
        <f>TRIM(PROPER(Before_Tbl[[#This Row],[Performance_Score]]))</f>
        <v>Excellent</v>
      </c>
      <c r="AB177" s="2" t="str">
        <f>TRIM(UPPER(Before_Tbl[[#This Row],[Remote_Work]]))</f>
        <v>FALSE</v>
      </c>
    </row>
    <row r="178" spans="1:28" x14ac:dyDescent="0.35">
      <c r="A178" t="s">
        <v>408</v>
      </c>
      <c r="B178" t="s">
        <v>25</v>
      </c>
      <c r="C178" t="s">
        <v>38</v>
      </c>
      <c r="D178">
        <v>30</v>
      </c>
      <c r="E178" t="s">
        <v>89</v>
      </c>
      <c r="F178" t="s">
        <v>28</v>
      </c>
      <c r="G178" t="s">
        <v>284</v>
      </c>
      <c r="H178">
        <v>54870.98</v>
      </c>
      <c r="I178" t="s">
        <v>363</v>
      </c>
      <c r="J178">
        <v>-6133155205</v>
      </c>
      <c r="K178" t="s">
        <v>30</v>
      </c>
      <c r="L178" t="b">
        <v>0</v>
      </c>
      <c r="P178" t="str">
        <f>TRIM(Before_Tbl[[#This Row],[Employee_ID]])</f>
        <v>EMP1176</v>
      </c>
      <c r="Q178" t="str">
        <f>TRIM(PROPER(Before_Tbl[[#This Row],[First_Name]]))</f>
        <v>Alice</v>
      </c>
      <c r="R178" t="str">
        <f>TRIM(PROPER(Before_Tbl[[#This Row],[Last_Name]]))</f>
        <v>Williams</v>
      </c>
      <c r="S178" s="25">
        <f t="shared" si="2"/>
        <v>30</v>
      </c>
      <c r="T178" t="str">
        <f>LEFT(Before_Tbl[[#This Row],[Department_Region]],FIND("-",Before_Tbl[[#This Row],[Department_Region]])-1)</f>
        <v>Admin</v>
      </c>
      <c r="U178" t="str">
        <f>RIGHT(Before_Tbl[[#This Row],[Department_Region]],LEN(Before_Tbl[[#This Row],[Department_Region]])-FIND("-",Before_Tbl[[#This Row],[Department_Region]]))</f>
        <v>Illinois</v>
      </c>
      <c r="V178" t="str">
        <f>TRIM(PROPER(Before_Tbl[[#This Row],[Status]]))</f>
        <v>Pending</v>
      </c>
      <c r="W178" s="26">
        <v>44651</v>
      </c>
      <c r="X178" s="4">
        <v>54870.98</v>
      </c>
      <c r="Y178" t="str">
        <f>TRIM(LOWER(Before_Tbl[[#This Row],[Email]]))</f>
        <v>alice.williams@example.com</v>
      </c>
      <c r="Z178" s="2" t="str">
        <f>SUBSTITUTE(Before_Tbl[[#This Row],[Phone]],"-","")</f>
        <v>6133155205</v>
      </c>
      <c r="AA178" t="str">
        <f>TRIM(PROPER(Before_Tbl[[#This Row],[Performance_Score]]))</f>
        <v>Good</v>
      </c>
      <c r="AB178" s="2" t="str">
        <f>TRIM(UPPER(Before_Tbl[[#This Row],[Remote_Work]]))</f>
        <v>FALSE</v>
      </c>
    </row>
    <row r="179" spans="1:28" x14ac:dyDescent="0.35">
      <c r="A179" t="s">
        <v>409</v>
      </c>
      <c r="B179" t="s">
        <v>25</v>
      </c>
      <c r="C179" t="s">
        <v>38</v>
      </c>
      <c r="D179">
        <v>25</v>
      </c>
      <c r="E179" t="s">
        <v>78</v>
      </c>
      <c r="F179" t="s">
        <v>16</v>
      </c>
      <c r="G179" s="1">
        <v>44806</v>
      </c>
      <c r="H179">
        <v>79388.27</v>
      </c>
      <c r="I179" t="s">
        <v>363</v>
      </c>
      <c r="J179">
        <v>-5063731494</v>
      </c>
      <c r="K179" t="s">
        <v>18</v>
      </c>
      <c r="L179" t="b">
        <v>1</v>
      </c>
      <c r="P179" t="str">
        <f>TRIM(Before_Tbl[[#This Row],[Employee_ID]])</f>
        <v>EMP1177</v>
      </c>
      <c r="Q179" t="str">
        <f>TRIM(PROPER(Before_Tbl[[#This Row],[First_Name]]))</f>
        <v>Alice</v>
      </c>
      <c r="R179" t="str">
        <f>TRIM(PROPER(Before_Tbl[[#This Row],[Last_Name]]))</f>
        <v>Williams</v>
      </c>
      <c r="S179" s="25">
        <f t="shared" si="2"/>
        <v>25</v>
      </c>
      <c r="T179" t="str">
        <f>LEFT(Before_Tbl[[#This Row],[Department_Region]],FIND("-",Before_Tbl[[#This Row],[Department_Region]])-1)</f>
        <v>DevOps</v>
      </c>
      <c r="U179" t="str">
        <f>RIGHT(Before_Tbl[[#This Row],[Department_Region]],LEN(Before_Tbl[[#This Row],[Department_Region]])-FIND("-",Before_Tbl[[#This Row],[Department_Region]]))</f>
        <v>Illinois</v>
      </c>
      <c r="V179" t="str">
        <f>TRIM(PROPER(Before_Tbl[[#This Row],[Status]]))</f>
        <v>Active</v>
      </c>
      <c r="W179" s="26">
        <v>44806</v>
      </c>
      <c r="X179" s="4">
        <v>79388.27</v>
      </c>
      <c r="Y179" t="str">
        <f>TRIM(LOWER(Before_Tbl[[#This Row],[Email]]))</f>
        <v>alice.williams@example.com</v>
      </c>
      <c r="Z179" s="2" t="str">
        <f>SUBSTITUTE(Before_Tbl[[#This Row],[Phone]],"-","")</f>
        <v>5063731494</v>
      </c>
      <c r="AA179" t="str">
        <f>TRIM(PROPER(Before_Tbl[[#This Row],[Performance_Score]]))</f>
        <v>Average</v>
      </c>
      <c r="AB179" s="2" t="str">
        <f>TRIM(UPPER(Before_Tbl[[#This Row],[Remote_Work]]))</f>
        <v>TRUE</v>
      </c>
    </row>
    <row r="180" spans="1:28" x14ac:dyDescent="0.35">
      <c r="A180" t="s">
        <v>410</v>
      </c>
      <c r="B180" t="s">
        <v>37</v>
      </c>
      <c r="C180" t="s">
        <v>122</v>
      </c>
      <c r="D180">
        <v>35</v>
      </c>
      <c r="E180" t="s">
        <v>15</v>
      </c>
      <c r="F180" t="s">
        <v>28</v>
      </c>
      <c r="G180" s="1">
        <v>45082</v>
      </c>
      <c r="H180">
        <v>55946.99</v>
      </c>
      <c r="I180" t="s">
        <v>137</v>
      </c>
      <c r="J180">
        <v>-136497188</v>
      </c>
      <c r="K180" t="s">
        <v>18</v>
      </c>
      <c r="L180" t="b">
        <v>0</v>
      </c>
      <c r="P180" t="str">
        <f>TRIM(Before_Tbl[[#This Row],[Employee_ID]])</f>
        <v>EMP1178</v>
      </c>
      <c r="Q180" t="str">
        <f>TRIM(PROPER(Before_Tbl[[#This Row],[First_Name]]))</f>
        <v>Frank</v>
      </c>
      <c r="R180" t="str">
        <f>TRIM(PROPER(Before_Tbl[[#This Row],[Last_Name]]))</f>
        <v>Smith</v>
      </c>
      <c r="S180" s="25">
        <f t="shared" si="2"/>
        <v>35</v>
      </c>
      <c r="T180" t="str">
        <f>LEFT(Before_Tbl[[#This Row],[Department_Region]],FIND("-",Before_Tbl[[#This Row],[Department_Region]])-1)</f>
        <v>DevOps</v>
      </c>
      <c r="U180" t="str">
        <f>RIGHT(Before_Tbl[[#This Row],[Department_Region]],LEN(Before_Tbl[[#This Row],[Department_Region]])-FIND("-",Before_Tbl[[#This Row],[Department_Region]]))</f>
        <v>California</v>
      </c>
      <c r="V180" t="str">
        <f>TRIM(PROPER(Before_Tbl[[#This Row],[Status]]))</f>
        <v>Pending</v>
      </c>
      <c r="W180" s="26">
        <v>45082</v>
      </c>
      <c r="X180" s="4">
        <v>55946.99</v>
      </c>
      <c r="Y180" t="str">
        <f>TRIM(LOWER(Before_Tbl[[#This Row],[Email]]))</f>
        <v>frank.smith@example.com</v>
      </c>
      <c r="Z180" s="2" t="str">
        <f>SUBSTITUTE(Before_Tbl[[#This Row],[Phone]],"-","")</f>
        <v>136497188</v>
      </c>
      <c r="AA180" t="str">
        <f>TRIM(PROPER(Before_Tbl[[#This Row],[Performance_Score]]))</f>
        <v>Average</v>
      </c>
      <c r="AB180" s="2" t="str">
        <f>TRIM(UPPER(Before_Tbl[[#This Row],[Remote_Work]]))</f>
        <v>FALSE</v>
      </c>
    </row>
    <row r="181" spans="1:28" x14ac:dyDescent="0.35">
      <c r="A181" t="s">
        <v>411</v>
      </c>
      <c r="B181" t="s">
        <v>54</v>
      </c>
      <c r="C181" t="s">
        <v>38</v>
      </c>
      <c r="E181" t="s">
        <v>85</v>
      </c>
      <c r="F181" t="s">
        <v>16</v>
      </c>
      <c r="G181" s="1">
        <v>44507</v>
      </c>
      <c r="H181">
        <v>81017.91</v>
      </c>
      <c r="I181" t="s">
        <v>90</v>
      </c>
      <c r="J181">
        <v>-2419562524</v>
      </c>
      <c r="K181" t="s">
        <v>23</v>
      </c>
      <c r="L181" t="b">
        <v>1</v>
      </c>
      <c r="P181" t="str">
        <f>TRIM(Before_Tbl[[#This Row],[Employee_ID]])</f>
        <v>EMP1179</v>
      </c>
      <c r="Q181" t="str">
        <f>TRIM(PROPER(Before_Tbl[[#This Row],[First_Name]]))</f>
        <v>Charlie</v>
      </c>
      <c r="R181" t="str">
        <f>TRIM(PROPER(Before_Tbl[[#This Row],[Last_Name]]))</f>
        <v>Williams</v>
      </c>
      <c r="S181" s="25">
        <f t="shared" si="2"/>
        <v>30</v>
      </c>
      <c r="T181" t="str">
        <f>LEFT(Before_Tbl[[#This Row],[Department_Region]],FIND("-",Before_Tbl[[#This Row],[Department_Region]])-1)</f>
        <v>Cloud Tech</v>
      </c>
      <c r="U181" t="str">
        <f>RIGHT(Before_Tbl[[#This Row],[Department_Region]],LEN(Before_Tbl[[#This Row],[Department_Region]])-FIND("-",Before_Tbl[[#This Row],[Department_Region]]))</f>
        <v>Nevada</v>
      </c>
      <c r="V181" t="str">
        <f>TRIM(PROPER(Before_Tbl[[#This Row],[Status]]))</f>
        <v>Active</v>
      </c>
      <c r="W181" s="26">
        <v>44507</v>
      </c>
      <c r="X181" s="4">
        <v>81017.91</v>
      </c>
      <c r="Y181" t="str">
        <f>TRIM(LOWER(Before_Tbl[[#This Row],[Email]]))</f>
        <v>charlie.williams@example.com</v>
      </c>
      <c r="Z181" s="2" t="str">
        <f>SUBSTITUTE(Before_Tbl[[#This Row],[Phone]],"-","")</f>
        <v>2419562524</v>
      </c>
      <c r="AA181" t="str">
        <f>TRIM(PROPER(Before_Tbl[[#This Row],[Performance_Score]]))</f>
        <v>Excellent</v>
      </c>
      <c r="AB181" s="2" t="str">
        <f>TRIM(UPPER(Before_Tbl[[#This Row],[Remote_Work]]))</f>
        <v>TRUE</v>
      </c>
    </row>
    <row r="182" spans="1:28" x14ac:dyDescent="0.35">
      <c r="A182" t="s">
        <v>412</v>
      </c>
      <c r="B182" t="s">
        <v>65</v>
      </c>
      <c r="C182" t="s">
        <v>26</v>
      </c>
      <c r="D182">
        <v>40</v>
      </c>
      <c r="E182" t="s">
        <v>66</v>
      </c>
      <c r="F182" t="s">
        <v>28</v>
      </c>
      <c r="G182" t="s">
        <v>413</v>
      </c>
      <c r="H182">
        <v>74162.100000000006</v>
      </c>
      <c r="I182" t="s">
        <v>320</v>
      </c>
      <c r="J182">
        <v>-7150997682</v>
      </c>
      <c r="K182" t="s">
        <v>23</v>
      </c>
      <c r="L182" t="b">
        <v>0</v>
      </c>
      <c r="P182" t="str">
        <f>TRIM(Before_Tbl[[#This Row],[Employee_ID]])</f>
        <v>EMP1180</v>
      </c>
      <c r="Q182" t="str">
        <f>TRIM(PROPER(Before_Tbl[[#This Row],[First_Name]]))</f>
        <v>Heidi</v>
      </c>
      <c r="R182" t="str">
        <f>TRIM(PROPER(Before_Tbl[[#This Row],[Last_Name]]))</f>
        <v>Jones</v>
      </c>
      <c r="S182" s="25">
        <f t="shared" si="2"/>
        <v>40</v>
      </c>
      <c r="T182" t="str">
        <f>LEFT(Before_Tbl[[#This Row],[Department_Region]],FIND("-",Before_Tbl[[#This Row],[Department_Region]])-1)</f>
        <v>HR</v>
      </c>
      <c r="U182" t="str">
        <f>RIGHT(Before_Tbl[[#This Row],[Department_Region]],LEN(Before_Tbl[[#This Row],[Department_Region]])-FIND("-",Before_Tbl[[#This Row],[Department_Region]]))</f>
        <v>New York</v>
      </c>
      <c r="V182" t="str">
        <f>TRIM(PROPER(Before_Tbl[[#This Row],[Status]]))</f>
        <v>Pending</v>
      </c>
      <c r="W182" s="26">
        <v>44064</v>
      </c>
      <c r="X182" s="4">
        <v>74162.100000000006</v>
      </c>
      <c r="Y182" t="str">
        <f>TRIM(LOWER(Before_Tbl[[#This Row],[Email]]))</f>
        <v>heidi.jones@example.com</v>
      </c>
      <c r="Z182" s="2" t="str">
        <f>SUBSTITUTE(Before_Tbl[[#This Row],[Phone]],"-","")</f>
        <v>7150997682</v>
      </c>
      <c r="AA182" t="str">
        <f>TRIM(PROPER(Before_Tbl[[#This Row],[Performance_Score]]))</f>
        <v>Excellent</v>
      </c>
      <c r="AB182" s="2" t="str">
        <f>TRIM(UPPER(Before_Tbl[[#This Row],[Remote_Work]]))</f>
        <v>FALSE</v>
      </c>
    </row>
    <row r="183" spans="1:28" x14ac:dyDescent="0.35">
      <c r="A183" t="s">
        <v>414</v>
      </c>
      <c r="B183" t="s">
        <v>65</v>
      </c>
      <c r="C183" t="s">
        <v>14</v>
      </c>
      <c r="E183" t="s">
        <v>15</v>
      </c>
      <c r="F183" t="s">
        <v>16</v>
      </c>
      <c r="G183" t="s">
        <v>415</v>
      </c>
      <c r="H183">
        <v>77668.44</v>
      </c>
      <c r="I183" t="s">
        <v>395</v>
      </c>
      <c r="J183">
        <v>-8903091435</v>
      </c>
      <c r="K183" t="s">
        <v>30</v>
      </c>
      <c r="L183" t="b">
        <v>1</v>
      </c>
      <c r="P183" t="str">
        <f>TRIM(Before_Tbl[[#This Row],[Employee_ID]])</f>
        <v>EMP1181</v>
      </c>
      <c r="Q183" t="str">
        <f>TRIM(PROPER(Before_Tbl[[#This Row],[First_Name]]))</f>
        <v>Heidi</v>
      </c>
      <c r="R183" t="str">
        <f>TRIM(PROPER(Before_Tbl[[#This Row],[Last_Name]]))</f>
        <v>Davis</v>
      </c>
      <c r="S183" s="25">
        <f t="shared" si="2"/>
        <v>30</v>
      </c>
      <c r="T183" t="str">
        <f>LEFT(Before_Tbl[[#This Row],[Department_Region]],FIND("-",Before_Tbl[[#This Row],[Department_Region]])-1)</f>
        <v>DevOps</v>
      </c>
      <c r="U183" t="str">
        <f>RIGHT(Before_Tbl[[#This Row],[Department_Region]],LEN(Before_Tbl[[#This Row],[Department_Region]])-FIND("-",Before_Tbl[[#This Row],[Department_Region]]))</f>
        <v>California</v>
      </c>
      <c r="V183" t="str">
        <f>TRIM(PROPER(Before_Tbl[[#This Row],[Status]]))</f>
        <v>Active</v>
      </c>
      <c r="W183" s="26">
        <v>44282</v>
      </c>
      <c r="X183" s="4">
        <v>77668.44</v>
      </c>
      <c r="Y183" t="str">
        <f>TRIM(LOWER(Before_Tbl[[#This Row],[Email]]))</f>
        <v>heidi.davis@example.com</v>
      </c>
      <c r="Z183" s="2" t="str">
        <f>SUBSTITUTE(Before_Tbl[[#This Row],[Phone]],"-","")</f>
        <v>8903091435</v>
      </c>
      <c r="AA183" t="str">
        <f>TRIM(PROPER(Before_Tbl[[#This Row],[Performance_Score]]))</f>
        <v>Good</v>
      </c>
      <c r="AB183" s="2" t="str">
        <f>TRIM(UPPER(Before_Tbl[[#This Row],[Remote_Work]]))</f>
        <v>TRUE</v>
      </c>
    </row>
    <row r="184" spans="1:28" x14ac:dyDescent="0.35">
      <c r="A184" t="s">
        <v>416</v>
      </c>
      <c r="B184" t="s">
        <v>25</v>
      </c>
      <c r="C184" t="s">
        <v>92</v>
      </c>
      <c r="D184">
        <v>30</v>
      </c>
      <c r="E184" t="s">
        <v>66</v>
      </c>
      <c r="F184" t="s">
        <v>16</v>
      </c>
      <c r="G184" t="s">
        <v>417</v>
      </c>
      <c r="H184">
        <v>67886.37</v>
      </c>
      <c r="I184" t="s">
        <v>166</v>
      </c>
      <c r="J184">
        <v>-3910257431</v>
      </c>
      <c r="K184" t="s">
        <v>41</v>
      </c>
      <c r="L184" t="b">
        <v>0</v>
      </c>
      <c r="P184" t="str">
        <f>TRIM(Before_Tbl[[#This Row],[Employee_ID]])</f>
        <v>EMP1182</v>
      </c>
      <c r="Q184" t="str">
        <f>TRIM(PROPER(Before_Tbl[[#This Row],[First_Name]]))</f>
        <v>Alice</v>
      </c>
      <c r="R184" t="str">
        <f>TRIM(PROPER(Before_Tbl[[#This Row],[Last_Name]]))</f>
        <v>Miller</v>
      </c>
      <c r="S184" s="25">
        <f t="shared" si="2"/>
        <v>30</v>
      </c>
      <c r="T184" t="str">
        <f>LEFT(Before_Tbl[[#This Row],[Department_Region]],FIND("-",Before_Tbl[[#This Row],[Department_Region]])-1)</f>
        <v>HR</v>
      </c>
      <c r="U184" t="str">
        <f>RIGHT(Before_Tbl[[#This Row],[Department_Region]],LEN(Before_Tbl[[#This Row],[Department_Region]])-FIND("-",Before_Tbl[[#This Row],[Department_Region]]))</f>
        <v>New York</v>
      </c>
      <c r="V184" t="str">
        <f>TRIM(PROPER(Before_Tbl[[#This Row],[Status]]))</f>
        <v>Active</v>
      </c>
      <c r="W184" s="26">
        <v>45396</v>
      </c>
      <c r="X184" s="4">
        <v>67886.37</v>
      </c>
      <c r="Y184" t="str">
        <f>TRIM(LOWER(Before_Tbl[[#This Row],[Email]]))</f>
        <v>alice.miller@example.com</v>
      </c>
      <c r="Z184" s="2" t="str">
        <f>SUBSTITUTE(Before_Tbl[[#This Row],[Phone]],"-","")</f>
        <v>3910257431</v>
      </c>
      <c r="AA184" t="str">
        <f>TRIM(PROPER(Before_Tbl[[#This Row],[Performance_Score]]))</f>
        <v>Poor</v>
      </c>
      <c r="AB184" s="2" t="str">
        <f>TRIM(UPPER(Before_Tbl[[#This Row],[Remote_Work]]))</f>
        <v>FALSE</v>
      </c>
    </row>
    <row r="185" spans="1:28" x14ac:dyDescent="0.35">
      <c r="A185" t="s">
        <v>418</v>
      </c>
      <c r="B185" t="s">
        <v>25</v>
      </c>
      <c r="C185" t="s">
        <v>38</v>
      </c>
      <c r="D185">
        <v>40</v>
      </c>
      <c r="E185" t="s">
        <v>230</v>
      </c>
      <c r="F185" t="s">
        <v>16</v>
      </c>
      <c r="G185" t="s">
        <v>419</v>
      </c>
      <c r="H185">
        <v>76614.52</v>
      </c>
      <c r="I185" t="s">
        <v>363</v>
      </c>
      <c r="J185">
        <v>-6303975244</v>
      </c>
      <c r="K185" t="s">
        <v>30</v>
      </c>
      <c r="L185" t="b">
        <v>1</v>
      </c>
      <c r="P185" t="str">
        <f>TRIM(Before_Tbl[[#This Row],[Employee_ID]])</f>
        <v>EMP1183</v>
      </c>
      <c r="Q185" t="str">
        <f>TRIM(PROPER(Before_Tbl[[#This Row],[First_Name]]))</f>
        <v>Alice</v>
      </c>
      <c r="R185" t="str">
        <f>TRIM(PROPER(Before_Tbl[[#This Row],[Last_Name]]))</f>
        <v>Williams</v>
      </c>
      <c r="S185" s="25">
        <f t="shared" si="2"/>
        <v>40</v>
      </c>
      <c r="T185" t="str">
        <f>LEFT(Before_Tbl[[#This Row],[Department_Region]],FIND("-",Before_Tbl[[#This Row],[Department_Region]])-1)</f>
        <v>DevOps</v>
      </c>
      <c r="U185" t="str">
        <f>RIGHT(Before_Tbl[[#This Row],[Department_Region]],LEN(Before_Tbl[[#This Row],[Department_Region]])-FIND("-",Before_Tbl[[#This Row],[Department_Region]]))</f>
        <v>Florida</v>
      </c>
      <c r="V185" t="str">
        <f>TRIM(PROPER(Before_Tbl[[#This Row],[Status]]))</f>
        <v>Active</v>
      </c>
      <c r="W185" s="26">
        <v>44095</v>
      </c>
      <c r="X185" s="4">
        <v>76614.52</v>
      </c>
      <c r="Y185" t="str">
        <f>TRIM(LOWER(Before_Tbl[[#This Row],[Email]]))</f>
        <v>alice.williams@example.com</v>
      </c>
      <c r="Z185" s="2" t="str">
        <f>SUBSTITUTE(Before_Tbl[[#This Row],[Phone]],"-","")</f>
        <v>6303975244</v>
      </c>
      <c r="AA185" t="str">
        <f>TRIM(PROPER(Before_Tbl[[#This Row],[Performance_Score]]))</f>
        <v>Good</v>
      </c>
      <c r="AB185" s="2" t="str">
        <f>TRIM(UPPER(Before_Tbl[[#This Row],[Remote_Work]]))</f>
        <v>TRUE</v>
      </c>
    </row>
    <row r="186" spans="1:28" x14ac:dyDescent="0.35">
      <c r="A186" t="s">
        <v>420</v>
      </c>
      <c r="B186" t="s">
        <v>37</v>
      </c>
      <c r="C186" t="s">
        <v>122</v>
      </c>
      <c r="D186">
        <v>25</v>
      </c>
      <c r="E186" t="s">
        <v>100</v>
      </c>
      <c r="F186" t="s">
        <v>16</v>
      </c>
      <c r="G186" s="1">
        <v>44901</v>
      </c>
      <c r="H186">
        <v>51311.91</v>
      </c>
      <c r="I186" t="s">
        <v>137</v>
      </c>
      <c r="J186">
        <v>-864035532</v>
      </c>
      <c r="K186" t="s">
        <v>23</v>
      </c>
      <c r="L186" t="b">
        <v>0</v>
      </c>
      <c r="P186" t="str">
        <f>TRIM(Before_Tbl[[#This Row],[Employee_ID]])</f>
        <v>EMP1184</v>
      </c>
      <c r="Q186" t="str">
        <f>TRIM(PROPER(Before_Tbl[[#This Row],[First_Name]]))</f>
        <v>Frank</v>
      </c>
      <c r="R186" t="str">
        <f>TRIM(PROPER(Before_Tbl[[#This Row],[Last_Name]]))</f>
        <v>Smith</v>
      </c>
      <c r="S186" s="25">
        <f t="shared" si="2"/>
        <v>25</v>
      </c>
      <c r="T186" t="str">
        <f>LEFT(Before_Tbl[[#This Row],[Department_Region]],FIND("-",Before_Tbl[[#This Row],[Department_Region]])-1)</f>
        <v>Finance</v>
      </c>
      <c r="U186" t="str">
        <f>RIGHT(Before_Tbl[[#This Row],[Department_Region]],LEN(Before_Tbl[[#This Row],[Department_Region]])-FIND("-",Before_Tbl[[#This Row],[Department_Region]]))</f>
        <v>Nevada</v>
      </c>
      <c r="V186" t="str">
        <f>TRIM(PROPER(Before_Tbl[[#This Row],[Status]]))</f>
        <v>Active</v>
      </c>
      <c r="W186" s="26">
        <v>44901</v>
      </c>
      <c r="X186" s="4">
        <v>51311.91</v>
      </c>
      <c r="Y186" t="str">
        <f>TRIM(LOWER(Before_Tbl[[#This Row],[Email]]))</f>
        <v>frank.smith@example.com</v>
      </c>
      <c r="Z186" s="2" t="str">
        <f>SUBSTITUTE(Before_Tbl[[#This Row],[Phone]],"-","")</f>
        <v>864035532</v>
      </c>
      <c r="AA186" t="str">
        <f>TRIM(PROPER(Before_Tbl[[#This Row],[Performance_Score]]))</f>
        <v>Excellent</v>
      </c>
      <c r="AB186" s="2" t="str">
        <f>TRIM(UPPER(Before_Tbl[[#This Row],[Remote_Work]]))</f>
        <v>FALSE</v>
      </c>
    </row>
    <row r="187" spans="1:28" x14ac:dyDescent="0.35">
      <c r="A187" t="s">
        <v>421</v>
      </c>
      <c r="B187" t="s">
        <v>37</v>
      </c>
      <c r="C187" t="s">
        <v>26</v>
      </c>
      <c r="E187" t="s">
        <v>265</v>
      </c>
      <c r="F187" t="s">
        <v>33</v>
      </c>
      <c r="G187" t="s">
        <v>315</v>
      </c>
      <c r="H187">
        <v>94809.919999999998</v>
      </c>
      <c r="I187" t="s">
        <v>47</v>
      </c>
      <c r="J187">
        <v>-8033968526</v>
      </c>
      <c r="K187" t="s">
        <v>30</v>
      </c>
      <c r="L187" t="b">
        <v>1</v>
      </c>
      <c r="P187" t="str">
        <f>TRIM(Before_Tbl[[#This Row],[Employee_ID]])</f>
        <v>EMP1185</v>
      </c>
      <c r="Q187" t="str">
        <f>TRIM(PROPER(Before_Tbl[[#This Row],[First_Name]]))</f>
        <v>Frank</v>
      </c>
      <c r="R187" t="str">
        <f>TRIM(PROPER(Before_Tbl[[#This Row],[Last_Name]]))</f>
        <v>Jones</v>
      </c>
      <c r="S187" s="25">
        <f t="shared" si="2"/>
        <v>30</v>
      </c>
      <c r="T187" t="str">
        <f>LEFT(Before_Tbl[[#This Row],[Department_Region]],FIND("-",Before_Tbl[[#This Row],[Department_Region]])-1)</f>
        <v>Finance</v>
      </c>
      <c r="U187" t="str">
        <f>RIGHT(Before_Tbl[[#This Row],[Department_Region]],LEN(Before_Tbl[[#This Row],[Department_Region]])-FIND("-",Before_Tbl[[#This Row],[Department_Region]]))</f>
        <v>Illinois</v>
      </c>
      <c r="V187" t="str">
        <f>TRIM(PROPER(Before_Tbl[[#This Row],[Status]]))</f>
        <v>Inactive</v>
      </c>
      <c r="W187" s="26">
        <v>45284</v>
      </c>
      <c r="X187" s="4">
        <v>94809.919999999998</v>
      </c>
      <c r="Y187" t="str">
        <f>TRIM(LOWER(Before_Tbl[[#This Row],[Email]]))</f>
        <v>frank.jones@example.com</v>
      </c>
      <c r="Z187" s="2" t="str">
        <f>SUBSTITUTE(Before_Tbl[[#This Row],[Phone]],"-","")</f>
        <v>8033968526</v>
      </c>
      <c r="AA187" t="str">
        <f>TRIM(PROPER(Before_Tbl[[#This Row],[Performance_Score]]))</f>
        <v>Good</v>
      </c>
      <c r="AB187" s="2" t="str">
        <f>TRIM(UPPER(Before_Tbl[[#This Row],[Remote_Work]]))</f>
        <v>TRUE</v>
      </c>
    </row>
    <row r="188" spans="1:28" x14ac:dyDescent="0.35">
      <c r="A188" t="s">
        <v>422</v>
      </c>
      <c r="B188" t="s">
        <v>69</v>
      </c>
      <c r="C188" t="s">
        <v>55</v>
      </c>
      <c r="D188">
        <v>25</v>
      </c>
      <c r="E188" t="s">
        <v>66</v>
      </c>
      <c r="F188" t="s">
        <v>28</v>
      </c>
      <c r="G188" t="s">
        <v>423</v>
      </c>
      <c r="H188">
        <v>108241.81</v>
      </c>
      <c r="I188" t="s">
        <v>127</v>
      </c>
      <c r="J188">
        <v>-171302320</v>
      </c>
      <c r="K188" t="s">
        <v>23</v>
      </c>
      <c r="L188" t="b">
        <v>1</v>
      </c>
      <c r="P188" t="str">
        <f>TRIM(Before_Tbl[[#This Row],[Employee_ID]])</f>
        <v>EMP1186</v>
      </c>
      <c r="Q188" t="str">
        <f>TRIM(PROPER(Before_Tbl[[#This Row],[First_Name]]))</f>
        <v>Grace</v>
      </c>
      <c r="R188" t="str">
        <f>TRIM(PROPER(Before_Tbl[[#This Row],[Last_Name]]))</f>
        <v>Johnson</v>
      </c>
      <c r="S188" s="25">
        <f t="shared" si="2"/>
        <v>25</v>
      </c>
      <c r="T188" t="str">
        <f>LEFT(Before_Tbl[[#This Row],[Department_Region]],FIND("-",Before_Tbl[[#This Row],[Department_Region]])-1)</f>
        <v>HR</v>
      </c>
      <c r="U188" t="str">
        <f>RIGHT(Before_Tbl[[#This Row],[Department_Region]],LEN(Before_Tbl[[#This Row],[Department_Region]])-FIND("-",Before_Tbl[[#This Row],[Department_Region]]))</f>
        <v>New York</v>
      </c>
      <c r="V188" t="str">
        <f>TRIM(PROPER(Before_Tbl[[#This Row],[Status]]))</f>
        <v>Pending</v>
      </c>
      <c r="W188" s="26">
        <v>44773</v>
      </c>
      <c r="X188" s="4">
        <v>108241.81</v>
      </c>
      <c r="Y188" t="str">
        <f>TRIM(LOWER(Before_Tbl[[#This Row],[Email]]))</f>
        <v>grace.johnson@example.com</v>
      </c>
      <c r="Z188" s="2" t="str">
        <f>SUBSTITUTE(Before_Tbl[[#This Row],[Phone]],"-","")</f>
        <v>171302320</v>
      </c>
      <c r="AA188" t="str">
        <f>TRIM(PROPER(Before_Tbl[[#This Row],[Performance_Score]]))</f>
        <v>Excellent</v>
      </c>
      <c r="AB188" s="2" t="str">
        <f>TRIM(UPPER(Before_Tbl[[#This Row],[Remote_Work]]))</f>
        <v>TRUE</v>
      </c>
    </row>
    <row r="189" spans="1:28" x14ac:dyDescent="0.35">
      <c r="A189" t="s">
        <v>424</v>
      </c>
      <c r="B189" t="s">
        <v>13</v>
      </c>
      <c r="C189" t="s">
        <v>14</v>
      </c>
      <c r="D189">
        <v>40</v>
      </c>
      <c r="E189" t="s">
        <v>60</v>
      </c>
      <c r="F189" t="s">
        <v>33</v>
      </c>
      <c r="G189" t="s">
        <v>425</v>
      </c>
      <c r="H189">
        <v>78031.490000000005</v>
      </c>
      <c r="I189" t="s">
        <v>17</v>
      </c>
      <c r="J189">
        <v>-2983381673</v>
      </c>
      <c r="K189" t="s">
        <v>30</v>
      </c>
      <c r="L189" t="b">
        <v>1</v>
      </c>
      <c r="P189" t="str">
        <f>TRIM(Before_Tbl[[#This Row],[Employee_ID]])</f>
        <v>EMP1187</v>
      </c>
      <c r="Q189" t="str">
        <f>TRIM(PROPER(Before_Tbl[[#This Row],[First_Name]]))</f>
        <v>Bob</v>
      </c>
      <c r="R189" t="str">
        <f>TRIM(PROPER(Before_Tbl[[#This Row],[Last_Name]]))</f>
        <v>Davis</v>
      </c>
      <c r="S189" s="25">
        <f t="shared" si="2"/>
        <v>40</v>
      </c>
      <c r="T189" t="str">
        <f>LEFT(Before_Tbl[[#This Row],[Department_Region]],FIND("-",Before_Tbl[[#This Row],[Department_Region]])-1)</f>
        <v>Cloud Tech</v>
      </c>
      <c r="U189" t="str">
        <f>RIGHT(Before_Tbl[[#This Row],[Department_Region]],LEN(Before_Tbl[[#This Row],[Department_Region]])-FIND("-",Before_Tbl[[#This Row],[Department_Region]]))</f>
        <v>New York</v>
      </c>
      <c r="V189" t="str">
        <f>TRIM(PROPER(Before_Tbl[[#This Row],[Status]]))</f>
        <v>Inactive</v>
      </c>
      <c r="W189" s="26">
        <v>45037</v>
      </c>
      <c r="X189" s="4">
        <v>78031.490000000005</v>
      </c>
      <c r="Y189" t="str">
        <f>TRIM(LOWER(Before_Tbl[[#This Row],[Email]]))</f>
        <v>bob.davis@example.com</v>
      </c>
      <c r="Z189" s="2" t="str">
        <f>SUBSTITUTE(Before_Tbl[[#This Row],[Phone]],"-","")</f>
        <v>2983381673</v>
      </c>
      <c r="AA189" t="str">
        <f>TRIM(PROPER(Before_Tbl[[#This Row],[Performance_Score]]))</f>
        <v>Good</v>
      </c>
      <c r="AB189" s="2" t="str">
        <f>TRIM(UPPER(Before_Tbl[[#This Row],[Remote_Work]]))</f>
        <v>TRUE</v>
      </c>
    </row>
    <row r="190" spans="1:28" x14ac:dyDescent="0.35">
      <c r="A190" t="s">
        <v>426</v>
      </c>
      <c r="B190" t="s">
        <v>32</v>
      </c>
      <c r="C190" t="s">
        <v>14</v>
      </c>
      <c r="D190">
        <v>35</v>
      </c>
      <c r="E190" t="s">
        <v>118</v>
      </c>
      <c r="F190" t="s">
        <v>16</v>
      </c>
      <c r="G190" s="1">
        <v>43957</v>
      </c>
      <c r="H190">
        <v>85733.83</v>
      </c>
      <c r="I190" t="s">
        <v>35</v>
      </c>
      <c r="J190">
        <v>-2336293448</v>
      </c>
      <c r="K190" t="s">
        <v>23</v>
      </c>
      <c r="L190" t="b">
        <v>1</v>
      </c>
      <c r="P190" t="str">
        <f>TRIM(Before_Tbl[[#This Row],[Employee_ID]])</f>
        <v>EMP1188</v>
      </c>
      <c r="Q190" t="str">
        <f>TRIM(PROPER(Before_Tbl[[#This Row],[First_Name]]))</f>
        <v>Eva</v>
      </c>
      <c r="R190" t="str">
        <f>TRIM(PROPER(Before_Tbl[[#This Row],[Last_Name]]))</f>
        <v>Davis</v>
      </c>
      <c r="S190" s="25">
        <f t="shared" si="2"/>
        <v>35</v>
      </c>
      <c r="T190" t="str">
        <f>LEFT(Before_Tbl[[#This Row],[Department_Region]],FIND("-",Before_Tbl[[#This Row],[Department_Region]])-1)</f>
        <v>Admin</v>
      </c>
      <c r="U190" t="str">
        <f>RIGHT(Before_Tbl[[#This Row],[Department_Region]],LEN(Before_Tbl[[#This Row],[Department_Region]])-FIND("-",Before_Tbl[[#This Row],[Department_Region]]))</f>
        <v>California</v>
      </c>
      <c r="V190" t="str">
        <f>TRIM(PROPER(Before_Tbl[[#This Row],[Status]]))</f>
        <v>Active</v>
      </c>
      <c r="W190" s="26">
        <v>43957</v>
      </c>
      <c r="X190" s="4">
        <v>85733.83</v>
      </c>
      <c r="Y190" t="str">
        <f>TRIM(LOWER(Before_Tbl[[#This Row],[Email]]))</f>
        <v>eva.davis@example.com</v>
      </c>
      <c r="Z190" s="2" t="str">
        <f>SUBSTITUTE(Before_Tbl[[#This Row],[Phone]],"-","")</f>
        <v>2336293448</v>
      </c>
      <c r="AA190" t="str">
        <f>TRIM(PROPER(Before_Tbl[[#This Row],[Performance_Score]]))</f>
        <v>Excellent</v>
      </c>
      <c r="AB190" s="2" t="str">
        <f>TRIM(UPPER(Before_Tbl[[#This Row],[Remote_Work]]))</f>
        <v>TRUE</v>
      </c>
    </row>
    <row r="191" spans="1:28" x14ac:dyDescent="0.35">
      <c r="A191" t="s">
        <v>427</v>
      </c>
      <c r="B191" t="s">
        <v>59</v>
      </c>
      <c r="C191" t="s">
        <v>92</v>
      </c>
      <c r="D191">
        <v>35</v>
      </c>
      <c r="E191" t="s">
        <v>149</v>
      </c>
      <c r="F191" t="s">
        <v>28</v>
      </c>
      <c r="G191" t="s">
        <v>428</v>
      </c>
      <c r="H191">
        <v>60338.29</v>
      </c>
      <c r="I191" t="s">
        <v>107</v>
      </c>
      <c r="J191">
        <v>-7347156626</v>
      </c>
      <c r="K191" t="s">
        <v>23</v>
      </c>
      <c r="L191" t="b">
        <v>0</v>
      </c>
      <c r="P191" t="str">
        <f>TRIM(Before_Tbl[[#This Row],[Employee_ID]])</f>
        <v>EMP1189</v>
      </c>
      <c r="Q191" t="str">
        <f>TRIM(PROPER(Before_Tbl[[#This Row],[First_Name]]))</f>
        <v>David</v>
      </c>
      <c r="R191" t="str">
        <f>TRIM(PROPER(Before_Tbl[[#This Row],[Last_Name]]))</f>
        <v>Miller</v>
      </c>
      <c r="S191" s="25">
        <f t="shared" si="2"/>
        <v>35</v>
      </c>
      <c r="T191" t="str">
        <f>LEFT(Before_Tbl[[#This Row],[Department_Region]],FIND("-",Before_Tbl[[#This Row],[Department_Region]])-1)</f>
        <v>HR</v>
      </c>
      <c r="U191" t="str">
        <f>RIGHT(Before_Tbl[[#This Row],[Department_Region]],LEN(Before_Tbl[[#This Row],[Department_Region]])-FIND("-",Before_Tbl[[#This Row],[Department_Region]]))</f>
        <v>Nevada</v>
      </c>
      <c r="V191" t="str">
        <f>TRIM(PROPER(Before_Tbl[[#This Row],[Status]]))</f>
        <v>Pending</v>
      </c>
      <c r="W191" s="26">
        <v>45500</v>
      </c>
      <c r="X191" s="4">
        <v>60338.29</v>
      </c>
      <c r="Y191" t="str">
        <f>TRIM(LOWER(Before_Tbl[[#This Row],[Email]]))</f>
        <v>david.miller@example.com</v>
      </c>
      <c r="Z191" s="2" t="str">
        <f>SUBSTITUTE(Before_Tbl[[#This Row],[Phone]],"-","")</f>
        <v>7347156626</v>
      </c>
      <c r="AA191" t="str">
        <f>TRIM(PROPER(Before_Tbl[[#This Row],[Performance_Score]]))</f>
        <v>Excellent</v>
      </c>
      <c r="AB191" s="2" t="str">
        <f>TRIM(UPPER(Before_Tbl[[#This Row],[Remote_Work]]))</f>
        <v>FALSE</v>
      </c>
    </row>
    <row r="192" spans="1:28" x14ac:dyDescent="0.35">
      <c r="A192" t="s">
        <v>429</v>
      </c>
      <c r="B192" t="s">
        <v>32</v>
      </c>
      <c r="C192" t="s">
        <v>14</v>
      </c>
      <c r="D192">
        <v>30</v>
      </c>
      <c r="E192" t="s">
        <v>89</v>
      </c>
      <c r="F192" t="s">
        <v>16</v>
      </c>
      <c r="G192" s="1">
        <v>45416</v>
      </c>
      <c r="H192">
        <v>103140.67</v>
      </c>
      <c r="I192" t="s">
        <v>35</v>
      </c>
      <c r="J192">
        <v>-7689627065</v>
      </c>
      <c r="K192" t="s">
        <v>23</v>
      </c>
      <c r="L192" t="b">
        <v>0</v>
      </c>
      <c r="P192" t="str">
        <f>TRIM(Before_Tbl[[#This Row],[Employee_ID]])</f>
        <v>EMP1190</v>
      </c>
      <c r="Q192" t="str">
        <f>TRIM(PROPER(Before_Tbl[[#This Row],[First_Name]]))</f>
        <v>Eva</v>
      </c>
      <c r="R192" t="str">
        <f>TRIM(PROPER(Before_Tbl[[#This Row],[Last_Name]]))</f>
        <v>Davis</v>
      </c>
      <c r="S192" s="25">
        <f t="shared" si="2"/>
        <v>30</v>
      </c>
      <c r="T192" t="str">
        <f>LEFT(Before_Tbl[[#This Row],[Department_Region]],FIND("-",Before_Tbl[[#This Row],[Department_Region]])-1)</f>
        <v>Admin</v>
      </c>
      <c r="U192" t="str">
        <f>RIGHT(Before_Tbl[[#This Row],[Department_Region]],LEN(Before_Tbl[[#This Row],[Department_Region]])-FIND("-",Before_Tbl[[#This Row],[Department_Region]]))</f>
        <v>Illinois</v>
      </c>
      <c r="V192" t="str">
        <f>TRIM(PROPER(Before_Tbl[[#This Row],[Status]]))</f>
        <v>Active</v>
      </c>
      <c r="W192" s="26">
        <v>45416</v>
      </c>
      <c r="X192" s="4">
        <v>103140.67</v>
      </c>
      <c r="Y192" t="str">
        <f>TRIM(LOWER(Before_Tbl[[#This Row],[Email]]))</f>
        <v>eva.davis@example.com</v>
      </c>
      <c r="Z192" s="2" t="str">
        <f>SUBSTITUTE(Before_Tbl[[#This Row],[Phone]],"-","")</f>
        <v>7689627065</v>
      </c>
      <c r="AA192" t="str">
        <f>TRIM(PROPER(Before_Tbl[[#This Row],[Performance_Score]]))</f>
        <v>Excellent</v>
      </c>
      <c r="AB192" s="2" t="str">
        <f>TRIM(UPPER(Before_Tbl[[#This Row],[Remote_Work]]))</f>
        <v>FALSE</v>
      </c>
    </row>
    <row r="193" spans="1:28" x14ac:dyDescent="0.35">
      <c r="A193" t="s">
        <v>430</v>
      </c>
      <c r="B193" t="s">
        <v>65</v>
      </c>
      <c r="C193" t="s">
        <v>38</v>
      </c>
      <c r="D193">
        <v>40</v>
      </c>
      <c r="E193" t="s">
        <v>98</v>
      </c>
      <c r="F193" t="s">
        <v>33</v>
      </c>
      <c r="G193" t="s">
        <v>431</v>
      </c>
      <c r="H193">
        <v>114690.8</v>
      </c>
      <c r="I193" t="s">
        <v>67</v>
      </c>
      <c r="J193">
        <v>-1498282466</v>
      </c>
      <c r="K193" t="s">
        <v>41</v>
      </c>
      <c r="L193" t="b">
        <v>1</v>
      </c>
      <c r="P193" t="str">
        <f>TRIM(Before_Tbl[[#This Row],[Employee_ID]])</f>
        <v>EMP1191</v>
      </c>
      <c r="Q193" t="str">
        <f>TRIM(PROPER(Before_Tbl[[#This Row],[First_Name]]))</f>
        <v>Heidi</v>
      </c>
      <c r="R193" t="str">
        <f>TRIM(PROPER(Before_Tbl[[#This Row],[Last_Name]]))</f>
        <v>Williams</v>
      </c>
      <c r="S193" s="25">
        <f t="shared" si="2"/>
        <v>40</v>
      </c>
      <c r="T193" t="str">
        <f>LEFT(Before_Tbl[[#This Row],[Department_Region]],FIND("-",Before_Tbl[[#This Row],[Department_Region]])-1)</f>
        <v>Sales</v>
      </c>
      <c r="U193" t="str">
        <f>RIGHT(Before_Tbl[[#This Row],[Department_Region]],LEN(Before_Tbl[[#This Row],[Department_Region]])-FIND("-",Before_Tbl[[#This Row],[Department_Region]]))</f>
        <v>Illinois</v>
      </c>
      <c r="V193" t="str">
        <f>TRIM(PROPER(Before_Tbl[[#This Row],[Status]]))</f>
        <v>Inactive</v>
      </c>
      <c r="W193" s="26">
        <v>45225</v>
      </c>
      <c r="X193" s="4">
        <v>114690.8</v>
      </c>
      <c r="Y193" t="str">
        <f>TRIM(LOWER(Before_Tbl[[#This Row],[Email]]))</f>
        <v>heidi.williams@example.com</v>
      </c>
      <c r="Z193" s="2" t="str">
        <f>SUBSTITUTE(Before_Tbl[[#This Row],[Phone]],"-","")</f>
        <v>1498282466</v>
      </c>
      <c r="AA193" t="str">
        <f>TRIM(PROPER(Before_Tbl[[#This Row],[Performance_Score]]))</f>
        <v>Poor</v>
      </c>
      <c r="AB193" s="2" t="str">
        <f>TRIM(UPPER(Before_Tbl[[#This Row],[Remote_Work]]))</f>
        <v>TRUE</v>
      </c>
    </row>
    <row r="194" spans="1:28" x14ac:dyDescent="0.35">
      <c r="A194" t="s">
        <v>432</v>
      </c>
      <c r="B194" t="s">
        <v>37</v>
      </c>
      <c r="C194" t="s">
        <v>122</v>
      </c>
      <c r="D194">
        <v>35</v>
      </c>
      <c r="E194" t="s">
        <v>205</v>
      </c>
      <c r="F194" t="s">
        <v>16</v>
      </c>
      <c r="G194" t="s">
        <v>433</v>
      </c>
      <c r="H194">
        <v>80954.559999999998</v>
      </c>
      <c r="I194" t="s">
        <v>137</v>
      </c>
      <c r="J194">
        <v>-4746897151</v>
      </c>
      <c r="K194" t="s">
        <v>30</v>
      </c>
      <c r="L194" t="b">
        <v>0</v>
      </c>
      <c r="P194" t="str">
        <f>TRIM(Before_Tbl[[#This Row],[Employee_ID]])</f>
        <v>EMP1192</v>
      </c>
      <c r="Q194" t="str">
        <f>TRIM(PROPER(Before_Tbl[[#This Row],[First_Name]]))</f>
        <v>Frank</v>
      </c>
      <c r="R194" t="str">
        <f>TRIM(PROPER(Before_Tbl[[#This Row],[Last_Name]]))</f>
        <v>Smith</v>
      </c>
      <c r="S194" s="25">
        <f t="shared" ref="S194:S257" si="3">IF(ISBLANK(D194),30,D194)</f>
        <v>35</v>
      </c>
      <c r="T194" t="str">
        <f>LEFT(Before_Tbl[[#This Row],[Department_Region]],FIND("-",Before_Tbl[[#This Row],[Department_Region]])-1)</f>
        <v>Admin</v>
      </c>
      <c r="U194" t="str">
        <f>RIGHT(Before_Tbl[[#This Row],[Department_Region]],LEN(Before_Tbl[[#This Row],[Department_Region]])-FIND("-",Before_Tbl[[#This Row],[Department_Region]]))</f>
        <v>Florida</v>
      </c>
      <c r="V194" t="str">
        <f>TRIM(PROPER(Before_Tbl[[#This Row],[Status]]))</f>
        <v>Active</v>
      </c>
      <c r="W194" s="26">
        <v>44791</v>
      </c>
      <c r="X194" s="4">
        <v>80954.559999999998</v>
      </c>
      <c r="Y194" t="str">
        <f>TRIM(LOWER(Before_Tbl[[#This Row],[Email]]))</f>
        <v>frank.smith@example.com</v>
      </c>
      <c r="Z194" s="2" t="str">
        <f>SUBSTITUTE(Before_Tbl[[#This Row],[Phone]],"-","")</f>
        <v>4746897151</v>
      </c>
      <c r="AA194" t="str">
        <f>TRIM(PROPER(Before_Tbl[[#This Row],[Performance_Score]]))</f>
        <v>Good</v>
      </c>
      <c r="AB194" s="2" t="str">
        <f>TRIM(UPPER(Before_Tbl[[#This Row],[Remote_Work]]))</f>
        <v>FALSE</v>
      </c>
    </row>
    <row r="195" spans="1:28" x14ac:dyDescent="0.35">
      <c r="A195" t="s">
        <v>434</v>
      </c>
      <c r="B195" t="s">
        <v>32</v>
      </c>
      <c r="C195" t="s">
        <v>14</v>
      </c>
      <c r="E195" t="s">
        <v>268</v>
      </c>
      <c r="F195" t="s">
        <v>28</v>
      </c>
      <c r="G195" t="s">
        <v>435</v>
      </c>
      <c r="H195">
        <v>71728.55</v>
      </c>
      <c r="I195" t="s">
        <v>35</v>
      </c>
      <c r="J195">
        <v>-7323008575</v>
      </c>
      <c r="K195" t="s">
        <v>30</v>
      </c>
      <c r="L195" t="b">
        <v>1</v>
      </c>
      <c r="P195" t="str">
        <f>TRIM(Before_Tbl[[#This Row],[Employee_ID]])</f>
        <v>EMP1193</v>
      </c>
      <c r="Q195" t="str">
        <f>TRIM(PROPER(Before_Tbl[[#This Row],[First_Name]]))</f>
        <v>Eva</v>
      </c>
      <c r="R195" t="str">
        <f>TRIM(PROPER(Before_Tbl[[#This Row],[Last_Name]]))</f>
        <v>Davis</v>
      </c>
      <c r="S195" s="25">
        <f t="shared" si="3"/>
        <v>30</v>
      </c>
      <c r="T195" t="str">
        <f>LEFT(Before_Tbl[[#This Row],[Department_Region]],FIND("-",Before_Tbl[[#This Row],[Department_Region]])-1)</f>
        <v>Cloud Tech</v>
      </c>
      <c r="U195" t="str">
        <f>RIGHT(Before_Tbl[[#This Row],[Department_Region]],LEN(Before_Tbl[[#This Row],[Department_Region]])-FIND("-",Before_Tbl[[#This Row],[Department_Region]]))</f>
        <v>California</v>
      </c>
      <c r="V195" t="str">
        <f>TRIM(PROPER(Before_Tbl[[#This Row],[Status]]))</f>
        <v>Pending</v>
      </c>
      <c r="W195" s="26">
        <v>43982</v>
      </c>
      <c r="X195" s="4">
        <v>71728.55</v>
      </c>
      <c r="Y195" t="str">
        <f>TRIM(LOWER(Before_Tbl[[#This Row],[Email]]))</f>
        <v>eva.davis@example.com</v>
      </c>
      <c r="Z195" s="2" t="str">
        <f>SUBSTITUTE(Before_Tbl[[#This Row],[Phone]],"-","")</f>
        <v>7323008575</v>
      </c>
      <c r="AA195" t="str">
        <f>TRIM(PROPER(Before_Tbl[[#This Row],[Performance_Score]]))</f>
        <v>Good</v>
      </c>
      <c r="AB195" s="2" t="str">
        <f>TRIM(UPPER(Before_Tbl[[#This Row],[Remote_Work]]))</f>
        <v>TRUE</v>
      </c>
    </row>
    <row r="196" spans="1:28" x14ac:dyDescent="0.35">
      <c r="A196" t="s">
        <v>436</v>
      </c>
      <c r="B196" t="s">
        <v>25</v>
      </c>
      <c r="C196" t="s">
        <v>14</v>
      </c>
      <c r="D196">
        <v>35</v>
      </c>
      <c r="E196" t="s">
        <v>139</v>
      </c>
      <c r="F196" t="s">
        <v>28</v>
      </c>
      <c r="G196" s="1">
        <v>45393</v>
      </c>
      <c r="H196">
        <v>118415.8</v>
      </c>
      <c r="I196" t="s">
        <v>163</v>
      </c>
      <c r="J196">
        <v>-6656749159</v>
      </c>
      <c r="K196" t="s">
        <v>30</v>
      </c>
      <c r="L196" t="b">
        <v>1</v>
      </c>
      <c r="P196" t="str">
        <f>TRIM(Before_Tbl[[#This Row],[Employee_ID]])</f>
        <v>EMP1194</v>
      </c>
      <c r="Q196" t="str">
        <f>TRIM(PROPER(Before_Tbl[[#This Row],[First_Name]]))</f>
        <v>Alice</v>
      </c>
      <c r="R196" t="str">
        <f>TRIM(PROPER(Before_Tbl[[#This Row],[Last_Name]]))</f>
        <v>Davis</v>
      </c>
      <c r="S196" s="25">
        <f t="shared" si="3"/>
        <v>35</v>
      </c>
      <c r="T196" t="str">
        <f>LEFT(Before_Tbl[[#This Row],[Department_Region]],FIND("-",Before_Tbl[[#This Row],[Department_Region]])-1)</f>
        <v>HR</v>
      </c>
      <c r="U196" t="str">
        <f>RIGHT(Before_Tbl[[#This Row],[Department_Region]],LEN(Before_Tbl[[#This Row],[Department_Region]])-FIND("-",Before_Tbl[[#This Row],[Department_Region]]))</f>
        <v>Texas</v>
      </c>
      <c r="V196" t="str">
        <f>TRIM(PROPER(Before_Tbl[[#This Row],[Status]]))</f>
        <v>Pending</v>
      </c>
      <c r="W196" s="26">
        <v>45393</v>
      </c>
      <c r="X196" s="4">
        <v>118415.8</v>
      </c>
      <c r="Y196" t="str">
        <f>TRIM(LOWER(Before_Tbl[[#This Row],[Email]]))</f>
        <v>alice.davis@example.com</v>
      </c>
      <c r="Z196" s="2" t="str">
        <f>SUBSTITUTE(Before_Tbl[[#This Row],[Phone]],"-","")</f>
        <v>6656749159</v>
      </c>
      <c r="AA196" t="str">
        <f>TRIM(PROPER(Before_Tbl[[#This Row],[Performance_Score]]))</f>
        <v>Good</v>
      </c>
      <c r="AB196" s="2" t="str">
        <f>TRIM(UPPER(Before_Tbl[[#This Row],[Remote_Work]]))</f>
        <v>TRUE</v>
      </c>
    </row>
    <row r="197" spans="1:28" x14ac:dyDescent="0.35">
      <c r="A197" t="s">
        <v>437</v>
      </c>
      <c r="B197" t="s">
        <v>69</v>
      </c>
      <c r="C197" t="s">
        <v>55</v>
      </c>
      <c r="D197">
        <v>40</v>
      </c>
      <c r="E197" t="s">
        <v>98</v>
      </c>
      <c r="F197" t="s">
        <v>28</v>
      </c>
      <c r="G197" t="s">
        <v>438</v>
      </c>
      <c r="H197">
        <v>81481.36</v>
      </c>
      <c r="I197" t="s">
        <v>127</v>
      </c>
      <c r="J197">
        <v>-1692364586</v>
      </c>
      <c r="K197" t="s">
        <v>23</v>
      </c>
      <c r="L197" t="b">
        <v>0</v>
      </c>
      <c r="P197" t="str">
        <f>TRIM(Before_Tbl[[#This Row],[Employee_ID]])</f>
        <v>EMP1195</v>
      </c>
      <c r="Q197" t="str">
        <f>TRIM(PROPER(Before_Tbl[[#This Row],[First_Name]]))</f>
        <v>Grace</v>
      </c>
      <c r="R197" t="str">
        <f>TRIM(PROPER(Before_Tbl[[#This Row],[Last_Name]]))</f>
        <v>Johnson</v>
      </c>
      <c r="S197" s="25">
        <f t="shared" si="3"/>
        <v>40</v>
      </c>
      <c r="T197" t="str">
        <f>LEFT(Before_Tbl[[#This Row],[Department_Region]],FIND("-",Before_Tbl[[#This Row],[Department_Region]])-1)</f>
        <v>Sales</v>
      </c>
      <c r="U197" t="str">
        <f>RIGHT(Before_Tbl[[#This Row],[Department_Region]],LEN(Before_Tbl[[#This Row],[Department_Region]])-FIND("-",Before_Tbl[[#This Row],[Department_Region]]))</f>
        <v>Illinois</v>
      </c>
      <c r="V197" t="str">
        <f>TRIM(PROPER(Before_Tbl[[#This Row],[Status]]))</f>
        <v>Pending</v>
      </c>
      <c r="W197" s="26">
        <v>43915</v>
      </c>
      <c r="X197" s="4">
        <v>81481.36</v>
      </c>
      <c r="Y197" t="str">
        <f>TRIM(LOWER(Before_Tbl[[#This Row],[Email]]))</f>
        <v>grace.johnson@example.com</v>
      </c>
      <c r="Z197" s="2" t="str">
        <f>SUBSTITUTE(Before_Tbl[[#This Row],[Phone]],"-","")</f>
        <v>1692364586</v>
      </c>
      <c r="AA197" t="str">
        <f>TRIM(PROPER(Before_Tbl[[#This Row],[Performance_Score]]))</f>
        <v>Excellent</v>
      </c>
      <c r="AB197" s="2" t="str">
        <f>TRIM(UPPER(Before_Tbl[[#This Row],[Remote_Work]]))</f>
        <v>FALSE</v>
      </c>
    </row>
    <row r="198" spans="1:28" x14ac:dyDescent="0.35">
      <c r="A198" t="s">
        <v>439</v>
      </c>
      <c r="B198" t="s">
        <v>59</v>
      </c>
      <c r="C198" t="s">
        <v>55</v>
      </c>
      <c r="D198">
        <v>35</v>
      </c>
      <c r="E198" t="s">
        <v>74</v>
      </c>
      <c r="F198" t="s">
        <v>28</v>
      </c>
      <c r="G198" s="1">
        <v>43932</v>
      </c>
      <c r="H198">
        <v>117040.57</v>
      </c>
      <c r="I198" t="s">
        <v>217</v>
      </c>
      <c r="J198">
        <v>-5066337049</v>
      </c>
      <c r="K198" t="s">
        <v>30</v>
      </c>
      <c r="L198" t="b">
        <v>1</v>
      </c>
      <c r="P198" t="str">
        <f>TRIM(Before_Tbl[[#This Row],[Employee_ID]])</f>
        <v>EMP1196</v>
      </c>
      <c r="Q198" t="str">
        <f>TRIM(PROPER(Before_Tbl[[#This Row],[First_Name]]))</f>
        <v>David</v>
      </c>
      <c r="R198" t="str">
        <f>TRIM(PROPER(Before_Tbl[[#This Row],[Last_Name]]))</f>
        <v>Johnson</v>
      </c>
      <c r="S198" s="25">
        <f t="shared" si="3"/>
        <v>35</v>
      </c>
      <c r="T198" t="str">
        <f>LEFT(Before_Tbl[[#This Row],[Department_Region]],FIND("-",Before_Tbl[[#This Row],[Department_Region]])-1)</f>
        <v>Sales</v>
      </c>
      <c r="U198" t="str">
        <f>RIGHT(Before_Tbl[[#This Row],[Department_Region]],LEN(Before_Tbl[[#This Row],[Department_Region]])-FIND("-",Before_Tbl[[#This Row],[Department_Region]]))</f>
        <v>Florida</v>
      </c>
      <c r="V198" t="str">
        <f>TRIM(PROPER(Before_Tbl[[#This Row],[Status]]))</f>
        <v>Pending</v>
      </c>
      <c r="W198" s="26">
        <v>43932</v>
      </c>
      <c r="X198" s="4">
        <v>117040.57</v>
      </c>
      <c r="Y198" t="str">
        <f>TRIM(LOWER(Before_Tbl[[#This Row],[Email]]))</f>
        <v>david.johnson@example.com</v>
      </c>
      <c r="Z198" s="2" t="str">
        <f>SUBSTITUTE(Before_Tbl[[#This Row],[Phone]],"-","")</f>
        <v>5066337049</v>
      </c>
      <c r="AA198" t="str">
        <f>TRIM(PROPER(Before_Tbl[[#This Row],[Performance_Score]]))</f>
        <v>Good</v>
      </c>
      <c r="AB198" s="2" t="str">
        <f>TRIM(UPPER(Before_Tbl[[#This Row],[Remote_Work]]))</f>
        <v>TRUE</v>
      </c>
    </row>
    <row r="199" spans="1:28" x14ac:dyDescent="0.35">
      <c r="A199" t="s">
        <v>440</v>
      </c>
      <c r="B199" t="s">
        <v>37</v>
      </c>
      <c r="C199" t="s">
        <v>20</v>
      </c>
      <c r="D199">
        <v>25</v>
      </c>
      <c r="E199" t="s">
        <v>219</v>
      </c>
      <c r="F199" t="s">
        <v>16</v>
      </c>
      <c r="G199" t="s">
        <v>441</v>
      </c>
      <c r="H199">
        <v>67342.06</v>
      </c>
      <c r="I199" t="s">
        <v>239</v>
      </c>
      <c r="J199">
        <v>-2497243991</v>
      </c>
      <c r="K199" t="s">
        <v>30</v>
      </c>
      <c r="L199" t="b">
        <v>1</v>
      </c>
      <c r="P199" t="str">
        <f>TRIM(Before_Tbl[[#This Row],[Employee_ID]])</f>
        <v>EMP1197</v>
      </c>
      <c r="Q199" t="str">
        <f>TRIM(PROPER(Before_Tbl[[#This Row],[First_Name]]))</f>
        <v>Frank</v>
      </c>
      <c r="R199" t="str">
        <f>TRIM(PROPER(Before_Tbl[[#This Row],[Last_Name]]))</f>
        <v>Brown</v>
      </c>
      <c r="S199" s="25">
        <f t="shared" si="3"/>
        <v>25</v>
      </c>
      <c r="T199" t="str">
        <f>LEFT(Before_Tbl[[#This Row],[Department_Region]],FIND("-",Before_Tbl[[#This Row],[Department_Region]])-1)</f>
        <v>Sales</v>
      </c>
      <c r="U199" t="str">
        <f>RIGHT(Before_Tbl[[#This Row],[Department_Region]],LEN(Before_Tbl[[#This Row],[Department_Region]])-FIND("-",Before_Tbl[[#This Row],[Department_Region]]))</f>
        <v>Nevada</v>
      </c>
      <c r="V199" t="str">
        <f>TRIM(PROPER(Before_Tbl[[#This Row],[Status]]))</f>
        <v>Active</v>
      </c>
      <c r="W199" s="26">
        <v>43911</v>
      </c>
      <c r="X199" s="4">
        <v>67342.06</v>
      </c>
      <c r="Y199" t="str">
        <f>TRIM(LOWER(Before_Tbl[[#This Row],[Email]]))</f>
        <v>frank.brown@example.com</v>
      </c>
      <c r="Z199" s="2" t="str">
        <f>SUBSTITUTE(Before_Tbl[[#This Row],[Phone]],"-","")</f>
        <v>2497243991</v>
      </c>
      <c r="AA199" t="str">
        <f>TRIM(PROPER(Before_Tbl[[#This Row],[Performance_Score]]))</f>
        <v>Good</v>
      </c>
      <c r="AB199" s="2" t="str">
        <f>TRIM(UPPER(Before_Tbl[[#This Row],[Remote_Work]]))</f>
        <v>TRUE</v>
      </c>
    </row>
    <row r="200" spans="1:28" x14ac:dyDescent="0.35">
      <c r="A200" t="s">
        <v>442</v>
      </c>
      <c r="B200" t="s">
        <v>65</v>
      </c>
      <c r="C200" t="s">
        <v>26</v>
      </c>
      <c r="E200" t="s">
        <v>98</v>
      </c>
      <c r="F200" t="s">
        <v>16</v>
      </c>
      <c r="G200" t="s">
        <v>443</v>
      </c>
      <c r="H200">
        <v>76099.64</v>
      </c>
      <c r="I200" t="s">
        <v>320</v>
      </c>
      <c r="J200">
        <v>-116691835</v>
      </c>
      <c r="K200" t="s">
        <v>23</v>
      </c>
      <c r="L200" t="b">
        <v>0</v>
      </c>
      <c r="P200" t="str">
        <f>TRIM(Before_Tbl[[#This Row],[Employee_ID]])</f>
        <v>EMP1198</v>
      </c>
      <c r="Q200" t="str">
        <f>TRIM(PROPER(Before_Tbl[[#This Row],[First_Name]]))</f>
        <v>Heidi</v>
      </c>
      <c r="R200" t="str">
        <f>TRIM(PROPER(Before_Tbl[[#This Row],[Last_Name]]))</f>
        <v>Jones</v>
      </c>
      <c r="S200" s="25">
        <f t="shared" si="3"/>
        <v>30</v>
      </c>
      <c r="T200" t="str">
        <f>LEFT(Before_Tbl[[#This Row],[Department_Region]],FIND("-",Before_Tbl[[#This Row],[Department_Region]])-1)</f>
        <v>Sales</v>
      </c>
      <c r="U200" t="str">
        <f>RIGHT(Before_Tbl[[#This Row],[Department_Region]],LEN(Before_Tbl[[#This Row],[Department_Region]])-FIND("-",Before_Tbl[[#This Row],[Department_Region]]))</f>
        <v>Illinois</v>
      </c>
      <c r="V200" t="str">
        <f>TRIM(PROPER(Before_Tbl[[#This Row],[Status]]))</f>
        <v>Active</v>
      </c>
      <c r="W200" s="26">
        <v>44576</v>
      </c>
      <c r="X200" s="4">
        <v>76099.64</v>
      </c>
      <c r="Y200" t="str">
        <f>TRIM(LOWER(Before_Tbl[[#This Row],[Email]]))</f>
        <v>heidi.jones@example.com</v>
      </c>
      <c r="Z200" s="2" t="str">
        <f>SUBSTITUTE(Before_Tbl[[#This Row],[Phone]],"-","")</f>
        <v>116691835</v>
      </c>
      <c r="AA200" t="str">
        <f>TRIM(PROPER(Before_Tbl[[#This Row],[Performance_Score]]))</f>
        <v>Excellent</v>
      </c>
      <c r="AB200" s="2" t="str">
        <f>TRIM(UPPER(Before_Tbl[[#This Row],[Remote_Work]]))</f>
        <v>FALSE</v>
      </c>
    </row>
    <row r="201" spans="1:28" x14ac:dyDescent="0.35">
      <c r="A201" t="s">
        <v>444</v>
      </c>
      <c r="B201" t="s">
        <v>69</v>
      </c>
      <c r="C201" t="s">
        <v>38</v>
      </c>
      <c r="D201">
        <v>35</v>
      </c>
      <c r="E201" t="s">
        <v>78</v>
      </c>
      <c r="F201" t="s">
        <v>16</v>
      </c>
      <c r="G201" s="1">
        <v>45388</v>
      </c>
      <c r="H201">
        <v>94162.06</v>
      </c>
      <c r="I201" t="s">
        <v>71</v>
      </c>
      <c r="J201">
        <v>-2644886945</v>
      </c>
      <c r="K201" t="s">
        <v>18</v>
      </c>
      <c r="L201" t="b">
        <v>1</v>
      </c>
      <c r="P201" t="str">
        <f>TRIM(Before_Tbl[[#This Row],[Employee_ID]])</f>
        <v>EMP1199</v>
      </c>
      <c r="Q201" t="str">
        <f>TRIM(PROPER(Before_Tbl[[#This Row],[First_Name]]))</f>
        <v>Grace</v>
      </c>
      <c r="R201" t="str">
        <f>TRIM(PROPER(Before_Tbl[[#This Row],[Last_Name]]))</f>
        <v>Williams</v>
      </c>
      <c r="S201" s="25">
        <f t="shared" si="3"/>
        <v>35</v>
      </c>
      <c r="T201" t="str">
        <f>LEFT(Before_Tbl[[#This Row],[Department_Region]],FIND("-",Before_Tbl[[#This Row],[Department_Region]])-1)</f>
        <v>DevOps</v>
      </c>
      <c r="U201" t="str">
        <f>RIGHT(Before_Tbl[[#This Row],[Department_Region]],LEN(Before_Tbl[[#This Row],[Department_Region]])-FIND("-",Before_Tbl[[#This Row],[Department_Region]]))</f>
        <v>Illinois</v>
      </c>
      <c r="V201" t="str">
        <f>TRIM(PROPER(Before_Tbl[[#This Row],[Status]]))</f>
        <v>Active</v>
      </c>
      <c r="W201" s="26">
        <v>45388</v>
      </c>
      <c r="X201" s="4">
        <v>94162.06</v>
      </c>
      <c r="Y201" t="str">
        <f>TRIM(LOWER(Before_Tbl[[#This Row],[Email]]))</f>
        <v>grace.williams@example.com</v>
      </c>
      <c r="Z201" s="2" t="str">
        <f>SUBSTITUTE(Before_Tbl[[#This Row],[Phone]],"-","")</f>
        <v>2644886945</v>
      </c>
      <c r="AA201" t="str">
        <f>TRIM(PROPER(Before_Tbl[[#This Row],[Performance_Score]]))</f>
        <v>Average</v>
      </c>
      <c r="AB201" s="2" t="str">
        <f>TRIM(UPPER(Before_Tbl[[#This Row],[Remote_Work]]))</f>
        <v>TRUE</v>
      </c>
    </row>
    <row r="202" spans="1:28" x14ac:dyDescent="0.35">
      <c r="A202" t="s">
        <v>445</v>
      </c>
      <c r="B202" t="s">
        <v>37</v>
      </c>
      <c r="C202" t="s">
        <v>14</v>
      </c>
      <c r="D202">
        <v>25</v>
      </c>
      <c r="E202" t="s">
        <v>219</v>
      </c>
      <c r="F202" t="s">
        <v>33</v>
      </c>
      <c r="G202" s="1">
        <v>44294</v>
      </c>
      <c r="H202">
        <v>67639.7</v>
      </c>
      <c r="I202" t="s">
        <v>52</v>
      </c>
      <c r="J202">
        <v>-1195243639</v>
      </c>
      <c r="K202" t="s">
        <v>23</v>
      </c>
      <c r="L202" t="b">
        <v>1</v>
      </c>
      <c r="P202" t="str">
        <f>TRIM(Before_Tbl[[#This Row],[Employee_ID]])</f>
        <v>EMP1200</v>
      </c>
      <c r="Q202" t="str">
        <f>TRIM(PROPER(Before_Tbl[[#This Row],[First_Name]]))</f>
        <v>Frank</v>
      </c>
      <c r="R202" t="str">
        <f>TRIM(PROPER(Before_Tbl[[#This Row],[Last_Name]]))</f>
        <v>Davis</v>
      </c>
      <c r="S202" s="25">
        <f t="shared" si="3"/>
        <v>25</v>
      </c>
      <c r="T202" t="str">
        <f>LEFT(Before_Tbl[[#This Row],[Department_Region]],FIND("-",Before_Tbl[[#This Row],[Department_Region]])-1)</f>
        <v>Sales</v>
      </c>
      <c r="U202" t="str">
        <f>RIGHT(Before_Tbl[[#This Row],[Department_Region]],LEN(Before_Tbl[[#This Row],[Department_Region]])-FIND("-",Before_Tbl[[#This Row],[Department_Region]]))</f>
        <v>Nevada</v>
      </c>
      <c r="V202" t="str">
        <f>TRIM(PROPER(Before_Tbl[[#This Row],[Status]]))</f>
        <v>Inactive</v>
      </c>
      <c r="W202" s="26">
        <v>44294</v>
      </c>
      <c r="X202" s="4">
        <v>67639.7</v>
      </c>
      <c r="Y202" t="str">
        <f>TRIM(LOWER(Before_Tbl[[#This Row],[Email]]))</f>
        <v>frank.davis@example.com</v>
      </c>
      <c r="Z202" s="2" t="str">
        <f>SUBSTITUTE(Before_Tbl[[#This Row],[Phone]],"-","")</f>
        <v>1195243639</v>
      </c>
      <c r="AA202" t="str">
        <f>TRIM(PROPER(Before_Tbl[[#This Row],[Performance_Score]]))</f>
        <v>Excellent</v>
      </c>
      <c r="AB202" s="2" t="str">
        <f>TRIM(UPPER(Before_Tbl[[#This Row],[Remote_Work]]))</f>
        <v>TRUE</v>
      </c>
    </row>
    <row r="203" spans="1:28" x14ac:dyDescent="0.35">
      <c r="A203" t="s">
        <v>446</v>
      </c>
      <c r="B203" t="s">
        <v>54</v>
      </c>
      <c r="C203" t="s">
        <v>43</v>
      </c>
      <c r="D203">
        <v>35</v>
      </c>
      <c r="E203" t="s">
        <v>95</v>
      </c>
      <c r="F203" t="s">
        <v>28</v>
      </c>
      <c r="G203" t="s">
        <v>447</v>
      </c>
      <c r="H203">
        <v>114172.25</v>
      </c>
      <c r="I203" t="s">
        <v>87</v>
      </c>
      <c r="J203">
        <v>-2701168645</v>
      </c>
      <c r="K203" t="s">
        <v>30</v>
      </c>
      <c r="L203" t="b">
        <v>1</v>
      </c>
      <c r="P203" t="str">
        <f>TRIM(Before_Tbl[[#This Row],[Employee_ID]])</f>
        <v>EMP1201</v>
      </c>
      <c r="Q203" t="str">
        <f>TRIM(PROPER(Before_Tbl[[#This Row],[First_Name]]))</f>
        <v>Charlie</v>
      </c>
      <c r="R203" t="str">
        <f>TRIM(PROPER(Before_Tbl[[#This Row],[Last_Name]]))</f>
        <v>Garcia</v>
      </c>
      <c r="S203" s="25">
        <f t="shared" si="3"/>
        <v>35</v>
      </c>
      <c r="T203" t="str">
        <f>LEFT(Before_Tbl[[#This Row],[Department_Region]],FIND("-",Before_Tbl[[#This Row],[Department_Region]])-1)</f>
        <v>Cloud Tech</v>
      </c>
      <c r="U203" t="str">
        <f>RIGHT(Before_Tbl[[#This Row],[Department_Region]],LEN(Before_Tbl[[#This Row],[Department_Region]])-FIND("-",Before_Tbl[[#This Row],[Department_Region]]))</f>
        <v>Illinois</v>
      </c>
      <c r="V203" t="str">
        <f>TRIM(PROPER(Before_Tbl[[#This Row],[Status]]))</f>
        <v>Pending</v>
      </c>
      <c r="W203" s="26">
        <v>44120</v>
      </c>
      <c r="X203" s="4">
        <v>114172.25</v>
      </c>
      <c r="Y203" t="str">
        <f>TRIM(LOWER(Before_Tbl[[#This Row],[Email]]))</f>
        <v>charlie.garcia@example.com</v>
      </c>
      <c r="Z203" s="2" t="str">
        <f>SUBSTITUTE(Before_Tbl[[#This Row],[Phone]],"-","")</f>
        <v>2701168645</v>
      </c>
      <c r="AA203" t="str">
        <f>TRIM(PROPER(Before_Tbl[[#This Row],[Performance_Score]]))</f>
        <v>Good</v>
      </c>
      <c r="AB203" s="2" t="str">
        <f>TRIM(UPPER(Before_Tbl[[#This Row],[Remote_Work]]))</f>
        <v>TRUE</v>
      </c>
    </row>
    <row r="204" spans="1:28" x14ac:dyDescent="0.35">
      <c r="A204" t="s">
        <v>448</v>
      </c>
      <c r="B204" t="s">
        <v>69</v>
      </c>
      <c r="C204" t="s">
        <v>14</v>
      </c>
      <c r="D204">
        <v>30</v>
      </c>
      <c r="E204" t="s">
        <v>219</v>
      </c>
      <c r="F204" t="s">
        <v>16</v>
      </c>
      <c r="G204" t="s">
        <v>449</v>
      </c>
      <c r="H204">
        <v>89124.54</v>
      </c>
      <c r="I204" t="s">
        <v>235</v>
      </c>
      <c r="J204">
        <v>-2252237280</v>
      </c>
      <c r="K204" t="s">
        <v>23</v>
      </c>
      <c r="L204" t="b">
        <v>1</v>
      </c>
      <c r="P204" t="str">
        <f>TRIM(Before_Tbl[[#This Row],[Employee_ID]])</f>
        <v>EMP1202</v>
      </c>
      <c r="Q204" t="str">
        <f>TRIM(PROPER(Before_Tbl[[#This Row],[First_Name]]))</f>
        <v>Grace</v>
      </c>
      <c r="R204" t="str">
        <f>TRIM(PROPER(Before_Tbl[[#This Row],[Last_Name]]))</f>
        <v>Davis</v>
      </c>
      <c r="S204" s="25">
        <f t="shared" si="3"/>
        <v>30</v>
      </c>
      <c r="T204" t="str">
        <f>LEFT(Before_Tbl[[#This Row],[Department_Region]],FIND("-",Before_Tbl[[#This Row],[Department_Region]])-1)</f>
        <v>Sales</v>
      </c>
      <c r="U204" t="str">
        <f>RIGHT(Before_Tbl[[#This Row],[Department_Region]],LEN(Before_Tbl[[#This Row],[Department_Region]])-FIND("-",Before_Tbl[[#This Row],[Department_Region]]))</f>
        <v>Nevada</v>
      </c>
      <c r="V204" t="str">
        <f>TRIM(PROPER(Before_Tbl[[#This Row],[Status]]))</f>
        <v>Active</v>
      </c>
      <c r="W204" s="26">
        <v>44465</v>
      </c>
      <c r="X204" s="4">
        <v>89124.54</v>
      </c>
      <c r="Y204" t="str">
        <f>TRIM(LOWER(Before_Tbl[[#This Row],[Email]]))</f>
        <v>grace.davis@example.com</v>
      </c>
      <c r="Z204" s="2" t="str">
        <f>SUBSTITUTE(Before_Tbl[[#This Row],[Phone]],"-","")</f>
        <v>2252237280</v>
      </c>
      <c r="AA204" t="str">
        <f>TRIM(PROPER(Before_Tbl[[#This Row],[Performance_Score]]))</f>
        <v>Excellent</v>
      </c>
      <c r="AB204" s="2" t="str">
        <f>TRIM(UPPER(Before_Tbl[[#This Row],[Remote_Work]]))</f>
        <v>TRUE</v>
      </c>
    </row>
    <row r="205" spans="1:28" x14ac:dyDescent="0.35">
      <c r="A205" t="s">
        <v>450</v>
      </c>
      <c r="B205" t="s">
        <v>37</v>
      </c>
      <c r="C205" t="s">
        <v>122</v>
      </c>
      <c r="D205">
        <v>30</v>
      </c>
      <c r="E205" t="s">
        <v>329</v>
      </c>
      <c r="F205" t="s">
        <v>28</v>
      </c>
      <c r="G205" s="1">
        <v>45027</v>
      </c>
      <c r="H205">
        <v>113871.36</v>
      </c>
      <c r="I205" t="s">
        <v>137</v>
      </c>
      <c r="J205">
        <v>-7932302345</v>
      </c>
      <c r="K205" t="s">
        <v>18</v>
      </c>
      <c r="L205" t="b">
        <v>0</v>
      </c>
      <c r="P205" t="str">
        <f>TRIM(Before_Tbl[[#This Row],[Employee_ID]])</f>
        <v>EMP1203</v>
      </c>
      <c r="Q205" t="str">
        <f>TRIM(PROPER(Before_Tbl[[#This Row],[First_Name]]))</f>
        <v>Frank</v>
      </c>
      <c r="R205" t="str">
        <f>TRIM(PROPER(Before_Tbl[[#This Row],[Last_Name]]))</f>
        <v>Smith</v>
      </c>
      <c r="S205" s="25">
        <f t="shared" si="3"/>
        <v>30</v>
      </c>
      <c r="T205" t="str">
        <f>LEFT(Before_Tbl[[#This Row],[Department_Region]],FIND("-",Before_Tbl[[#This Row],[Department_Region]])-1)</f>
        <v>DevOps</v>
      </c>
      <c r="U205" t="str">
        <f>RIGHT(Before_Tbl[[#This Row],[Department_Region]],LEN(Before_Tbl[[#This Row],[Department_Region]])-FIND("-",Before_Tbl[[#This Row],[Department_Region]]))</f>
        <v>Nevada</v>
      </c>
      <c r="V205" t="str">
        <f>TRIM(PROPER(Before_Tbl[[#This Row],[Status]]))</f>
        <v>Pending</v>
      </c>
      <c r="W205" s="26">
        <v>45027</v>
      </c>
      <c r="X205" s="4">
        <v>113871.36</v>
      </c>
      <c r="Y205" t="str">
        <f>TRIM(LOWER(Before_Tbl[[#This Row],[Email]]))</f>
        <v>frank.smith@example.com</v>
      </c>
      <c r="Z205" s="2" t="str">
        <f>SUBSTITUTE(Before_Tbl[[#This Row],[Phone]],"-","")</f>
        <v>7932302345</v>
      </c>
      <c r="AA205" t="str">
        <f>TRIM(PROPER(Before_Tbl[[#This Row],[Performance_Score]]))</f>
        <v>Average</v>
      </c>
      <c r="AB205" s="2" t="str">
        <f>TRIM(UPPER(Before_Tbl[[#This Row],[Remote_Work]]))</f>
        <v>FALSE</v>
      </c>
    </row>
    <row r="206" spans="1:28" x14ac:dyDescent="0.35">
      <c r="A206" t="s">
        <v>451</v>
      </c>
      <c r="B206" t="s">
        <v>69</v>
      </c>
      <c r="C206" t="s">
        <v>20</v>
      </c>
      <c r="E206" t="s">
        <v>139</v>
      </c>
      <c r="F206" t="s">
        <v>33</v>
      </c>
      <c r="G206" t="s">
        <v>352</v>
      </c>
      <c r="H206">
        <v>62618.400000000001</v>
      </c>
      <c r="I206" t="s">
        <v>201</v>
      </c>
      <c r="J206">
        <v>-7912141613</v>
      </c>
      <c r="K206" t="s">
        <v>23</v>
      </c>
      <c r="L206" t="b">
        <v>0</v>
      </c>
      <c r="P206" t="str">
        <f>TRIM(Before_Tbl[[#This Row],[Employee_ID]])</f>
        <v>EMP1204</v>
      </c>
      <c r="Q206" t="str">
        <f>TRIM(PROPER(Before_Tbl[[#This Row],[First_Name]]))</f>
        <v>Grace</v>
      </c>
      <c r="R206" t="str">
        <f>TRIM(PROPER(Before_Tbl[[#This Row],[Last_Name]]))</f>
        <v>Brown</v>
      </c>
      <c r="S206" s="25">
        <f t="shared" si="3"/>
        <v>30</v>
      </c>
      <c r="T206" t="str">
        <f>LEFT(Before_Tbl[[#This Row],[Department_Region]],FIND("-",Before_Tbl[[#This Row],[Department_Region]])-1)</f>
        <v>HR</v>
      </c>
      <c r="U206" t="str">
        <f>RIGHT(Before_Tbl[[#This Row],[Department_Region]],LEN(Before_Tbl[[#This Row],[Department_Region]])-FIND("-",Before_Tbl[[#This Row],[Department_Region]]))</f>
        <v>Texas</v>
      </c>
      <c r="V206" t="str">
        <f>TRIM(PROPER(Before_Tbl[[#This Row],[Status]]))</f>
        <v>Inactive</v>
      </c>
      <c r="W206" s="26">
        <v>44463</v>
      </c>
      <c r="X206" s="4">
        <v>62618.400000000001</v>
      </c>
      <c r="Y206" t="str">
        <f>TRIM(LOWER(Before_Tbl[[#This Row],[Email]]))</f>
        <v>grace.brown@example.com</v>
      </c>
      <c r="Z206" s="2" t="str">
        <f>SUBSTITUTE(Before_Tbl[[#This Row],[Phone]],"-","")</f>
        <v>7912141613</v>
      </c>
      <c r="AA206" t="str">
        <f>TRIM(PROPER(Before_Tbl[[#This Row],[Performance_Score]]))</f>
        <v>Excellent</v>
      </c>
      <c r="AB206" s="2" t="str">
        <f>TRIM(UPPER(Before_Tbl[[#This Row],[Remote_Work]]))</f>
        <v>FALSE</v>
      </c>
    </row>
    <row r="207" spans="1:28" x14ac:dyDescent="0.35">
      <c r="A207" t="s">
        <v>452</v>
      </c>
      <c r="B207" t="s">
        <v>65</v>
      </c>
      <c r="C207" t="s">
        <v>26</v>
      </c>
      <c r="D207">
        <v>30</v>
      </c>
      <c r="E207" t="s">
        <v>196</v>
      </c>
      <c r="F207" t="s">
        <v>16</v>
      </c>
      <c r="G207" s="1">
        <v>44018</v>
      </c>
      <c r="H207">
        <v>70705.45</v>
      </c>
      <c r="I207" t="s">
        <v>320</v>
      </c>
      <c r="J207">
        <v>-1509377099</v>
      </c>
      <c r="K207" t="s">
        <v>30</v>
      </c>
      <c r="L207" t="b">
        <v>0</v>
      </c>
      <c r="P207" t="str">
        <f>TRIM(Before_Tbl[[#This Row],[Employee_ID]])</f>
        <v>EMP1205</v>
      </c>
      <c r="Q207" t="str">
        <f>TRIM(PROPER(Before_Tbl[[#This Row],[First_Name]]))</f>
        <v>Heidi</v>
      </c>
      <c r="R207" t="str">
        <f>TRIM(PROPER(Before_Tbl[[#This Row],[Last_Name]]))</f>
        <v>Jones</v>
      </c>
      <c r="S207" s="25">
        <f t="shared" si="3"/>
        <v>30</v>
      </c>
      <c r="T207" t="str">
        <f>LEFT(Before_Tbl[[#This Row],[Department_Region]],FIND("-",Before_Tbl[[#This Row],[Department_Region]])-1)</f>
        <v>Admin</v>
      </c>
      <c r="U207" t="str">
        <f>RIGHT(Before_Tbl[[#This Row],[Department_Region]],LEN(Before_Tbl[[#This Row],[Department_Region]])-FIND("-",Before_Tbl[[#This Row],[Department_Region]]))</f>
        <v>New York</v>
      </c>
      <c r="V207" t="str">
        <f>TRIM(PROPER(Before_Tbl[[#This Row],[Status]]))</f>
        <v>Active</v>
      </c>
      <c r="W207" s="26">
        <v>44018</v>
      </c>
      <c r="X207" s="4">
        <v>70705.45</v>
      </c>
      <c r="Y207" t="str">
        <f>TRIM(LOWER(Before_Tbl[[#This Row],[Email]]))</f>
        <v>heidi.jones@example.com</v>
      </c>
      <c r="Z207" s="2" t="str">
        <f>SUBSTITUTE(Before_Tbl[[#This Row],[Phone]],"-","")</f>
        <v>1509377099</v>
      </c>
      <c r="AA207" t="str">
        <f>TRIM(PROPER(Before_Tbl[[#This Row],[Performance_Score]]))</f>
        <v>Good</v>
      </c>
      <c r="AB207" s="2" t="str">
        <f>TRIM(UPPER(Before_Tbl[[#This Row],[Remote_Work]]))</f>
        <v>FALSE</v>
      </c>
    </row>
    <row r="208" spans="1:28" x14ac:dyDescent="0.35">
      <c r="A208" t="s">
        <v>453</v>
      </c>
      <c r="B208" t="s">
        <v>25</v>
      </c>
      <c r="C208" t="s">
        <v>43</v>
      </c>
      <c r="D208">
        <v>35</v>
      </c>
      <c r="E208" t="s">
        <v>109</v>
      </c>
      <c r="F208" t="s">
        <v>28</v>
      </c>
      <c r="G208" s="1">
        <v>44836</v>
      </c>
      <c r="H208">
        <v>60797.69</v>
      </c>
      <c r="I208" t="s">
        <v>45</v>
      </c>
      <c r="J208">
        <v>-4090138068</v>
      </c>
      <c r="K208" t="s">
        <v>18</v>
      </c>
      <c r="L208" t="b">
        <v>1</v>
      </c>
      <c r="P208" t="str">
        <f>TRIM(Before_Tbl[[#This Row],[Employee_ID]])</f>
        <v>EMP1206</v>
      </c>
      <c r="Q208" t="str">
        <f>TRIM(PROPER(Before_Tbl[[#This Row],[First_Name]]))</f>
        <v>Alice</v>
      </c>
      <c r="R208" t="str">
        <f>TRIM(PROPER(Before_Tbl[[#This Row],[Last_Name]]))</f>
        <v>Garcia</v>
      </c>
      <c r="S208" s="25">
        <f t="shared" si="3"/>
        <v>35</v>
      </c>
      <c r="T208" t="str">
        <f>LEFT(Before_Tbl[[#This Row],[Department_Region]],FIND("-",Before_Tbl[[#This Row],[Department_Region]])-1)</f>
        <v>Sales</v>
      </c>
      <c r="U208" t="str">
        <f>RIGHT(Before_Tbl[[#This Row],[Department_Region]],LEN(Before_Tbl[[#This Row],[Department_Region]])-FIND("-",Before_Tbl[[#This Row],[Department_Region]]))</f>
        <v>New York</v>
      </c>
      <c r="V208" t="str">
        <f>TRIM(PROPER(Before_Tbl[[#This Row],[Status]]))</f>
        <v>Pending</v>
      </c>
      <c r="W208" s="26">
        <v>44836</v>
      </c>
      <c r="X208" s="4">
        <v>60797.69</v>
      </c>
      <c r="Y208" t="str">
        <f>TRIM(LOWER(Before_Tbl[[#This Row],[Email]]))</f>
        <v>alice.garcia@example.com</v>
      </c>
      <c r="Z208" s="2" t="str">
        <f>SUBSTITUTE(Before_Tbl[[#This Row],[Phone]],"-","")</f>
        <v>4090138068</v>
      </c>
      <c r="AA208" t="str">
        <f>TRIM(PROPER(Before_Tbl[[#This Row],[Performance_Score]]))</f>
        <v>Average</v>
      </c>
      <c r="AB208" s="2" t="str">
        <f>TRIM(UPPER(Before_Tbl[[#This Row],[Remote_Work]]))</f>
        <v>TRUE</v>
      </c>
    </row>
    <row r="209" spans="1:28" x14ac:dyDescent="0.35">
      <c r="A209" t="s">
        <v>454</v>
      </c>
      <c r="B209" t="s">
        <v>54</v>
      </c>
      <c r="C209" t="s">
        <v>20</v>
      </c>
      <c r="D209">
        <v>40</v>
      </c>
      <c r="E209" t="s">
        <v>39</v>
      </c>
      <c r="F209" t="s">
        <v>33</v>
      </c>
      <c r="G209" t="s">
        <v>455</v>
      </c>
      <c r="H209">
        <v>100371</v>
      </c>
      <c r="I209" t="s">
        <v>125</v>
      </c>
      <c r="J209">
        <v>-8477596554</v>
      </c>
      <c r="K209" t="s">
        <v>41</v>
      </c>
      <c r="L209" t="b">
        <v>1</v>
      </c>
      <c r="P209" t="str">
        <f>TRIM(Before_Tbl[[#This Row],[Employee_ID]])</f>
        <v>EMP1207</v>
      </c>
      <c r="Q209" t="str">
        <f>TRIM(PROPER(Before_Tbl[[#This Row],[First_Name]]))</f>
        <v>Charlie</v>
      </c>
      <c r="R209" t="str">
        <f>TRIM(PROPER(Before_Tbl[[#This Row],[Last_Name]]))</f>
        <v>Brown</v>
      </c>
      <c r="S209" s="25">
        <f t="shared" si="3"/>
        <v>40</v>
      </c>
      <c r="T209" t="str">
        <f>LEFT(Before_Tbl[[#This Row],[Department_Region]],FIND("-",Before_Tbl[[#This Row],[Department_Region]])-1)</f>
        <v>Cloud Tech</v>
      </c>
      <c r="U209" t="str">
        <f>RIGHT(Before_Tbl[[#This Row],[Department_Region]],LEN(Before_Tbl[[#This Row],[Department_Region]])-FIND("-",Before_Tbl[[#This Row],[Department_Region]]))</f>
        <v>Florida</v>
      </c>
      <c r="V209" t="str">
        <f>TRIM(PROPER(Before_Tbl[[#This Row],[Status]]))</f>
        <v>Inactive</v>
      </c>
      <c r="W209" s="26">
        <v>45216</v>
      </c>
      <c r="X209" s="4">
        <v>100371</v>
      </c>
      <c r="Y209" t="str">
        <f>TRIM(LOWER(Before_Tbl[[#This Row],[Email]]))</f>
        <v>charlie.brown@example.com</v>
      </c>
      <c r="Z209" s="2" t="str">
        <f>SUBSTITUTE(Before_Tbl[[#This Row],[Phone]],"-","")</f>
        <v>8477596554</v>
      </c>
      <c r="AA209" t="str">
        <f>TRIM(PROPER(Before_Tbl[[#This Row],[Performance_Score]]))</f>
        <v>Poor</v>
      </c>
      <c r="AB209" s="2" t="str">
        <f>TRIM(UPPER(Before_Tbl[[#This Row],[Remote_Work]]))</f>
        <v>TRUE</v>
      </c>
    </row>
    <row r="210" spans="1:28" x14ac:dyDescent="0.35">
      <c r="A210" t="s">
        <v>456</v>
      </c>
      <c r="B210" t="s">
        <v>32</v>
      </c>
      <c r="C210" t="s">
        <v>92</v>
      </c>
      <c r="D210">
        <v>40</v>
      </c>
      <c r="E210" t="s">
        <v>89</v>
      </c>
      <c r="F210" t="s">
        <v>16</v>
      </c>
      <c r="G210" t="s">
        <v>457</v>
      </c>
      <c r="H210">
        <v>117591.76</v>
      </c>
      <c r="I210" t="s">
        <v>263</v>
      </c>
      <c r="J210">
        <v>-5356690550</v>
      </c>
      <c r="K210" t="s">
        <v>30</v>
      </c>
      <c r="L210" t="b">
        <v>0</v>
      </c>
      <c r="P210" t="str">
        <f>TRIM(Before_Tbl[[#This Row],[Employee_ID]])</f>
        <v>EMP1208</v>
      </c>
      <c r="Q210" t="str">
        <f>TRIM(PROPER(Before_Tbl[[#This Row],[First_Name]]))</f>
        <v>Eva</v>
      </c>
      <c r="R210" t="str">
        <f>TRIM(PROPER(Before_Tbl[[#This Row],[Last_Name]]))</f>
        <v>Miller</v>
      </c>
      <c r="S210" s="25">
        <f t="shared" si="3"/>
        <v>40</v>
      </c>
      <c r="T210" t="str">
        <f>LEFT(Before_Tbl[[#This Row],[Department_Region]],FIND("-",Before_Tbl[[#This Row],[Department_Region]])-1)</f>
        <v>Admin</v>
      </c>
      <c r="U210" t="str">
        <f>RIGHT(Before_Tbl[[#This Row],[Department_Region]],LEN(Before_Tbl[[#This Row],[Department_Region]])-FIND("-",Before_Tbl[[#This Row],[Department_Region]]))</f>
        <v>Illinois</v>
      </c>
      <c r="V210" t="str">
        <f>TRIM(PROPER(Before_Tbl[[#This Row],[Status]]))</f>
        <v>Active</v>
      </c>
      <c r="W210" s="26">
        <v>44464</v>
      </c>
      <c r="X210" s="4">
        <v>117591.76</v>
      </c>
      <c r="Y210" t="str">
        <f>TRIM(LOWER(Before_Tbl[[#This Row],[Email]]))</f>
        <v>eva.miller@example.com</v>
      </c>
      <c r="Z210" s="2" t="str">
        <f>SUBSTITUTE(Before_Tbl[[#This Row],[Phone]],"-","")</f>
        <v>5356690550</v>
      </c>
      <c r="AA210" t="str">
        <f>TRIM(PROPER(Before_Tbl[[#This Row],[Performance_Score]]))</f>
        <v>Good</v>
      </c>
      <c r="AB210" s="2" t="str">
        <f>TRIM(UPPER(Before_Tbl[[#This Row],[Remote_Work]]))</f>
        <v>FALSE</v>
      </c>
    </row>
    <row r="211" spans="1:28" x14ac:dyDescent="0.35">
      <c r="A211" t="s">
        <v>458</v>
      </c>
      <c r="B211" t="s">
        <v>59</v>
      </c>
      <c r="C211" t="s">
        <v>26</v>
      </c>
      <c r="D211">
        <v>35</v>
      </c>
      <c r="E211" t="s">
        <v>78</v>
      </c>
      <c r="F211" t="s">
        <v>33</v>
      </c>
      <c r="G211" s="1">
        <v>44628</v>
      </c>
      <c r="H211">
        <v>103860.7</v>
      </c>
      <c r="I211" t="s">
        <v>242</v>
      </c>
      <c r="J211">
        <v>-762091842</v>
      </c>
      <c r="K211" t="s">
        <v>18</v>
      </c>
      <c r="L211" t="b">
        <v>1</v>
      </c>
      <c r="P211" t="str">
        <f>TRIM(Before_Tbl[[#This Row],[Employee_ID]])</f>
        <v>EMP1209</v>
      </c>
      <c r="Q211" t="str">
        <f>TRIM(PROPER(Before_Tbl[[#This Row],[First_Name]]))</f>
        <v>David</v>
      </c>
      <c r="R211" t="str">
        <f>TRIM(PROPER(Before_Tbl[[#This Row],[Last_Name]]))</f>
        <v>Jones</v>
      </c>
      <c r="S211" s="25">
        <f t="shared" si="3"/>
        <v>35</v>
      </c>
      <c r="T211" t="str">
        <f>LEFT(Before_Tbl[[#This Row],[Department_Region]],FIND("-",Before_Tbl[[#This Row],[Department_Region]])-1)</f>
        <v>DevOps</v>
      </c>
      <c r="U211" t="str">
        <f>RIGHT(Before_Tbl[[#This Row],[Department_Region]],LEN(Before_Tbl[[#This Row],[Department_Region]])-FIND("-",Before_Tbl[[#This Row],[Department_Region]]))</f>
        <v>Illinois</v>
      </c>
      <c r="V211" t="str">
        <f>TRIM(PROPER(Before_Tbl[[#This Row],[Status]]))</f>
        <v>Inactive</v>
      </c>
      <c r="W211" s="26">
        <v>44628</v>
      </c>
      <c r="X211" s="4">
        <v>103860.7</v>
      </c>
      <c r="Y211" t="str">
        <f>TRIM(LOWER(Before_Tbl[[#This Row],[Email]]))</f>
        <v>david.jones@example.com</v>
      </c>
      <c r="Z211" s="2" t="str">
        <f>SUBSTITUTE(Before_Tbl[[#This Row],[Phone]],"-","")</f>
        <v>762091842</v>
      </c>
      <c r="AA211" t="str">
        <f>TRIM(PROPER(Before_Tbl[[#This Row],[Performance_Score]]))</f>
        <v>Average</v>
      </c>
      <c r="AB211" s="2" t="str">
        <f>TRIM(UPPER(Before_Tbl[[#This Row],[Remote_Work]]))</f>
        <v>TRUE</v>
      </c>
    </row>
    <row r="212" spans="1:28" x14ac:dyDescent="0.35">
      <c r="A212" t="s">
        <v>459</v>
      </c>
      <c r="B212" t="s">
        <v>69</v>
      </c>
      <c r="C212" t="s">
        <v>14</v>
      </c>
      <c r="D212">
        <v>30</v>
      </c>
      <c r="E212" t="s">
        <v>89</v>
      </c>
      <c r="F212" t="s">
        <v>16</v>
      </c>
      <c r="G212" t="s">
        <v>337</v>
      </c>
      <c r="H212">
        <v>67500.22</v>
      </c>
      <c r="I212" t="s">
        <v>235</v>
      </c>
      <c r="J212">
        <v>-5797863049</v>
      </c>
      <c r="K212" t="s">
        <v>18</v>
      </c>
      <c r="L212" t="b">
        <v>1</v>
      </c>
      <c r="P212" t="str">
        <f>TRIM(Before_Tbl[[#This Row],[Employee_ID]])</f>
        <v>EMP1210</v>
      </c>
      <c r="Q212" t="str">
        <f>TRIM(PROPER(Before_Tbl[[#This Row],[First_Name]]))</f>
        <v>Grace</v>
      </c>
      <c r="R212" t="str">
        <f>TRIM(PROPER(Before_Tbl[[#This Row],[Last_Name]]))</f>
        <v>Davis</v>
      </c>
      <c r="S212" s="25">
        <f t="shared" si="3"/>
        <v>30</v>
      </c>
      <c r="T212" t="str">
        <f>LEFT(Before_Tbl[[#This Row],[Department_Region]],FIND("-",Before_Tbl[[#This Row],[Department_Region]])-1)</f>
        <v>Admin</v>
      </c>
      <c r="U212" t="str">
        <f>RIGHT(Before_Tbl[[#This Row],[Department_Region]],LEN(Before_Tbl[[#This Row],[Department_Region]])-FIND("-",Before_Tbl[[#This Row],[Department_Region]]))</f>
        <v>Illinois</v>
      </c>
      <c r="V212" t="str">
        <f>TRIM(PROPER(Before_Tbl[[#This Row],[Status]]))</f>
        <v>Active</v>
      </c>
      <c r="W212" s="26">
        <v>45618</v>
      </c>
      <c r="X212" s="4">
        <v>67500.22</v>
      </c>
      <c r="Y212" t="str">
        <f>TRIM(LOWER(Before_Tbl[[#This Row],[Email]]))</f>
        <v>grace.davis@example.com</v>
      </c>
      <c r="Z212" s="2" t="str">
        <f>SUBSTITUTE(Before_Tbl[[#This Row],[Phone]],"-","")</f>
        <v>5797863049</v>
      </c>
      <c r="AA212" t="str">
        <f>TRIM(PROPER(Before_Tbl[[#This Row],[Performance_Score]]))</f>
        <v>Average</v>
      </c>
      <c r="AB212" s="2" t="str">
        <f>TRIM(UPPER(Before_Tbl[[#This Row],[Remote_Work]]))</f>
        <v>TRUE</v>
      </c>
    </row>
    <row r="213" spans="1:28" x14ac:dyDescent="0.35">
      <c r="A213" t="s">
        <v>460</v>
      </c>
      <c r="B213" t="s">
        <v>37</v>
      </c>
      <c r="C213" t="s">
        <v>14</v>
      </c>
      <c r="E213" t="s">
        <v>85</v>
      </c>
      <c r="F213" t="s">
        <v>28</v>
      </c>
      <c r="G213" s="1">
        <v>45545</v>
      </c>
      <c r="H213">
        <v>58727.44</v>
      </c>
      <c r="I213" t="s">
        <v>52</v>
      </c>
      <c r="J213">
        <v>-5057397690</v>
      </c>
      <c r="K213" t="s">
        <v>41</v>
      </c>
      <c r="L213" t="b">
        <v>1</v>
      </c>
      <c r="P213" t="str">
        <f>TRIM(Before_Tbl[[#This Row],[Employee_ID]])</f>
        <v>EMP1211</v>
      </c>
      <c r="Q213" t="str">
        <f>TRIM(PROPER(Before_Tbl[[#This Row],[First_Name]]))</f>
        <v>Frank</v>
      </c>
      <c r="R213" t="str">
        <f>TRIM(PROPER(Before_Tbl[[#This Row],[Last_Name]]))</f>
        <v>Davis</v>
      </c>
      <c r="S213" s="25">
        <f t="shared" si="3"/>
        <v>30</v>
      </c>
      <c r="T213" t="str">
        <f>LEFT(Before_Tbl[[#This Row],[Department_Region]],FIND("-",Before_Tbl[[#This Row],[Department_Region]])-1)</f>
        <v>Cloud Tech</v>
      </c>
      <c r="U213" t="str">
        <f>RIGHT(Before_Tbl[[#This Row],[Department_Region]],LEN(Before_Tbl[[#This Row],[Department_Region]])-FIND("-",Before_Tbl[[#This Row],[Department_Region]]))</f>
        <v>Nevada</v>
      </c>
      <c r="V213" t="str">
        <f>TRIM(PROPER(Before_Tbl[[#This Row],[Status]]))</f>
        <v>Pending</v>
      </c>
      <c r="W213" s="26">
        <v>45545</v>
      </c>
      <c r="X213" s="4">
        <v>58727.44</v>
      </c>
      <c r="Y213" t="str">
        <f>TRIM(LOWER(Before_Tbl[[#This Row],[Email]]))</f>
        <v>frank.davis@example.com</v>
      </c>
      <c r="Z213" s="2" t="str">
        <f>SUBSTITUTE(Before_Tbl[[#This Row],[Phone]],"-","")</f>
        <v>5057397690</v>
      </c>
      <c r="AA213" t="str">
        <f>TRIM(PROPER(Before_Tbl[[#This Row],[Performance_Score]]))</f>
        <v>Poor</v>
      </c>
      <c r="AB213" s="2" t="str">
        <f>TRIM(UPPER(Before_Tbl[[#This Row],[Remote_Work]]))</f>
        <v>TRUE</v>
      </c>
    </row>
    <row r="214" spans="1:28" x14ac:dyDescent="0.35">
      <c r="A214" t="s">
        <v>461</v>
      </c>
      <c r="B214" t="s">
        <v>54</v>
      </c>
      <c r="C214" t="s">
        <v>26</v>
      </c>
      <c r="D214">
        <v>35</v>
      </c>
      <c r="E214" t="s">
        <v>265</v>
      </c>
      <c r="F214" t="s">
        <v>16</v>
      </c>
      <c r="G214" t="s">
        <v>208</v>
      </c>
      <c r="H214">
        <v>80623.08</v>
      </c>
      <c r="I214" t="s">
        <v>120</v>
      </c>
      <c r="J214">
        <v>-5671649327</v>
      </c>
      <c r="K214" t="s">
        <v>23</v>
      </c>
      <c r="L214" t="b">
        <v>1</v>
      </c>
      <c r="P214" t="str">
        <f>TRIM(Before_Tbl[[#This Row],[Employee_ID]])</f>
        <v>EMP1212</v>
      </c>
      <c r="Q214" t="str">
        <f>TRIM(PROPER(Before_Tbl[[#This Row],[First_Name]]))</f>
        <v>Charlie</v>
      </c>
      <c r="R214" t="str">
        <f>TRIM(PROPER(Before_Tbl[[#This Row],[Last_Name]]))</f>
        <v>Jones</v>
      </c>
      <c r="S214" s="25">
        <f t="shared" si="3"/>
        <v>35</v>
      </c>
      <c r="T214" t="str">
        <f>LEFT(Before_Tbl[[#This Row],[Department_Region]],FIND("-",Before_Tbl[[#This Row],[Department_Region]])-1)</f>
        <v>Finance</v>
      </c>
      <c r="U214" t="str">
        <f>RIGHT(Before_Tbl[[#This Row],[Department_Region]],LEN(Before_Tbl[[#This Row],[Department_Region]])-FIND("-",Before_Tbl[[#This Row],[Department_Region]]))</f>
        <v>Illinois</v>
      </c>
      <c r="V214" t="str">
        <f>TRIM(PROPER(Before_Tbl[[#This Row],[Status]]))</f>
        <v>Active</v>
      </c>
      <c r="W214" s="26">
        <v>45532</v>
      </c>
      <c r="X214" s="4">
        <v>80623.08</v>
      </c>
      <c r="Y214" t="str">
        <f>TRIM(LOWER(Before_Tbl[[#This Row],[Email]]))</f>
        <v>charlie.jones@example.com</v>
      </c>
      <c r="Z214" s="2" t="str">
        <f>SUBSTITUTE(Before_Tbl[[#This Row],[Phone]],"-","")</f>
        <v>5671649327</v>
      </c>
      <c r="AA214" t="str">
        <f>TRIM(PROPER(Before_Tbl[[#This Row],[Performance_Score]]))</f>
        <v>Excellent</v>
      </c>
      <c r="AB214" s="2" t="str">
        <f>TRIM(UPPER(Before_Tbl[[#This Row],[Remote_Work]]))</f>
        <v>TRUE</v>
      </c>
    </row>
    <row r="215" spans="1:28" x14ac:dyDescent="0.35">
      <c r="A215" t="s">
        <v>462</v>
      </c>
      <c r="B215" t="s">
        <v>59</v>
      </c>
      <c r="C215" t="s">
        <v>14</v>
      </c>
      <c r="D215">
        <v>40</v>
      </c>
      <c r="E215" t="s">
        <v>139</v>
      </c>
      <c r="F215" t="s">
        <v>33</v>
      </c>
      <c r="G215" t="s">
        <v>463</v>
      </c>
      <c r="H215">
        <v>77751.78</v>
      </c>
      <c r="I215" t="s">
        <v>63</v>
      </c>
      <c r="J215">
        <v>-9802714871</v>
      </c>
      <c r="K215" t="s">
        <v>23</v>
      </c>
      <c r="L215" t="b">
        <v>0</v>
      </c>
      <c r="P215" t="str">
        <f>TRIM(Before_Tbl[[#This Row],[Employee_ID]])</f>
        <v>EMP1213</v>
      </c>
      <c r="Q215" t="str">
        <f>TRIM(PROPER(Before_Tbl[[#This Row],[First_Name]]))</f>
        <v>David</v>
      </c>
      <c r="R215" t="str">
        <f>TRIM(PROPER(Before_Tbl[[#This Row],[Last_Name]]))</f>
        <v>Davis</v>
      </c>
      <c r="S215" s="25">
        <f t="shared" si="3"/>
        <v>40</v>
      </c>
      <c r="T215" t="str">
        <f>LEFT(Before_Tbl[[#This Row],[Department_Region]],FIND("-",Before_Tbl[[#This Row],[Department_Region]])-1)</f>
        <v>HR</v>
      </c>
      <c r="U215" t="str">
        <f>RIGHT(Before_Tbl[[#This Row],[Department_Region]],LEN(Before_Tbl[[#This Row],[Department_Region]])-FIND("-",Before_Tbl[[#This Row],[Department_Region]]))</f>
        <v>Texas</v>
      </c>
      <c r="V215" t="str">
        <f>TRIM(PROPER(Before_Tbl[[#This Row],[Status]]))</f>
        <v>Inactive</v>
      </c>
      <c r="W215" s="26">
        <v>43940</v>
      </c>
      <c r="X215" s="4">
        <v>77751.78</v>
      </c>
      <c r="Y215" t="str">
        <f>TRIM(LOWER(Before_Tbl[[#This Row],[Email]]))</f>
        <v>david.davis@example.com</v>
      </c>
      <c r="Z215" s="2" t="str">
        <f>SUBSTITUTE(Before_Tbl[[#This Row],[Phone]],"-","")</f>
        <v>9802714871</v>
      </c>
      <c r="AA215" t="str">
        <f>TRIM(PROPER(Before_Tbl[[#This Row],[Performance_Score]]))</f>
        <v>Excellent</v>
      </c>
      <c r="AB215" s="2" t="str">
        <f>TRIM(UPPER(Before_Tbl[[#This Row],[Remote_Work]]))</f>
        <v>FALSE</v>
      </c>
    </row>
    <row r="216" spans="1:28" x14ac:dyDescent="0.35">
      <c r="A216" t="s">
        <v>464</v>
      </c>
      <c r="B216" t="s">
        <v>69</v>
      </c>
      <c r="C216" t="s">
        <v>38</v>
      </c>
      <c r="D216">
        <v>25</v>
      </c>
      <c r="E216" t="s">
        <v>66</v>
      </c>
      <c r="F216" t="s">
        <v>16</v>
      </c>
      <c r="G216" t="s">
        <v>465</v>
      </c>
      <c r="H216">
        <v>115157.81</v>
      </c>
      <c r="I216" t="s">
        <v>71</v>
      </c>
      <c r="J216">
        <v>-7178333210</v>
      </c>
      <c r="K216" t="s">
        <v>30</v>
      </c>
      <c r="L216" t="b">
        <v>0</v>
      </c>
      <c r="P216" t="str">
        <f>TRIM(Before_Tbl[[#This Row],[Employee_ID]])</f>
        <v>EMP1214</v>
      </c>
      <c r="Q216" t="str">
        <f>TRIM(PROPER(Before_Tbl[[#This Row],[First_Name]]))</f>
        <v>Grace</v>
      </c>
      <c r="R216" t="str">
        <f>TRIM(PROPER(Before_Tbl[[#This Row],[Last_Name]]))</f>
        <v>Williams</v>
      </c>
      <c r="S216" s="25">
        <f t="shared" si="3"/>
        <v>25</v>
      </c>
      <c r="T216" t="str">
        <f>LEFT(Before_Tbl[[#This Row],[Department_Region]],FIND("-",Before_Tbl[[#This Row],[Department_Region]])-1)</f>
        <v>HR</v>
      </c>
      <c r="U216" t="str">
        <f>RIGHT(Before_Tbl[[#This Row],[Department_Region]],LEN(Before_Tbl[[#This Row],[Department_Region]])-FIND("-",Before_Tbl[[#This Row],[Department_Region]]))</f>
        <v>New York</v>
      </c>
      <c r="V216" t="str">
        <f>TRIM(PROPER(Before_Tbl[[#This Row],[Status]]))</f>
        <v>Active</v>
      </c>
      <c r="W216" s="26">
        <v>44483</v>
      </c>
      <c r="X216" s="4">
        <v>115157.81</v>
      </c>
      <c r="Y216" t="str">
        <f>TRIM(LOWER(Before_Tbl[[#This Row],[Email]]))</f>
        <v>grace.williams@example.com</v>
      </c>
      <c r="Z216" s="2" t="str">
        <f>SUBSTITUTE(Before_Tbl[[#This Row],[Phone]],"-","")</f>
        <v>7178333210</v>
      </c>
      <c r="AA216" t="str">
        <f>TRIM(PROPER(Before_Tbl[[#This Row],[Performance_Score]]))</f>
        <v>Good</v>
      </c>
      <c r="AB216" s="2" t="str">
        <f>TRIM(UPPER(Before_Tbl[[#This Row],[Remote_Work]]))</f>
        <v>FALSE</v>
      </c>
    </row>
    <row r="217" spans="1:28" x14ac:dyDescent="0.35">
      <c r="A217" t="s">
        <v>466</v>
      </c>
      <c r="B217" t="s">
        <v>37</v>
      </c>
      <c r="C217" t="s">
        <v>26</v>
      </c>
      <c r="D217">
        <v>30</v>
      </c>
      <c r="E217" t="s">
        <v>103</v>
      </c>
      <c r="F217" t="s">
        <v>33</v>
      </c>
      <c r="G217" t="s">
        <v>467</v>
      </c>
      <c r="H217">
        <v>83071.850000000006</v>
      </c>
      <c r="I217" t="s">
        <v>47</v>
      </c>
      <c r="J217">
        <v>-6025643470</v>
      </c>
      <c r="K217" t="s">
        <v>41</v>
      </c>
      <c r="L217" t="b">
        <v>0</v>
      </c>
      <c r="P217" t="str">
        <f>TRIM(Before_Tbl[[#This Row],[Employee_ID]])</f>
        <v>EMP1215</v>
      </c>
      <c r="Q217" t="str">
        <f>TRIM(PROPER(Before_Tbl[[#This Row],[First_Name]]))</f>
        <v>Frank</v>
      </c>
      <c r="R217" t="str">
        <f>TRIM(PROPER(Before_Tbl[[#This Row],[Last_Name]]))</f>
        <v>Jones</v>
      </c>
      <c r="S217" s="25">
        <f t="shared" si="3"/>
        <v>30</v>
      </c>
      <c r="T217" t="str">
        <f>LEFT(Before_Tbl[[#This Row],[Department_Region]],FIND("-",Before_Tbl[[#This Row],[Department_Region]])-1)</f>
        <v>Admin</v>
      </c>
      <c r="U217" t="str">
        <f>RIGHT(Before_Tbl[[#This Row],[Department_Region]],LEN(Before_Tbl[[#This Row],[Department_Region]])-FIND("-",Before_Tbl[[#This Row],[Department_Region]]))</f>
        <v>Texas</v>
      </c>
      <c r="V217" t="str">
        <f>TRIM(PROPER(Before_Tbl[[#This Row],[Status]]))</f>
        <v>Inactive</v>
      </c>
      <c r="W217" s="26">
        <v>45530</v>
      </c>
      <c r="X217" s="4">
        <v>83071.850000000006</v>
      </c>
      <c r="Y217" t="str">
        <f>TRIM(LOWER(Before_Tbl[[#This Row],[Email]]))</f>
        <v>frank.jones@example.com</v>
      </c>
      <c r="Z217" s="2" t="str">
        <f>SUBSTITUTE(Before_Tbl[[#This Row],[Phone]],"-","")</f>
        <v>6025643470</v>
      </c>
      <c r="AA217" t="str">
        <f>TRIM(PROPER(Before_Tbl[[#This Row],[Performance_Score]]))</f>
        <v>Poor</v>
      </c>
      <c r="AB217" s="2" t="str">
        <f>TRIM(UPPER(Before_Tbl[[#This Row],[Remote_Work]]))</f>
        <v>FALSE</v>
      </c>
    </row>
    <row r="218" spans="1:28" x14ac:dyDescent="0.35">
      <c r="A218" t="s">
        <v>468</v>
      </c>
      <c r="B218" t="s">
        <v>65</v>
      </c>
      <c r="C218" t="s">
        <v>20</v>
      </c>
      <c r="D218">
        <v>40</v>
      </c>
      <c r="E218" t="s">
        <v>44</v>
      </c>
      <c r="F218" t="s">
        <v>16</v>
      </c>
      <c r="G218" s="1">
        <v>44045</v>
      </c>
      <c r="H218">
        <v>67914.67</v>
      </c>
      <c r="I218" t="s">
        <v>404</v>
      </c>
      <c r="J218">
        <v>-2871539914</v>
      </c>
      <c r="K218" t="s">
        <v>23</v>
      </c>
      <c r="L218" t="b">
        <v>1</v>
      </c>
      <c r="P218" t="str">
        <f>TRIM(Before_Tbl[[#This Row],[Employee_ID]])</f>
        <v>EMP1216</v>
      </c>
      <c r="Q218" t="str">
        <f>TRIM(PROPER(Before_Tbl[[#This Row],[First_Name]]))</f>
        <v>Heidi</v>
      </c>
      <c r="R218" t="str">
        <f>TRIM(PROPER(Before_Tbl[[#This Row],[Last_Name]]))</f>
        <v>Brown</v>
      </c>
      <c r="S218" s="25">
        <f t="shared" si="3"/>
        <v>40</v>
      </c>
      <c r="T218" t="str">
        <f>LEFT(Before_Tbl[[#This Row],[Department_Region]],FIND("-",Before_Tbl[[#This Row],[Department_Region]])-1)</f>
        <v>Sales</v>
      </c>
      <c r="U218" t="str">
        <f>RIGHT(Before_Tbl[[#This Row],[Department_Region]],LEN(Before_Tbl[[#This Row],[Department_Region]])-FIND("-",Before_Tbl[[#This Row],[Department_Region]]))</f>
        <v>Texas</v>
      </c>
      <c r="V218" t="str">
        <f>TRIM(PROPER(Before_Tbl[[#This Row],[Status]]))</f>
        <v>Active</v>
      </c>
      <c r="W218" s="26">
        <v>44045</v>
      </c>
      <c r="X218" s="4">
        <v>67914.67</v>
      </c>
      <c r="Y218" t="str">
        <f>TRIM(LOWER(Before_Tbl[[#This Row],[Email]]))</f>
        <v>heidi.brown@example.com</v>
      </c>
      <c r="Z218" s="2" t="str">
        <f>SUBSTITUTE(Before_Tbl[[#This Row],[Phone]],"-","")</f>
        <v>2871539914</v>
      </c>
      <c r="AA218" t="str">
        <f>TRIM(PROPER(Before_Tbl[[#This Row],[Performance_Score]]))</f>
        <v>Excellent</v>
      </c>
      <c r="AB218" s="2" t="str">
        <f>TRIM(UPPER(Before_Tbl[[#This Row],[Remote_Work]]))</f>
        <v>TRUE</v>
      </c>
    </row>
    <row r="219" spans="1:28" x14ac:dyDescent="0.35">
      <c r="A219" t="s">
        <v>469</v>
      </c>
      <c r="B219" t="s">
        <v>69</v>
      </c>
      <c r="C219" t="s">
        <v>26</v>
      </c>
      <c r="D219">
        <v>25</v>
      </c>
      <c r="E219" t="s">
        <v>66</v>
      </c>
      <c r="F219" t="s">
        <v>33</v>
      </c>
      <c r="G219" s="1">
        <v>43991</v>
      </c>
      <c r="H219">
        <v>53342.46</v>
      </c>
      <c r="I219" t="s">
        <v>76</v>
      </c>
      <c r="J219">
        <v>-6686334140</v>
      </c>
      <c r="K219" t="s">
        <v>41</v>
      </c>
      <c r="L219" t="b">
        <v>0</v>
      </c>
      <c r="P219" t="str">
        <f>TRIM(Before_Tbl[[#This Row],[Employee_ID]])</f>
        <v>EMP1217</v>
      </c>
      <c r="Q219" t="str">
        <f>TRIM(PROPER(Before_Tbl[[#This Row],[First_Name]]))</f>
        <v>Grace</v>
      </c>
      <c r="R219" t="str">
        <f>TRIM(PROPER(Before_Tbl[[#This Row],[Last_Name]]))</f>
        <v>Jones</v>
      </c>
      <c r="S219" s="25">
        <f t="shared" si="3"/>
        <v>25</v>
      </c>
      <c r="T219" t="str">
        <f>LEFT(Before_Tbl[[#This Row],[Department_Region]],FIND("-",Before_Tbl[[#This Row],[Department_Region]])-1)</f>
        <v>HR</v>
      </c>
      <c r="U219" t="str">
        <f>RIGHT(Before_Tbl[[#This Row],[Department_Region]],LEN(Before_Tbl[[#This Row],[Department_Region]])-FIND("-",Before_Tbl[[#This Row],[Department_Region]]))</f>
        <v>New York</v>
      </c>
      <c r="V219" t="str">
        <f>TRIM(PROPER(Before_Tbl[[#This Row],[Status]]))</f>
        <v>Inactive</v>
      </c>
      <c r="W219" s="26">
        <v>43991</v>
      </c>
      <c r="X219" s="4">
        <v>53342.46</v>
      </c>
      <c r="Y219" t="str">
        <f>TRIM(LOWER(Before_Tbl[[#This Row],[Email]]))</f>
        <v>grace.jones@example.com</v>
      </c>
      <c r="Z219" s="2" t="str">
        <f>SUBSTITUTE(Before_Tbl[[#This Row],[Phone]],"-","")</f>
        <v>6686334140</v>
      </c>
      <c r="AA219" t="str">
        <f>TRIM(PROPER(Before_Tbl[[#This Row],[Performance_Score]]))</f>
        <v>Poor</v>
      </c>
      <c r="AB219" s="2" t="str">
        <f>TRIM(UPPER(Before_Tbl[[#This Row],[Remote_Work]]))</f>
        <v>FALSE</v>
      </c>
    </row>
    <row r="220" spans="1:28" x14ac:dyDescent="0.35">
      <c r="A220" t="s">
        <v>470</v>
      </c>
      <c r="B220" t="s">
        <v>65</v>
      </c>
      <c r="C220" t="s">
        <v>43</v>
      </c>
      <c r="D220">
        <v>25</v>
      </c>
      <c r="E220" t="s">
        <v>39</v>
      </c>
      <c r="F220" t="s">
        <v>28</v>
      </c>
      <c r="G220" s="1">
        <v>44958</v>
      </c>
      <c r="H220">
        <v>51150.47</v>
      </c>
      <c r="I220" t="s">
        <v>257</v>
      </c>
      <c r="J220">
        <v>-1159319524</v>
      </c>
      <c r="K220" t="s">
        <v>23</v>
      </c>
      <c r="L220" t="b">
        <v>0</v>
      </c>
      <c r="P220" t="str">
        <f>TRIM(Before_Tbl[[#This Row],[Employee_ID]])</f>
        <v>EMP1218</v>
      </c>
      <c r="Q220" t="str">
        <f>TRIM(PROPER(Before_Tbl[[#This Row],[First_Name]]))</f>
        <v>Heidi</v>
      </c>
      <c r="R220" t="str">
        <f>TRIM(PROPER(Before_Tbl[[#This Row],[Last_Name]]))</f>
        <v>Garcia</v>
      </c>
      <c r="S220" s="25">
        <f t="shared" si="3"/>
        <v>25</v>
      </c>
      <c r="T220" t="str">
        <f>LEFT(Before_Tbl[[#This Row],[Department_Region]],FIND("-",Before_Tbl[[#This Row],[Department_Region]])-1)</f>
        <v>Cloud Tech</v>
      </c>
      <c r="U220" t="str">
        <f>RIGHT(Before_Tbl[[#This Row],[Department_Region]],LEN(Before_Tbl[[#This Row],[Department_Region]])-FIND("-",Before_Tbl[[#This Row],[Department_Region]]))</f>
        <v>Florida</v>
      </c>
      <c r="V220" t="str">
        <f>TRIM(PROPER(Before_Tbl[[#This Row],[Status]]))</f>
        <v>Pending</v>
      </c>
      <c r="W220" s="26">
        <v>44958</v>
      </c>
      <c r="X220" s="4">
        <v>51150.47</v>
      </c>
      <c r="Y220" t="str">
        <f>TRIM(LOWER(Before_Tbl[[#This Row],[Email]]))</f>
        <v>heidi.garcia@example.com</v>
      </c>
      <c r="Z220" s="2" t="str">
        <f>SUBSTITUTE(Before_Tbl[[#This Row],[Phone]],"-","")</f>
        <v>1159319524</v>
      </c>
      <c r="AA220" t="str">
        <f>TRIM(PROPER(Before_Tbl[[#This Row],[Performance_Score]]))</f>
        <v>Excellent</v>
      </c>
      <c r="AB220" s="2" t="str">
        <f>TRIM(UPPER(Before_Tbl[[#This Row],[Remote_Work]]))</f>
        <v>FALSE</v>
      </c>
    </row>
    <row r="221" spans="1:28" x14ac:dyDescent="0.35">
      <c r="A221" t="s">
        <v>471</v>
      </c>
      <c r="B221" t="s">
        <v>59</v>
      </c>
      <c r="C221" t="s">
        <v>14</v>
      </c>
      <c r="D221">
        <v>30</v>
      </c>
      <c r="E221" t="s">
        <v>212</v>
      </c>
      <c r="F221" t="s">
        <v>16</v>
      </c>
      <c r="G221" t="s">
        <v>472</v>
      </c>
      <c r="H221">
        <v>74697.119999999995</v>
      </c>
      <c r="I221" t="s">
        <v>63</v>
      </c>
      <c r="J221">
        <v>-6904098365</v>
      </c>
      <c r="K221" t="s">
        <v>18</v>
      </c>
      <c r="L221" t="b">
        <v>1</v>
      </c>
      <c r="P221" t="str">
        <f>TRIM(Before_Tbl[[#This Row],[Employee_ID]])</f>
        <v>EMP1219</v>
      </c>
      <c r="Q221" t="str">
        <f>TRIM(PROPER(Before_Tbl[[#This Row],[First_Name]]))</f>
        <v>David</v>
      </c>
      <c r="R221" t="str">
        <f>TRIM(PROPER(Before_Tbl[[#This Row],[Last_Name]]))</f>
        <v>Davis</v>
      </c>
      <c r="S221" s="25">
        <f t="shared" si="3"/>
        <v>30</v>
      </c>
      <c r="T221" t="str">
        <f>LEFT(Before_Tbl[[#This Row],[Department_Region]],FIND("-",Before_Tbl[[#This Row],[Department_Region]])-1)</f>
        <v>HR</v>
      </c>
      <c r="U221" t="str">
        <f>RIGHT(Before_Tbl[[#This Row],[Department_Region]],LEN(Before_Tbl[[#This Row],[Department_Region]])-FIND("-",Before_Tbl[[#This Row],[Department_Region]]))</f>
        <v>Florida</v>
      </c>
      <c r="V221" t="str">
        <f>TRIM(PROPER(Before_Tbl[[#This Row],[Status]]))</f>
        <v>Active</v>
      </c>
      <c r="W221" s="26">
        <v>45090</v>
      </c>
      <c r="X221" s="4">
        <v>74697.119999999995</v>
      </c>
      <c r="Y221" t="str">
        <f>TRIM(LOWER(Before_Tbl[[#This Row],[Email]]))</f>
        <v>david.davis@example.com</v>
      </c>
      <c r="Z221" s="2" t="str">
        <f>SUBSTITUTE(Before_Tbl[[#This Row],[Phone]],"-","")</f>
        <v>6904098365</v>
      </c>
      <c r="AA221" t="str">
        <f>TRIM(PROPER(Before_Tbl[[#This Row],[Performance_Score]]))</f>
        <v>Average</v>
      </c>
      <c r="AB221" s="2" t="str">
        <f>TRIM(UPPER(Before_Tbl[[#This Row],[Remote_Work]]))</f>
        <v>TRUE</v>
      </c>
    </row>
    <row r="222" spans="1:28" x14ac:dyDescent="0.35">
      <c r="A222" t="s">
        <v>473</v>
      </c>
      <c r="B222" t="s">
        <v>54</v>
      </c>
      <c r="C222" t="s">
        <v>38</v>
      </c>
      <c r="D222">
        <v>25</v>
      </c>
      <c r="E222" t="s">
        <v>177</v>
      </c>
      <c r="F222" t="s">
        <v>16</v>
      </c>
      <c r="G222" t="s">
        <v>474</v>
      </c>
      <c r="H222">
        <v>88085.74</v>
      </c>
      <c r="I222" t="s">
        <v>90</v>
      </c>
      <c r="J222">
        <v>-5528993159</v>
      </c>
      <c r="K222" t="s">
        <v>23</v>
      </c>
      <c r="L222" t="b">
        <v>1</v>
      </c>
      <c r="P222" t="str">
        <f>TRIM(Before_Tbl[[#This Row],[Employee_ID]])</f>
        <v>EMP1220</v>
      </c>
      <c r="Q222" t="str">
        <f>TRIM(PROPER(Before_Tbl[[#This Row],[First_Name]]))</f>
        <v>Charlie</v>
      </c>
      <c r="R222" t="str">
        <f>TRIM(PROPER(Before_Tbl[[#This Row],[Last_Name]]))</f>
        <v>Williams</v>
      </c>
      <c r="S222" s="25">
        <f t="shared" si="3"/>
        <v>25</v>
      </c>
      <c r="T222" t="str">
        <f>LEFT(Before_Tbl[[#This Row],[Department_Region]],FIND("-",Before_Tbl[[#This Row],[Department_Region]])-1)</f>
        <v>Sales</v>
      </c>
      <c r="U222" t="str">
        <f>RIGHT(Before_Tbl[[#This Row],[Department_Region]],LEN(Before_Tbl[[#This Row],[Department_Region]])-FIND("-",Before_Tbl[[#This Row],[Department_Region]]))</f>
        <v>California</v>
      </c>
      <c r="V222" t="str">
        <f>TRIM(PROPER(Before_Tbl[[#This Row],[Status]]))</f>
        <v>Active</v>
      </c>
      <c r="W222" s="26">
        <v>44908</v>
      </c>
      <c r="X222" s="4">
        <v>88085.74</v>
      </c>
      <c r="Y222" t="str">
        <f>TRIM(LOWER(Before_Tbl[[#This Row],[Email]]))</f>
        <v>charlie.williams@example.com</v>
      </c>
      <c r="Z222" s="2" t="str">
        <f>SUBSTITUTE(Before_Tbl[[#This Row],[Phone]],"-","")</f>
        <v>5528993159</v>
      </c>
      <c r="AA222" t="str">
        <f>TRIM(PROPER(Before_Tbl[[#This Row],[Performance_Score]]))</f>
        <v>Excellent</v>
      </c>
      <c r="AB222" s="2" t="str">
        <f>TRIM(UPPER(Before_Tbl[[#This Row],[Remote_Work]]))</f>
        <v>TRUE</v>
      </c>
    </row>
    <row r="223" spans="1:28" x14ac:dyDescent="0.35">
      <c r="A223" t="s">
        <v>475</v>
      </c>
      <c r="B223" t="s">
        <v>25</v>
      </c>
      <c r="C223" t="s">
        <v>38</v>
      </c>
      <c r="D223">
        <v>40</v>
      </c>
      <c r="E223" t="s">
        <v>21</v>
      </c>
      <c r="F223" t="s">
        <v>28</v>
      </c>
      <c r="G223" s="1">
        <v>44623</v>
      </c>
      <c r="H223">
        <v>118672.76</v>
      </c>
      <c r="I223" t="s">
        <v>363</v>
      </c>
      <c r="J223">
        <v>-8752437728</v>
      </c>
      <c r="K223" t="s">
        <v>41</v>
      </c>
      <c r="L223" t="b">
        <v>0</v>
      </c>
      <c r="P223" t="str">
        <f>TRIM(Before_Tbl[[#This Row],[Employee_ID]])</f>
        <v>EMP1221</v>
      </c>
      <c r="Q223" t="str">
        <f>TRIM(PROPER(Before_Tbl[[#This Row],[First_Name]]))</f>
        <v>Alice</v>
      </c>
      <c r="R223" t="str">
        <f>TRIM(PROPER(Before_Tbl[[#This Row],[Last_Name]]))</f>
        <v>Williams</v>
      </c>
      <c r="S223" s="25">
        <f t="shared" si="3"/>
        <v>40</v>
      </c>
      <c r="T223" t="str">
        <f>LEFT(Before_Tbl[[#This Row],[Department_Region]],FIND("-",Before_Tbl[[#This Row],[Department_Region]])-1)</f>
        <v>Finance</v>
      </c>
      <c r="U223" t="str">
        <f>RIGHT(Before_Tbl[[#This Row],[Department_Region]],LEN(Before_Tbl[[#This Row],[Department_Region]])-FIND("-",Before_Tbl[[#This Row],[Department_Region]]))</f>
        <v>Texas</v>
      </c>
      <c r="V223" t="str">
        <f>TRIM(PROPER(Before_Tbl[[#This Row],[Status]]))</f>
        <v>Pending</v>
      </c>
      <c r="W223" s="26">
        <v>44623</v>
      </c>
      <c r="X223" s="4">
        <v>118672.76</v>
      </c>
      <c r="Y223" t="str">
        <f>TRIM(LOWER(Before_Tbl[[#This Row],[Email]]))</f>
        <v>alice.williams@example.com</v>
      </c>
      <c r="Z223" s="2" t="str">
        <f>SUBSTITUTE(Before_Tbl[[#This Row],[Phone]],"-","")</f>
        <v>8752437728</v>
      </c>
      <c r="AA223" t="str">
        <f>TRIM(PROPER(Before_Tbl[[#This Row],[Performance_Score]]))</f>
        <v>Poor</v>
      </c>
      <c r="AB223" s="2" t="str">
        <f>TRIM(UPPER(Before_Tbl[[#This Row],[Remote_Work]]))</f>
        <v>FALSE</v>
      </c>
    </row>
    <row r="224" spans="1:28" x14ac:dyDescent="0.35">
      <c r="A224" t="s">
        <v>476</v>
      </c>
      <c r="B224" t="s">
        <v>25</v>
      </c>
      <c r="C224" t="s">
        <v>92</v>
      </c>
      <c r="D224">
        <v>35</v>
      </c>
      <c r="E224" t="s">
        <v>268</v>
      </c>
      <c r="F224" t="s">
        <v>16</v>
      </c>
      <c r="G224" s="1">
        <v>45567</v>
      </c>
      <c r="H224">
        <v>95997.31</v>
      </c>
      <c r="I224" t="s">
        <v>166</v>
      </c>
      <c r="J224">
        <v>-4209548148</v>
      </c>
      <c r="K224" t="s">
        <v>18</v>
      </c>
      <c r="L224" t="b">
        <v>0</v>
      </c>
      <c r="P224" t="str">
        <f>TRIM(Before_Tbl[[#This Row],[Employee_ID]])</f>
        <v>EMP1222</v>
      </c>
      <c r="Q224" t="str">
        <f>TRIM(PROPER(Before_Tbl[[#This Row],[First_Name]]))</f>
        <v>Alice</v>
      </c>
      <c r="R224" t="str">
        <f>TRIM(PROPER(Before_Tbl[[#This Row],[Last_Name]]))</f>
        <v>Miller</v>
      </c>
      <c r="S224" s="25">
        <f t="shared" si="3"/>
        <v>35</v>
      </c>
      <c r="T224" t="str">
        <f>LEFT(Before_Tbl[[#This Row],[Department_Region]],FIND("-",Before_Tbl[[#This Row],[Department_Region]])-1)</f>
        <v>Cloud Tech</v>
      </c>
      <c r="U224" t="str">
        <f>RIGHT(Before_Tbl[[#This Row],[Department_Region]],LEN(Before_Tbl[[#This Row],[Department_Region]])-FIND("-",Before_Tbl[[#This Row],[Department_Region]]))</f>
        <v>California</v>
      </c>
      <c r="V224" t="str">
        <f>TRIM(PROPER(Before_Tbl[[#This Row],[Status]]))</f>
        <v>Active</v>
      </c>
      <c r="W224" s="26">
        <v>45567</v>
      </c>
      <c r="X224" s="4">
        <v>95997.31</v>
      </c>
      <c r="Y224" t="str">
        <f>TRIM(LOWER(Before_Tbl[[#This Row],[Email]]))</f>
        <v>alice.miller@example.com</v>
      </c>
      <c r="Z224" s="2" t="str">
        <f>SUBSTITUTE(Before_Tbl[[#This Row],[Phone]],"-","")</f>
        <v>4209548148</v>
      </c>
      <c r="AA224" t="str">
        <f>TRIM(PROPER(Before_Tbl[[#This Row],[Performance_Score]]))</f>
        <v>Average</v>
      </c>
      <c r="AB224" s="2" t="str">
        <f>TRIM(UPPER(Before_Tbl[[#This Row],[Remote_Work]]))</f>
        <v>FALSE</v>
      </c>
    </row>
    <row r="225" spans="1:28" x14ac:dyDescent="0.35">
      <c r="A225" t="s">
        <v>477</v>
      </c>
      <c r="B225" t="s">
        <v>37</v>
      </c>
      <c r="C225" t="s">
        <v>20</v>
      </c>
      <c r="D225">
        <v>30</v>
      </c>
      <c r="E225" t="s">
        <v>268</v>
      </c>
      <c r="F225" t="s">
        <v>28</v>
      </c>
      <c r="G225" t="s">
        <v>478</v>
      </c>
      <c r="H225">
        <v>106945.62</v>
      </c>
      <c r="I225" t="s">
        <v>239</v>
      </c>
      <c r="J225">
        <v>-7374605232</v>
      </c>
      <c r="K225" t="s">
        <v>18</v>
      </c>
      <c r="L225" t="b">
        <v>0</v>
      </c>
      <c r="P225" t="str">
        <f>TRIM(Before_Tbl[[#This Row],[Employee_ID]])</f>
        <v>EMP1223</v>
      </c>
      <c r="Q225" t="str">
        <f>TRIM(PROPER(Before_Tbl[[#This Row],[First_Name]]))</f>
        <v>Frank</v>
      </c>
      <c r="R225" t="str">
        <f>TRIM(PROPER(Before_Tbl[[#This Row],[Last_Name]]))</f>
        <v>Brown</v>
      </c>
      <c r="S225" s="25">
        <f t="shared" si="3"/>
        <v>30</v>
      </c>
      <c r="T225" t="str">
        <f>LEFT(Before_Tbl[[#This Row],[Department_Region]],FIND("-",Before_Tbl[[#This Row],[Department_Region]])-1)</f>
        <v>Cloud Tech</v>
      </c>
      <c r="U225" t="str">
        <f>RIGHT(Before_Tbl[[#This Row],[Department_Region]],LEN(Before_Tbl[[#This Row],[Department_Region]])-FIND("-",Before_Tbl[[#This Row],[Department_Region]]))</f>
        <v>California</v>
      </c>
      <c r="V225" t="str">
        <f>TRIM(PROPER(Before_Tbl[[#This Row],[Status]]))</f>
        <v>Pending</v>
      </c>
      <c r="W225" s="26">
        <v>44524</v>
      </c>
      <c r="X225" s="4">
        <v>106945.62</v>
      </c>
      <c r="Y225" t="str">
        <f>TRIM(LOWER(Before_Tbl[[#This Row],[Email]]))</f>
        <v>frank.brown@example.com</v>
      </c>
      <c r="Z225" s="2" t="str">
        <f>SUBSTITUTE(Before_Tbl[[#This Row],[Phone]],"-","")</f>
        <v>7374605232</v>
      </c>
      <c r="AA225" t="str">
        <f>TRIM(PROPER(Before_Tbl[[#This Row],[Performance_Score]]))</f>
        <v>Average</v>
      </c>
      <c r="AB225" s="2" t="str">
        <f>TRIM(UPPER(Before_Tbl[[#This Row],[Remote_Work]]))</f>
        <v>FALSE</v>
      </c>
    </row>
    <row r="226" spans="1:28" x14ac:dyDescent="0.35">
      <c r="A226" t="s">
        <v>479</v>
      </c>
      <c r="B226" t="s">
        <v>65</v>
      </c>
      <c r="C226" t="s">
        <v>55</v>
      </c>
      <c r="D226">
        <v>40</v>
      </c>
      <c r="E226" t="s">
        <v>56</v>
      </c>
      <c r="F226" t="s">
        <v>16</v>
      </c>
      <c r="G226" s="1">
        <v>44079</v>
      </c>
      <c r="H226">
        <v>100123.15</v>
      </c>
      <c r="I226" t="s">
        <v>113</v>
      </c>
      <c r="J226">
        <v>-276420864</v>
      </c>
      <c r="K226" t="s">
        <v>18</v>
      </c>
      <c r="L226" t="b">
        <v>0</v>
      </c>
      <c r="P226" t="str">
        <f>TRIM(Before_Tbl[[#This Row],[Employee_ID]])</f>
        <v>EMP1224</v>
      </c>
      <c r="Q226" t="str">
        <f>TRIM(PROPER(Before_Tbl[[#This Row],[First_Name]]))</f>
        <v>Heidi</v>
      </c>
      <c r="R226" t="str">
        <f>TRIM(PROPER(Before_Tbl[[#This Row],[Last_Name]]))</f>
        <v>Johnson</v>
      </c>
      <c r="S226" s="25">
        <f t="shared" si="3"/>
        <v>40</v>
      </c>
      <c r="T226" t="str">
        <f>LEFT(Before_Tbl[[#This Row],[Department_Region]],FIND("-",Before_Tbl[[#This Row],[Department_Region]])-1)</f>
        <v>DevOps</v>
      </c>
      <c r="U226" t="str">
        <f>RIGHT(Before_Tbl[[#This Row],[Department_Region]],LEN(Before_Tbl[[#This Row],[Department_Region]])-FIND("-",Before_Tbl[[#This Row],[Department_Region]]))</f>
        <v>New York</v>
      </c>
      <c r="V226" t="str">
        <f>TRIM(PROPER(Before_Tbl[[#This Row],[Status]]))</f>
        <v>Active</v>
      </c>
      <c r="W226" s="26">
        <v>44079</v>
      </c>
      <c r="X226" s="4">
        <v>100123.15</v>
      </c>
      <c r="Y226" t="str">
        <f>TRIM(LOWER(Before_Tbl[[#This Row],[Email]]))</f>
        <v>heidi.johnson@example.com</v>
      </c>
      <c r="Z226" s="2" t="str">
        <f>SUBSTITUTE(Before_Tbl[[#This Row],[Phone]],"-","")</f>
        <v>276420864</v>
      </c>
      <c r="AA226" t="str">
        <f>TRIM(PROPER(Before_Tbl[[#This Row],[Performance_Score]]))</f>
        <v>Average</v>
      </c>
      <c r="AB226" s="2" t="str">
        <f>TRIM(UPPER(Before_Tbl[[#This Row],[Remote_Work]]))</f>
        <v>FALSE</v>
      </c>
    </row>
    <row r="227" spans="1:28" x14ac:dyDescent="0.35">
      <c r="A227" t="s">
        <v>480</v>
      </c>
      <c r="B227" t="s">
        <v>25</v>
      </c>
      <c r="C227" t="s">
        <v>55</v>
      </c>
      <c r="D227">
        <v>35</v>
      </c>
      <c r="E227" t="s">
        <v>103</v>
      </c>
      <c r="F227" t="s">
        <v>16</v>
      </c>
      <c r="G227" t="s">
        <v>481</v>
      </c>
      <c r="H227">
        <v>52933.42</v>
      </c>
      <c r="I227" t="s">
        <v>150</v>
      </c>
      <c r="J227">
        <v>-6756618442</v>
      </c>
      <c r="K227" t="s">
        <v>41</v>
      </c>
      <c r="L227" t="b">
        <v>1</v>
      </c>
      <c r="P227" t="str">
        <f>TRIM(Before_Tbl[[#This Row],[Employee_ID]])</f>
        <v>EMP1225</v>
      </c>
      <c r="Q227" t="str">
        <f>TRIM(PROPER(Before_Tbl[[#This Row],[First_Name]]))</f>
        <v>Alice</v>
      </c>
      <c r="R227" t="str">
        <f>TRIM(PROPER(Before_Tbl[[#This Row],[Last_Name]]))</f>
        <v>Johnson</v>
      </c>
      <c r="S227" s="25">
        <f t="shared" si="3"/>
        <v>35</v>
      </c>
      <c r="T227" t="str">
        <f>LEFT(Before_Tbl[[#This Row],[Department_Region]],FIND("-",Before_Tbl[[#This Row],[Department_Region]])-1)</f>
        <v>Admin</v>
      </c>
      <c r="U227" t="str">
        <f>RIGHT(Before_Tbl[[#This Row],[Department_Region]],LEN(Before_Tbl[[#This Row],[Department_Region]])-FIND("-",Before_Tbl[[#This Row],[Department_Region]]))</f>
        <v>Texas</v>
      </c>
      <c r="V227" t="str">
        <f>TRIM(PROPER(Before_Tbl[[#This Row],[Status]]))</f>
        <v>Active</v>
      </c>
      <c r="W227" s="26">
        <v>45645</v>
      </c>
      <c r="X227" s="4">
        <v>52933.42</v>
      </c>
      <c r="Y227" t="str">
        <f>TRIM(LOWER(Before_Tbl[[#This Row],[Email]]))</f>
        <v>alice.johnson@example.com</v>
      </c>
      <c r="Z227" s="2" t="str">
        <f>SUBSTITUTE(Before_Tbl[[#This Row],[Phone]],"-","")</f>
        <v>6756618442</v>
      </c>
      <c r="AA227" t="str">
        <f>TRIM(PROPER(Before_Tbl[[#This Row],[Performance_Score]]))</f>
        <v>Poor</v>
      </c>
      <c r="AB227" s="2" t="str">
        <f>TRIM(UPPER(Before_Tbl[[#This Row],[Remote_Work]]))</f>
        <v>TRUE</v>
      </c>
    </row>
    <row r="228" spans="1:28" x14ac:dyDescent="0.35">
      <c r="A228" t="s">
        <v>482</v>
      </c>
      <c r="B228" t="s">
        <v>69</v>
      </c>
      <c r="C228" t="s">
        <v>26</v>
      </c>
      <c r="E228" t="s">
        <v>70</v>
      </c>
      <c r="F228" t="s">
        <v>16</v>
      </c>
      <c r="G228" t="s">
        <v>483</v>
      </c>
      <c r="H228">
        <v>95283.03</v>
      </c>
      <c r="I228" t="s">
        <v>76</v>
      </c>
      <c r="J228">
        <v>-8612590471</v>
      </c>
      <c r="K228" t="s">
        <v>30</v>
      </c>
      <c r="L228" t="b">
        <v>0</v>
      </c>
      <c r="P228" t="str">
        <f>TRIM(Before_Tbl[[#This Row],[Employee_ID]])</f>
        <v>EMP1226</v>
      </c>
      <c r="Q228" t="str">
        <f>TRIM(PROPER(Before_Tbl[[#This Row],[First_Name]]))</f>
        <v>Grace</v>
      </c>
      <c r="R228" t="str">
        <f>TRIM(PROPER(Before_Tbl[[#This Row],[Last_Name]]))</f>
        <v>Jones</v>
      </c>
      <c r="S228" s="25">
        <f t="shared" si="3"/>
        <v>30</v>
      </c>
      <c r="T228" t="str">
        <f>LEFT(Before_Tbl[[#This Row],[Department_Region]],FIND("-",Before_Tbl[[#This Row],[Department_Region]])-1)</f>
        <v>Finance</v>
      </c>
      <c r="U228" t="str">
        <f>RIGHT(Before_Tbl[[#This Row],[Department_Region]],LEN(Before_Tbl[[#This Row],[Department_Region]])-FIND("-",Before_Tbl[[#This Row],[Department_Region]]))</f>
        <v>California</v>
      </c>
      <c r="V228" t="str">
        <f>TRIM(PROPER(Before_Tbl[[#This Row],[Status]]))</f>
        <v>Active</v>
      </c>
      <c r="W228" s="26">
        <v>45373</v>
      </c>
      <c r="X228" s="4">
        <v>95283.03</v>
      </c>
      <c r="Y228" t="str">
        <f>TRIM(LOWER(Before_Tbl[[#This Row],[Email]]))</f>
        <v>grace.jones@example.com</v>
      </c>
      <c r="Z228" s="2" t="str">
        <f>SUBSTITUTE(Before_Tbl[[#This Row],[Phone]],"-","")</f>
        <v>8612590471</v>
      </c>
      <c r="AA228" t="str">
        <f>TRIM(PROPER(Before_Tbl[[#This Row],[Performance_Score]]))</f>
        <v>Good</v>
      </c>
      <c r="AB228" s="2" t="str">
        <f>TRIM(UPPER(Before_Tbl[[#This Row],[Remote_Work]]))</f>
        <v>FALSE</v>
      </c>
    </row>
    <row r="229" spans="1:28" x14ac:dyDescent="0.35">
      <c r="A229" t="s">
        <v>484</v>
      </c>
      <c r="B229" t="s">
        <v>25</v>
      </c>
      <c r="C229" t="s">
        <v>92</v>
      </c>
      <c r="D229">
        <v>35</v>
      </c>
      <c r="E229" t="s">
        <v>139</v>
      </c>
      <c r="F229" t="s">
        <v>33</v>
      </c>
      <c r="G229" t="s">
        <v>485</v>
      </c>
      <c r="H229">
        <v>112264.06</v>
      </c>
      <c r="I229" t="s">
        <v>166</v>
      </c>
      <c r="J229">
        <v>-9277423329</v>
      </c>
      <c r="K229" t="s">
        <v>30</v>
      </c>
      <c r="L229" t="b">
        <v>0</v>
      </c>
      <c r="P229" t="str">
        <f>TRIM(Before_Tbl[[#This Row],[Employee_ID]])</f>
        <v>EMP1227</v>
      </c>
      <c r="Q229" t="str">
        <f>TRIM(PROPER(Before_Tbl[[#This Row],[First_Name]]))</f>
        <v>Alice</v>
      </c>
      <c r="R229" t="str">
        <f>TRIM(PROPER(Before_Tbl[[#This Row],[Last_Name]]))</f>
        <v>Miller</v>
      </c>
      <c r="S229" s="25">
        <f t="shared" si="3"/>
        <v>35</v>
      </c>
      <c r="T229" t="str">
        <f>LEFT(Before_Tbl[[#This Row],[Department_Region]],FIND("-",Before_Tbl[[#This Row],[Department_Region]])-1)</f>
        <v>HR</v>
      </c>
      <c r="U229" t="str">
        <f>RIGHT(Before_Tbl[[#This Row],[Department_Region]],LEN(Before_Tbl[[#This Row],[Department_Region]])-FIND("-",Before_Tbl[[#This Row],[Department_Region]]))</f>
        <v>Texas</v>
      </c>
      <c r="V229" t="str">
        <f>TRIM(PROPER(Before_Tbl[[#This Row],[Status]]))</f>
        <v>Inactive</v>
      </c>
      <c r="W229" s="26">
        <v>44725</v>
      </c>
      <c r="X229" s="4">
        <v>112264.06</v>
      </c>
      <c r="Y229" t="str">
        <f>TRIM(LOWER(Before_Tbl[[#This Row],[Email]]))</f>
        <v>alice.miller@example.com</v>
      </c>
      <c r="Z229" s="2" t="str">
        <f>SUBSTITUTE(Before_Tbl[[#This Row],[Phone]],"-","")</f>
        <v>9277423329</v>
      </c>
      <c r="AA229" t="str">
        <f>TRIM(PROPER(Before_Tbl[[#This Row],[Performance_Score]]))</f>
        <v>Good</v>
      </c>
      <c r="AB229" s="2" t="str">
        <f>TRIM(UPPER(Before_Tbl[[#This Row],[Remote_Work]]))</f>
        <v>FALSE</v>
      </c>
    </row>
    <row r="230" spans="1:28" x14ac:dyDescent="0.35">
      <c r="A230" t="s">
        <v>486</v>
      </c>
      <c r="B230" t="s">
        <v>69</v>
      </c>
      <c r="C230" t="s">
        <v>122</v>
      </c>
      <c r="D230">
        <v>35</v>
      </c>
      <c r="E230" t="s">
        <v>205</v>
      </c>
      <c r="F230" t="s">
        <v>28</v>
      </c>
      <c r="G230" t="s">
        <v>487</v>
      </c>
      <c r="H230">
        <v>75714.28</v>
      </c>
      <c r="I230" t="s">
        <v>135</v>
      </c>
      <c r="J230">
        <v>-5912662014</v>
      </c>
      <c r="K230" t="s">
        <v>30</v>
      </c>
      <c r="L230" t="b">
        <v>1</v>
      </c>
      <c r="P230" t="str">
        <f>TRIM(Before_Tbl[[#This Row],[Employee_ID]])</f>
        <v>EMP1228</v>
      </c>
      <c r="Q230" t="str">
        <f>TRIM(PROPER(Before_Tbl[[#This Row],[First_Name]]))</f>
        <v>Grace</v>
      </c>
      <c r="R230" t="str">
        <f>TRIM(PROPER(Before_Tbl[[#This Row],[Last_Name]]))</f>
        <v>Smith</v>
      </c>
      <c r="S230" s="25">
        <f t="shared" si="3"/>
        <v>35</v>
      </c>
      <c r="T230" t="str">
        <f>LEFT(Before_Tbl[[#This Row],[Department_Region]],FIND("-",Before_Tbl[[#This Row],[Department_Region]])-1)</f>
        <v>Admin</v>
      </c>
      <c r="U230" t="str">
        <f>RIGHT(Before_Tbl[[#This Row],[Department_Region]],LEN(Before_Tbl[[#This Row],[Department_Region]])-FIND("-",Before_Tbl[[#This Row],[Department_Region]]))</f>
        <v>Florida</v>
      </c>
      <c r="V230" t="str">
        <f>TRIM(PROPER(Before_Tbl[[#This Row],[Status]]))</f>
        <v>Pending</v>
      </c>
      <c r="W230" s="26">
        <v>44849</v>
      </c>
      <c r="X230" s="4">
        <v>75714.28</v>
      </c>
      <c r="Y230" t="str">
        <f>TRIM(LOWER(Before_Tbl[[#This Row],[Email]]))</f>
        <v>grace.smith@example.com</v>
      </c>
      <c r="Z230" s="2" t="str">
        <f>SUBSTITUTE(Before_Tbl[[#This Row],[Phone]],"-","")</f>
        <v>5912662014</v>
      </c>
      <c r="AA230" t="str">
        <f>TRIM(PROPER(Before_Tbl[[#This Row],[Performance_Score]]))</f>
        <v>Good</v>
      </c>
      <c r="AB230" s="2" t="str">
        <f>TRIM(UPPER(Before_Tbl[[#This Row],[Remote_Work]]))</f>
        <v>TRUE</v>
      </c>
    </row>
    <row r="231" spans="1:28" x14ac:dyDescent="0.35">
      <c r="A231" t="s">
        <v>488</v>
      </c>
      <c r="B231" t="s">
        <v>32</v>
      </c>
      <c r="C231" t="s">
        <v>26</v>
      </c>
      <c r="D231">
        <v>25</v>
      </c>
      <c r="E231" t="s">
        <v>230</v>
      </c>
      <c r="F231" t="s">
        <v>16</v>
      </c>
      <c r="G231" t="s">
        <v>489</v>
      </c>
      <c r="H231">
        <v>92171.73</v>
      </c>
      <c r="I231" t="s">
        <v>278</v>
      </c>
      <c r="J231">
        <v>-7201859625</v>
      </c>
      <c r="K231" t="s">
        <v>41</v>
      </c>
      <c r="L231" t="b">
        <v>0</v>
      </c>
      <c r="P231" t="str">
        <f>TRIM(Before_Tbl[[#This Row],[Employee_ID]])</f>
        <v>EMP1229</v>
      </c>
      <c r="Q231" t="str">
        <f>TRIM(PROPER(Before_Tbl[[#This Row],[First_Name]]))</f>
        <v>Eva</v>
      </c>
      <c r="R231" t="str">
        <f>TRIM(PROPER(Before_Tbl[[#This Row],[Last_Name]]))</f>
        <v>Jones</v>
      </c>
      <c r="S231" s="25">
        <f t="shared" si="3"/>
        <v>25</v>
      </c>
      <c r="T231" t="str">
        <f>LEFT(Before_Tbl[[#This Row],[Department_Region]],FIND("-",Before_Tbl[[#This Row],[Department_Region]])-1)</f>
        <v>DevOps</v>
      </c>
      <c r="U231" t="str">
        <f>RIGHT(Before_Tbl[[#This Row],[Department_Region]],LEN(Before_Tbl[[#This Row],[Department_Region]])-FIND("-",Before_Tbl[[#This Row],[Department_Region]]))</f>
        <v>Florida</v>
      </c>
      <c r="V231" t="str">
        <f>TRIM(PROPER(Before_Tbl[[#This Row],[Status]]))</f>
        <v>Active</v>
      </c>
      <c r="W231" s="26">
        <v>44712</v>
      </c>
      <c r="X231" s="4">
        <v>92171.73</v>
      </c>
      <c r="Y231" t="str">
        <f>TRIM(LOWER(Before_Tbl[[#This Row],[Email]]))</f>
        <v>eva.jones@example.com</v>
      </c>
      <c r="Z231" s="2" t="str">
        <f>SUBSTITUTE(Before_Tbl[[#This Row],[Phone]],"-","")</f>
        <v>7201859625</v>
      </c>
      <c r="AA231" t="str">
        <f>TRIM(PROPER(Before_Tbl[[#This Row],[Performance_Score]]))</f>
        <v>Poor</v>
      </c>
      <c r="AB231" s="2" t="str">
        <f>TRIM(UPPER(Before_Tbl[[#This Row],[Remote_Work]]))</f>
        <v>FALSE</v>
      </c>
    </row>
    <row r="232" spans="1:28" x14ac:dyDescent="0.35">
      <c r="A232" t="s">
        <v>490</v>
      </c>
      <c r="B232" t="s">
        <v>32</v>
      </c>
      <c r="C232" t="s">
        <v>92</v>
      </c>
      <c r="D232">
        <v>35</v>
      </c>
      <c r="E232" t="s">
        <v>159</v>
      </c>
      <c r="F232" t="s">
        <v>33</v>
      </c>
      <c r="G232" t="s">
        <v>491</v>
      </c>
      <c r="H232">
        <v>70694.8</v>
      </c>
      <c r="I232" t="s">
        <v>263</v>
      </c>
      <c r="J232">
        <v>-3013674925</v>
      </c>
      <c r="K232" t="s">
        <v>18</v>
      </c>
      <c r="L232" t="b">
        <v>1</v>
      </c>
      <c r="P232" t="str">
        <f>TRIM(Before_Tbl[[#This Row],[Employee_ID]])</f>
        <v>EMP1230</v>
      </c>
      <c r="Q232" t="str">
        <f>TRIM(PROPER(Before_Tbl[[#This Row],[First_Name]]))</f>
        <v>Eva</v>
      </c>
      <c r="R232" t="str">
        <f>TRIM(PROPER(Before_Tbl[[#This Row],[Last_Name]]))</f>
        <v>Miller</v>
      </c>
      <c r="S232" s="25">
        <f t="shared" si="3"/>
        <v>35</v>
      </c>
      <c r="T232" t="str">
        <f>LEFT(Before_Tbl[[#This Row],[Department_Region]],FIND("-",Before_Tbl[[#This Row],[Department_Region]])-1)</f>
        <v>Cloud Tech</v>
      </c>
      <c r="U232" t="str">
        <f>RIGHT(Before_Tbl[[#This Row],[Department_Region]],LEN(Before_Tbl[[#This Row],[Department_Region]])-FIND("-",Before_Tbl[[#This Row],[Department_Region]]))</f>
        <v>Texas</v>
      </c>
      <c r="V232" t="str">
        <f>TRIM(PROPER(Before_Tbl[[#This Row],[Status]]))</f>
        <v>Inactive</v>
      </c>
      <c r="W232" s="26">
        <v>45184</v>
      </c>
      <c r="X232" s="4">
        <v>70694.8</v>
      </c>
      <c r="Y232" t="str">
        <f>TRIM(LOWER(Before_Tbl[[#This Row],[Email]]))</f>
        <v>eva.miller@example.com</v>
      </c>
      <c r="Z232" s="2" t="str">
        <f>SUBSTITUTE(Before_Tbl[[#This Row],[Phone]],"-","")</f>
        <v>3013674925</v>
      </c>
      <c r="AA232" t="str">
        <f>TRIM(PROPER(Before_Tbl[[#This Row],[Performance_Score]]))</f>
        <v>Average</v>
      </c>
      <c r="AB232" s="2" t="str">
        <f>TRIM(UPPER(Before_Tbl[[#This Row],[Remote_Work]]))</f>
        <v>TRUE</v>
      </c>
    </row>
    <row r="233" spans="1:28" x14ac:dyDescent="0.35">
      <c r="A233" t="s">
        <v>492</v>
      </c>
      <c r="B233" t="s">
        <v>69</v>
      </c>
      <c r="C233" t="s">
        <v>20</v>
      </c>
      <c r="D233">
        <v>30</v>
      </c>
      <c r="E233" t="s">
        <v>230</v>
      </c>
      <c r="F233" t="s">
        <v>33</v>
      </c>
      <c r="G233" s="1">
        <v>44658</v>
      </c>
      <c r="H233">
        <v>52964.86</v>
      </c>
      <c r="I233" t="s">
        <v>201</v>
      </c>
      <c r="J233">
        <v>-1764750110</v>
      </c>
      <c r="K233" t="s">
        <v>30</v>
      </c>
      <c r="L233" t="b">
        <v>1</v>
      </c>
      <c r="P233" t="str">
        <f>TRIM(Before_Tbl[[#This Row],[Employee_ID]])</f>
        <v>EMP1231</v>
      </c>
      <c r="Q233" t="str">
        <f>TRIM(PROPER(Before_Tbl[[#This Row],[First_Name]]))</f>
        <v>Grace</v>
      </c>
      <c r="R233" t="str">
        <f>TRIM(PROPER(Before_Tbl[[#This Row],[Last_Name]]))</f>
        <v>Brown</v>
      </c>
      <c r="S233" s="25">
        <f t="shared" si="3"/>
        <v>30</v>
      </c>
      <c r="T233" t="str">
        <f>LEFT(Before_Tbl[[#This Row],[Department_Region]],FIND("-",Before_Tbl[[#This Row],[Department_Region]])-1)</f>
        <v>DevOps</v>
      </c>
      <c r="U233" t="str">
        <f>RIGHT(Before_Tbl[[#This Row],[Department_Region]],LEN(Before_Tbl[[#This Row],[Department_Region]])-FIND("-",Before_Tbl[[#This Row],[Department_Region]]))</f>
        <v>Florida</v>
      </c>
      <c r="V233" t="str">
        <f>TRIM(PROPER(Before_Tbl[[#This Row],[Status]]))</f>
        <v>Inactive</v>
      </c>
      <c r="W233" s="26">
        <v>44658</v>
      </c>
      <c r="X233" s="4">
        <v>52964.86</v>
      </c>
      <c r="Y233" t="str">
        <f>TRIM(LOWER(Before_Tbl[[#This Row],[Email]]))</f>
        <v>grace.brown@example.com</v>
      </c>
      <c r="Z233" s="2" t="str">
        <f>SUBSTITUTE(Before_Tbl[[#This Row],[Phone]],"-","")</f>
        <v>1764750110</v>
      </c>
      <c r="AA233" t="str">
        <f>TRIM(PROPER(Before_Tbl[[#This Row],[Performance_Score]]))</f>
        <v>Good</v>
      </c>
      <c r="AB233" s="2" t="str">
        <f>TRIM(UPPER(Before_Tbl[[#This Row],[Remote_Work]]))</f>
        <v>TRUE</v>
      </c>
    </row>
    <row r="234" spans="1:28" x14ac:dyDescent="0.35">
      <c r="A234" t="s">
        <v>493</v>
      </c>
      <c r="B234" t="s">
        <v>37</v>
      </c>
      <c r="C234" t="s">
        <v>20</v>
      </c>
      <c r="E234" t="s">
        <v>70</v>
      </c>
      <c r="F234" t="s">
        <v>28</v>
      </c>
      <c r="G234" s="1">
        <v>45510</v>
      </c>
      <c r="H234">
        <v>116353.31</v>
      </c>
      <c r="I234" t="s">
        <v>239</v>
      </c>
      <c r="J234">
        <v>-1783099973</v>
      </c>
      <c r="K234" t="s">
        <v>41</v>
      </c>
      <c r="L234" t="b">
        <v>1</v>
      </c>
      <c r="P234" t="str">
        <f>TRIM(Before_Tbl[[#This Row],[Employee_ID]])</f>
        <v>EMP1232</v>
      </c>
      <c r="Q234" t="str">
        <f>TRIM(PROPER(Before_Tbl[[#This Row],[First_Name]]))</f>
        <v>Frank</v>
      </c>
      <c r="R234" t="str">
        <f>TRIM(PROPER(Before_Tbl[[#This Row],[Last_Name]]))</f>
        <v>Brown</v>
      </c>
      <c r="S234" s="25">
        <f t="shared" si="3"/>
        <v>30</v>
      </c>
      <c r="T234" t="str">
        <f>LEFT(Before_Tbl[[#This Row],[Department_Region]],FIND("-",Before_Tbl[[#This Row],[Department_Region]])-1)</f>
        <v>Finance</v>
      </c>
      <c r="U234" t="str">
        <f>RIGHT(Before_Tbl[[#This Row],[Department_Region]],LEN(Before_Tbl[[#This Row],[Department_Region]])-FIND("-",Before_Tbl[[#This Row],[Department_Region]]))</f>
        <v>California</v>
      </c>
      <c r="V234" t="str">
        <f>TRIM(PROPER(Before_Tbl[[#This Row],[Status]]))</f>
        <v>Pending</v>
      </c>
      <c r="W234" s="26">
        <v>45510</v>
      </c>
      <c r="X234" s="4">
        <v>116353.31</v>
      </c>
      <c r="Y234" t="str">
        <f>TRIM(LOWER(Before_Tbl[[#This Row],[Email]]))</f>
        <v>frank.brown@example.com</v>
      </c>
      <c r="Z234" s="2" t="str">
        <f>SUBSTITUTE(Before_Tbl[[#This Row],[Phone]],"-","")</f>
        <v>1783099973</v>
      </c>
      <c r="AA234" t="str">
        <f>TRIM(PROPER(Before_Tbl[[#This Row],[Performance_Score]]))</f>
        <v>Poor</v>
      </c>
      <c r="AB234" s="2" t="str">
        <f>TRIM(UPPER(Before_Tbl[[#This Row],[Remote_Work]]))</f>
        <v>TRUE</v>
      </c>
    </row>
    <row r="235" spans="1:28" x14ac:dyDescent="0.35">
      <c r="A235" t="s">
        <v>494</v>
      </c>
      <c r="B235" t="s">
        <v>69</v>
      </c>
      <c r="C235" t="s">
        <v>20</v>
      </c>
      <c r="D235">
        <v>35</v>
      </c>
      <c r="E235" t="s">
        <v>219</v>
      </c>
      <c r="F235" t="s">
        <v>28</v>
      </c>
      <c r="G235" t="s">
        <v>495</v>
      </c>
      <c r="H235">
        <v>116695.26</v>
      </c>
      <c r="I235" t="s">
        <v>201</v>
      </c>
      <c r="J235">
        <v>-1926764920</v>
      </c>
      <c r="K235" t="s">
        <v>30</v>
      </c>
      <c r="L235" t="b">
        <v>0</v>
      </c>
      <c r="P235" t="str">
        <f>TRIM(Before_Tbl[[#This Row],[Employee_ID]])</f>
        <v>EMP1233</v>
      </c>
      <c r="Q235" t="str">
        <f>TRIM(PROPER(Before_Tbl[[#This Row],[First_Name]]))</f>
        <v>Grace</v>
      </c>
      <c r="R235" t="str">
        <f>TRIM(PROPER(Before_Tbl[[#This Row],[Last_Name]]))</f>
        <v>Brown</v>
      </c>
      <c r="S235" s="25">
        <f t="shared" si="3"/>
        <v>35</v>
      </c>
      <c r="T235" t="str">
        <f>LEFT(Before_Tbl[[#This Row],[Department_Region]],FIND("-",Before_Tbl[[#This Row],[Department_Region]])-1)</f>
        <v>Sales</v>
      </c>
      <c r="U235" t="str">
        <f>RIGHT(Before_Tbl[[#This Row],[Department_Region]],LEN(Before_Tbl[[#This Row],[Department_Region]])-FIND("-",Before_Tbl[[#This Row],[Department_Region]]))</f>
        <v>Nevada</v>
      </c>
      <c r="V235" t="str">
        <f>TRIM(PROPER(Before_Tbl[[#This Row],[Status]]))</f>
        <v>Pending</v>
      </c>
      <c r="W235" s="26">
        <v>44158</v>
      </c>
      <c r="X235" s="4">
        <v>116695.26</v>
      </c>
      <c r="Y235" t="str">
        <f>TRIM(LOWER(Before_Tbl[[#This Row],[Email]]))</f>
        <v>grace.brown@example.com</v>
      </c>
      <c r="Z235" s="2" t="str">
        <f>SUBSTITUTE(Before_Tbl[[#This Row],[Phone]],"-","")</f>
        <v>1926764920</v>
      </c>
      <c r="AA235" t="str">
        <f>TRIM(PROPER(Before_Tbl[[#This Row],[Performance_Score]]))</f>
        <v>Good</v>
      </c>
      <c r="AB235" s="2" t="str">
        <f>TRIM(UPPER(Before_Tbl[[#This Row],[Remote_Work]]))</f>
        <v>FALSE</v>
      </c>
    </row>
    <row r="236" spans="1:28" x14ac:dyDescent="0.35">
      <c r="A236" t="s">
        <v>496</v>
      </c>
      <c r="B236" t="s">
        <v>65</v>
      </c>
      <c r="C236" t="s">
        <v>20</v>
      </c>
      <c r="D236">
        <v>25</v>
      </c>
      <c r="E236" t="s">
        <v>103</v>
      </c>
      <c r="F236" t="s">
        <v>16</v>
      </c>
      <c r="G236" t="s">
        <v>497</v>
      </c>
      <c r="H236">
        <v>95161.4</v>
      </c>
      <c r="I236" t="s">
        <v>404</v>
      </c>
      <c r="J236">
        <v>-5182606887</v>
      </c>
      <c r="K236" t="s">
        <v>23</v>
      </c>
      <c r="L236" t="b">
        <v>0</v>
      </c>
      <c r="P236" t="str">
        <f>TRIM(Before_Tbl[[#This Row],[Employee_ID]])</f>
        <v>EMP1234</v>
      </c>
      <c r="Q236" t="str">
        <f>TRIM(PROPER(Before_Tbl[[#This Row],[First_Name]]))</f>
        <v>Heidi</v>
      </c>
      <c r="R236" t="str">
        <f>TRIM(PROPER(Before_Tbl[[#This Row],[Last_Name]]))</f>
        <v>Brown</v>
      </c>
      <c r="S236" s="25">
        <f t="shared" si="3"/>
        <v>25</v>
      </c>
      <c r="T236" t="str">
        <f>LEFT(Before_Tbl[[#This Row],[Department_Region]],FIND("-",Before_Tbl[[#This Row],[Department_Region]])-1)</f>
        <v>Admin</v>
      </c>
      <c r="U236" t="str">
        <f>RIGHT(Before_Tbl[[#This Row],[Department_Region]],LEN(Before_Tbl[[#This Row],[Department_Region]])-FIND("-",Before_Tbl[[#This Row],[Department_Region]]))</f>
        <v>Texas</v>
      </c>
      <c r="V236" t="str">
        <f>TRIM(PROPER(Before_Tbl[[#This Row],[Status]]))</f>
        <v>Active</v>
      </c>
      <c r="W236" s="26">
        <v>45425</v>
      </c>
      <c r="X236" s="4">
        <v>95161.4</v>
      </c>
      <c r="Y236" t="str">
        <f>TRIM(LOWER(Before_Tbl[[#This Row],[Email]]))</f>
        <v>heidi.brown@example.com</v>
      </c>
      <c r="Z236" s="2" t="str">
        <f>SUBSTITUTE(Before_Tbl[[#This Row],[Phone]],"-","")</f>
        <v>5182606887</v>
      </c>
      <c r="AA236" t="str">
        <f>TRIM(PROPER(Before_Tbl[[#This Row],[Performance_Score]]))</f>
        <v>Excellent</v>
      </c>
      <c r="AB236" s="2" t="str">
        <f>TRIM(UPPER(Before_Tbl[[#This Row],[Remote_Work]]))</f>
        <v>FALSE</v>
      </c>
    </row>
    <row r="237" spans="1:28" x14ac:dyDescent="0.35">
      <c r="A237" t="s">
        <v>498</v>
      </c>
      <c r="B237" t="s">
        <v>25</v>
      </c>
      <c r="C237" t="s">
        <v>20</v>
      </c>
      <c r="E237" t="s">
        <v>27</v>
      </c>
      <c r="F237" t="s">
        <v>33</v>
      </c>
      <c r="G237" t="s">
        <v>499</v>
      </c>
      <c r="H237">
        <v>76040.94</v>
      </c>
      <c r="I237" t="s">
        <v>80</v>
      </c>
      <c r="J237">
        <v>-7189813128</v>
      </c>
      <c r="K237" t="s">
        <v>30</v>
      </c>
      <c r="L237" t="b">
        <v>1</v>
      </c>
      <c r="P237" t="str">
        <f>TRIM(Before_Tbl[[#This Row],[Employee_ID]])</f>
        <v>EMP1235</v>
      </c>
      <c r="Q237" t="str">
        <f>TRIM(PROPER(Before_Tbl[[#This Row],[First_Name]]))</f>
        <v>Alice</v>
      </c>
      <c r="R237" t="str">
        <f>TRIM(PROPER(Before_Tbl[[#This Row],[Last_Name]]))</f>
        <v>Brown</v>
      </c>
      <c r="S237" s="25">
        <f t="shared" si="3"/>
        <v>30</v>
      </c>
      <c r="T237" t="str">
        <f>LEFT(Before_Tbl[[#This Row],[Department_Region]],FIND("-",Before_Tbl[[#This Row],[Department_Region]])-1)</f>
        <v>Admin</v>
      </c>
      <c r="U237" t="str">
        <f>RIGHT(Before_Tbl[[#This Row],[Department_Region]],LEN(Before_Tbl[[#This Row],[Department_Region]])-FIND("-",Before_Tbl[[#This Row],[Department_Region]]))</f>
        <v>Nevada</v>
      </c>
      <c r="V237" t="str">
        <f>TRIM(PROPER(Before_Tbl[[#This Row],[Status]]))</f>
        <v>Inactive</v>
      </c>
      <c r="W237" s="26">
        <v>44590</v>
      </c>
      <c r="X237" s="4">
        <v>76040.94</v>
      </c>
      <c r="Y237" t="str">
        <f>TRIM(LOWER(Before_Tbl[[#This Row],[Email]]))</f>
        <v>alice.brown@example.com</v>
      </c>
      <c r="Z237" s="2" t="str">
        <f>SUBSTITUTE(Before_Tbl[[#This Row],[Phone]],"-","")</f>
        <v>7189813128</v>
      </c>
      <c r="AA237" t="str">
        <f>TRIM(PROPER(Before_Tbl[[#This Row],[Performance_Score]]))</f>
        <v>Good</v>
      </c>
      <c r="AB237" s="2" t="str">
        <f>TRIM(UPPER(Before_Tbl[[#This Row],[Remote_Work]]))</f>
        <v>TRUE</v>
      </c>
    </row>
    <row r="238" spans="1:28" x14ac:dyDescent="0.35">
      <c r="A238" t="s">
        <v>500</v>
      </c>
      <c r="B238" t="s">
        <v>54</v>
      </c>
      <c r="C238" t="s">
        <v>92</v>
      </c>
      <c r="E238" t="s">
        <v>212</v>
      </c>
      <c r="F238" t="s">
        <v>33</v>
      </c>
      <c r="G238" t="s">
        <v>501</v>
      </c>
      <c r="H238">
        <v>69508.28</v>
      </c>
      <c r="I238" t="s">
        <v>502</v>
      </c>
      <c r="J238">
        <v>-2087510292</v>
      </c>
      <c r="K238" t="s">
        <v>30</v>
      </c>
      <c r="L238" t="b">
        <v>0</v>
      </c>
      <c r="P238" t="str">
        <f>TRIM(Before_Tbl[[#This Row],[Employee_ID]])</f>
        <v>EMP1236</v>
      </c>
      <c r="Q238" t="str">
        <f>TRIM(PROPER(Before_Tbl[[#This Row],[First_Name]]))</f>
        <v>Charlie</v>
      </c>
      <c r="R238" t="str">
        <f>TRIM(PROPER(Before_Tbl[[#This Row],[Last_Name]]))</f>
        <v>Miller</v>
      </c>
      <c r="S238" s="25">
        <f t="shared" si="3"/>
        <v>30</v>
      </c>
      <c r="T238" t="str">
        <f>LEFT(Before_Tbl[[#This Row],[Department_Region]],FIND("-",Before_Tbl[[#This Row],[Department_Region]])-1)</f>
        <v>HR</v>
      </c>
      <c r="U238" t="str">
        <f>RIGHT(Before_Tbl[[#This Row],[Department_Region]],LEN(Before_Tbl[[#This Row],[Department_Region]])-FIND("-",Before_Tbl[[#This Row],[Department_Region]]))</f>
        <v>Florida</v>
      </c>
      <c r="V238" t="str">
        <f>TRIM(PROPER(Before_Tbl[[#This Row],[Status]]))</f>
        <v>Inactive</v>
      </c>
      <c r="W238" s="26">
        <v>45161</v>
      </c>
      <c r="X238" s="4">
        <v>69508.28</v>
      </c>
      <c r="Y238" t="str">
        <f>TRIM(LOWER(Before_Tbl[[#This Row],[Email]]))</f>
        <v>charlie.miller@example.com</v>
      </c>
      <c r="Z238" s="2" t="str">
        <f>SUBSTITUTE(Before_Tbl[[#This Row],[Phone]],"-","")</f>
        <v>2087510292</v>
      </c>
      <c r="AA238" t="str">
        <f>TRIM(PROPER(Before_Tbl[[#This Row],[Performance_Score]]))</f>
        <v>Good</v>
      </c>
      <c r="AB238" s="2" t="str">
        <f>TRIM(UPPER(Before_Tbl[[#This Row],[Remote_Work]]))</f>
        <v>FALSE</v>
      </c>
    </row>
    <row r="239" spans="1:28" x14ac:dyDescent="0.35">
      <c r="A239" t="s">
        <v>503</v>
      </c>
      <c r="B239" t="s">
        <v>25</v>
      </c>
      <c r="C239" t="s">
        <v>92</v>
      </c>
      <c r="D239">
        <v>30</v>
      </c>
      <c r="E239" t="s">
        <v>265</v>
      </c>
      <c r="F239" t="s">
        <v>33</v>
      </c>
      <c r="G239" t="s">
        <v>504</v>
      </c>
      <c r="H239">
        <v>58243.27</v>
      </c>
      <c r="I239" t="s">
        <v>166</v>
      </c>
      <c r="J239">
        <v>-2184011844</v>
      </c>
      <c r="K239" t="s">
        <v>18</v>
      </c>
      <c r="L239" t="b">
        <v>0</v>
      </c>
      <c r="P239" t="str">
        <f>TRIM(Before_Tbl[[#This Row],[Employee_ID]])</f>
        <v>EMP1237</v>
      </c>
      <c r="Q239" t="str">
        <f>TRIM(PROPER(Before_Tbl[[#This Row],[First_Name]]))</f>
        <v>Alice</v>
      </c>
      <c r="R239" t="str">
        <f>TRIM(PROPER(Before_Tbl[[#This Row],[Last_Name]]))</f>
        <v>Miller</v>
      </c>
      <c r="S239" s="25">
        <f t="shared" si="3"/>
        <v>30</v>
      </c>
      <c r="T239" t="str">
        <f>LEFT(Before_Tbl[[#This Row],[Department_Region]],FIND("-",Before_Tbl[[#This Row],[Department_Region]])-1)</f>
        <v>Finance</v>
      </c>
      <c r="U239" t="str">
        <f>RIGHT(Before_Tbl[[#This Row],[Department_Region]],LEN(Before_Tbl[[#This Row],[Department_Region]])-FIND("-",Before_Tbl[[#This Row],[Department_Region]]))</f>
        <v>Illinois</v>
      </c>
      <c r="V239" t="str">
        <f>TRIM(PROPER(Before_Tbl[[#This Row],[Status]]))</f>
        <v>Inactive</v>
      </c>
      <c r="W239" s="26">
        <v>44981</v>
      </c>
      <c r="X239" s="4">
        <v>58243.27</v>
      </c>
      <c r="Y239" t="str">
        <f>TRIM(LOWER(Before_Tbl[[#This Row],[Email]]))</f>
        <v>alice.miller@example.com</v>
      </c>
      <c r="Z239" s="2" t="str">
        <f>SUBSTITUTE(Before_Tbl[[#This Row],[Phone]],"-","")</f>
        <v>2184011844</v>
      </c>
      <c r="AA239" t="str">
        <f>TRIM(PROPER(Before_Tbl[[#This Row],[Performance_Score]]))</f>
        <v>Average</v>
      </c>
      <c r="AB239" s="2" t="str">
        <f>TRIM(UPPER(Before_Tbl[[#This Row],[Remote_Work]]))</f>
        <v>FALSE</v>
      </c>
    </row>
    <row r="240" spans="1:28" x14ac:dyDescent="0.35">
      <c r="A240" t="s">
        <v>505</v>
      </c>
      <c r="B240" t="s">
        <v>65</v>
      </c>
      <c r="C240" t="s">
        <v>38</v>
      </c>
      <c r="D240">
        <v>30</v>
      </c>
      <c r="E240" t="s">
        <v>177</v>
      </c>
      <c r="F240" t="s">
        <v>28</v>
      </c>
      <c r="G240" s="1">
        <v>44602</v>
      </c>
      <c r="H240">
        <v>64012.480000000003</v>
      </c>
      <c r="I240" t="s">
        <v>67</v>
      </c>
      <c r="J240">
        <v>-8260340847</v>
      </c>
      <c r="K240" t="s">
        <v>41</v>
      </c>
      <c r="L240" t="b">
        <v>1</v>
      </c>
      <c r="P240" t="str">
        <f>TRIM(Before_Tbl[[#This Row],[Employee_ID]])</f>
        <v>EMP1238</v>
      </c>
      <c r="Q240" t="str">
        <f>TRIM(PROPER(Before_Tbl[[#This Row],[First_Name]]))</f>
        <v>Heidi</v>
      </c>
      <c r="R240" t="str">
        <f>TRIM(PROPER(Before_Tbl[[#This Row],[Last_Name]]))</f>
        <v>Williams</v>
      </c>
      <c r="S240" s="25">
        <f t="shared" si="3"/>
        <v>30</v>
      </c>
      <c r="T240" t="str">
        <f>LEFT(Before_Tbl[[#This Row],[Department_Region]],FIND("-",Before_Tbl[[#This Row],[Department_Region]])-1)</f>
        <v>Sales</v>
      </c>
      <c r="U240" t="str">
        <f>RIGHT(Before_Tbl[[#This Row],[Department_Region]],LEN(Before_Tbl[[#This Row],[Department_Region]])-FIND("-",Before_Tbl[[#This Row],[Department_Region]]))</f>
        <v>California</v>
      </c>
      <c r="V240" t="str">
        <f>TRIM(PROPER(Before_Tbl[[#This Row],[Status]]))</f>
        <v>Pending</v>
      </c>
      <c r="W240" s="26">
        <v>44602</v>
      </c>
      <c r="X240" s="4">
        <v>64012.480000000003</v>
      </c>
      <c r="Y240" t="str">
        <f>TRIM(LOWER(Before_Tbl[[#This Row],[Email]]))</f>
        <v>heidi.williams@example.com</v>
      </c>
      <c r="Z240" s="2" t="str">
        <f>SUBSTITUTE(Before_Tbl[[#This Row],[Phone]],"-","")</f>
        <v>8260340847</v>
      </c>
      <c r="AA240" t="str">
        <f>TRIM(PROPER(Before_Tbl[[#This Row],[Performance_Score]]))</f>
        <v>Poor</v>
      </c>
      <c r="AB240" s="2" t="str">
        <f>TRIM(UPPER(Before_Tbl[[#This Row],[Remote_Work]]))</f>
        <v>TRUE</v>
      </c>
    </row>
    <row r="241" spans="1:28" x14ac:dyDescent="0.35">
      <c r="A241" t="s">
        <v>506</v>
      </c>
      <c r="B241" t="s">
        <v>13</v>
      </c>
      <c r="C241" t="s">
        <v>43</v>
      </c>
      <c r="D241">
        <v>40</v>
      </c>
      <c r="E241" t="s">
        <v>27</v>
      </c>
      <c r="F241" t="s">
        <v>33</v>
      </c>
      <c r="G241" t="s">
        <v>507</v>
      </c>
      <c r="H241">
        <v>106735.93</v>
      </c>
      <c r="I241" t="s">
        <v>153</v>
      </c>
      <c r="J241">
        <v>-7297585987</v>
      </c>
      <c r="K241" t="s">
        <v>18</v>
      </c>
      <c r="L241" t="b">
        <v>1</v>
      </c>
      <c r="P241" t="str">
        <f>TRIM(Before_Tbl[[#This Row],[Employee_ID]])</f>
        <v>EMP1239</v>
      </c>
      <c r="Q241" t="str">
        <f>TRIM(PROPER(Before_Tbl[[#This Row],[First_Name]]))</f>
        <v>Bob</v>
      </c>
      <c r="R241" t="str">
        <f>TRIM(PROPER(Before_Tbl[[#This Row],[Last_Name]]))</f>
        <v>Garcia</v>
      </c>
      <c r="S241" s="25">
        <f t="shared" si="3"/>
        <v>40</v>
      </c>
      <c r="T241" t="str">
        <f>LEFT(Before_Tbl[[#This Row],[Department_Region]],FIND("-",Before_Tbl[[#This Row],[Department_Region]])-1)</f>
        <v>Admin</v>
      </c>
      <c r="U241" t="str">
        <f>RIGHT(Before_Tbl[[#This Row],[Department_Region]],LEN(Before_Tbl[[#This Row],[Department_Region]])-FIND("-",Before_Tbl[[#This Row],[Department_Region]]))</f>
        <v>Nevada</v>
      </c>
      <c r="V241" t="str">
        <f>TRIM(PROPER(Before_Tbl[[#This Row],[Status]]))</f>
        <v>Inactive</v>
      </c>
      <c r="W241" s="26">
        <v>44010</v>
      </c>
      <c r="X241" s="4">
        <v>106735.93</v>
      </c>
      <c r="Y241" t="str">
        <f>TRIM(LOWER(Before_Tbl[[#This Row],[Email]]))</f>
        <v>bob.garcia@example.com</v>
      </c>
      <c r="Z241" s="2" t="str">
        <f>SUBSTITUTE(Before_Tbl[[#This Row],[Phone]],"-","")</f>
        <v>7297585987</v>
      </c>
      <c r="AA241" t="str">
        <f>TRIM(PROPER(Before_Tbl[[#This Row],[Performance_Score]]))</f>
        <v>Average</v>
      </c>
      <c r="AB241" s="2" t="str">
        <f>TRIM(UPPER(Before_Tbl[[#This Row],[Remote_Work]]))</f>
        <v>TRUE</v>
      </c>
    </row>
    <row r="242" spans="1:28" x14ac:dyDescent="0.35">
      <c r="A242" t="s">
        <v>508</v>
      </c>
      <c r="B242" t="s">
        <v>37</v>
      </c>
      <c r="C242" t="s">
        <v>55</v>
      </c>
      <c r="D242">
        <v>35</v>
      </c>
      <c r="E242" t="s">
        <v>237</v>
      </c>
      <c r="F242" t="s">
        <v>28</v>
      </c>
      <c r="G242" t="s">
        <v>509</v>
      </c>
      <c r="H242">
        <v>70325.36</v>
      </c>
      <c r="I242" t="s">
        <v>271</v>
      </c>
      <c r="J242">
        <v>-3103032431</v>
      </c>
      <c r="K242" t="s">
        <v>18</v>
      </c>
      <c r="L242" t="b">
        <v>0</v>
      </c>
      <c r="P242" t="str">
        <f>TRIM(Before_Tbl[[#This Row],[Employee_ID]])</f>
        <v>EMP1240</v>
      </c>
      <c r="Q242" t="str">
        <f>TRIM(PROPER(Before_Tbl[[#This Row],[First_Name]]))</f>
        <v>Frank</v>
      </c>
      <c r="R242" t="str">
        <f>TRIM(PROPER(Before_Tbl[[#This Row],[Last_Name]]))</f>
        <v>Johnson</v>
      </c>
      <c r="S242" s="25">
        <f t="shared" si="3"/>
        <v>35</v>
      </c>
      <c r="T242" t="str">
        <f>LEFT(Before_Tbl[[#This Row],[Department_Region]],FIND("-",Before_Tbl[[#This Row],[Department_Region]])-1)</f>
        <v>DevOps</v>
      </c>
      <c r="U242" t="str">
        <f>RIGHT(Before_Tbl[[#This Row],[Department_Region]],LEN(Before_Tbl[[#This Row],[Department_Region]])-FIND("-",Before_Tbl[[#This Row],[Department_Region]]))</f>
        <v>Texas</v>
      </c>
      <c r="V242" t="str">
        <f>TRIM(PROPER(Before_Tbl[[#This Row],[Status]]))</f>
        <v>Pending</v>
      </c>
      <c r="W242" s="26">
        <v>44941</v>
      </c>
      <c r="X242" s="4">
        <v>70325.36</v>
      </c>
      <c r="Y242" t="str">
        <f>TRIM(LOWER(Before_Tbl[[#This Row],[Email]]))</f>
        <v>frank.johnson@example.com</v>
      </c>
      <c r="Z242" s="2" t="str">
        <f>SUBSTITUTE(Before_Tbl[[#This Row],[Phone]],"-","")</f>
        <v>3103032431</v>
      </c>
      <c r="AA242" t="str">
        <f>TRIM(PROPER(Before_Tbl[[#This Row],[Performance_Score]]))</f>
        <v>Average</v>
      </c>
      <c r="AB242" s="2" t="str">
        <f>TRIM(UPPER(Before_Tbl[[#This Row],[Remote_Work]]))</f>
        <v>FALSE</v>
      </c>
    </row>
    <row r="243" spans="1:28" x14ac:dyDescent="0.35">
      <c r="A243" t="s">
        <v>510</v>
      </c>
      <c r="B243" t="s">
        <v>54</v>
      </c>
      <c r="C243" t="s">
        <v>14</v>
      </c>
      <c r="D243">
        <v>30</v>
      </c>
      <c r="E243" t="s">
        <v>192</v>
      </c>
      <c r="F243" t="s">
        <v>16</v>
      </c>
      <c r="G243" s="1">
        <v>43960</v>
      </c>
      <c r="H243">
        <v>118959.28</v>
      </c>
      <c r="I243" t="s">
        <v>170</v>
      </c>
      <c r="J243">
        <v>-9839542960</v>
      </c>
      <c r="K243" t="s">
        <v>18</v>
      </c>
      <c r="L243" t="b">
        <v>1</v>
      </c>
      <c r="P243" t="str">
        <f>TRIM(Before_Tbl[[#This Row],[Employee_ID]])</f>
        <v>EMP1241</v>
      </c>
      <c r="Q243" t="str">
        <f>TRIM(PROPER(Before_Tbl[[#This Row],[First_Name]]))</f>
        <v>Charlie</v>
      </c>
      <c r="R243" t="str">
        <f>TRIM(PROPER(Before_Tbl[[#This Row],[Last_Name]]))</f>
        <v>Davis</v>
      </c>
      <c r="S243" s="25">
        <f t="shared" si="3"/>
        <v>30</v>
      </c>
      <c r="T243" t="str">
        <f>LEFT(Before_Tbl[[#This Row],[Department_Region]],FIND("-",Before_Tbl[[#This Row],[Department_Region]])-1)</f>
        <v>HR</v>
      </c>
      <c r="U243" t="str">
        <f>RIGHT(Before_Tbl[[#This Row],[Department_Region]],LEN(Before_Tbl[[#This Row],[Department_Region]])-FIND("-",Before_Tbl[[#This Row],[Department_Region]]))</f>
        <v>Illinois</v>
      </c>
      <c r="V243" t="str">
        <f>TRIM(PROPER(Before_Tbl[[#This Row],[Status]]))</f>
        <v>Active</v>
      </c>
      <c r="W243" s="26">
        <v>43960</v>
      </c>
      <c r="X243" s="4">
        <v>118959.28</v>
      </c>
      <c r="Y243" t="str">
        <f>TRIM(LOWER(Before_Tbl[[#This Row],[Email]]))</f>
        <v>charlie.davis@example.com</v>
      </c>
      <c r="Z243" s="2" t="str">
        <f>SUBSTITUTE(Before_Tbl[[#This Row],[Phone]],"-","")</f>
        <v>9839542960</v>
      </c>
      <c r="AA243" t="str">
        <f>TRIM(PROPER(Before_Tbl[[#This Row],[Performance_Score]]))</f>
        <v>Average</v>
      </c>
      <c r="AB243" s="2" t="str">
        <f>TRIM(UPPER(Before_Tbl[[#This Row],[Remote_Work]]))</f>
        <v>TRUE</v>
      </c>
    </row>
    <row r="244" spans="1:28" x14ac:dyDescent="0.35">
      <c r="A244" t="s">
        <v>511</v>
      </c>
      <c r="B244" t="s">
        <v>59</v>
      </c>
      <c r="C244" t="s">
        <v>20</v>
      </c>
      <c r="D244">
        <v>40</v>
      </c>
      <c r="E244" t="s">
        <v>268</v>
      </c>
      <c r="F244" t="s">
        <v>28</v>
      </c>
      <c r="G244" t="s">
        <v>512</v>
      </c>
      <c r="H244">
        <v>75823.78</v>
      </c>
      <c r="I244" t="s">
        <v>225</v>
      </c>
      <c r="J244">
        <v>-8446267145</v>
      </c>
      <c r="K244" t="s">
        <v>18</v>
      </c>
      <c r="L244" t="b">
        <v>0</v>
      </c>
      <c r="P244" t="str">
        <f>TRIM(Before_Tbl[[#This Row],[Employee_ID]])</f>
        <v>EMP1242</v>
      </c>
      <c r="Q244" t="str">
        <f>TRIM(PROPER(Before_Tbl[[#This Row],[First_Name]]))</f>
        <v>David</v>
      </c>
      <c r="R244" t="str">
        <f>TRIM(PROPER(Before_Tbl[[#This Row],[Last_Name]]))</f>
        <v>Brown</v>
      </c>
      <c r="S244" s="25">
        <f t="shared" si="3"/>
        <v>40</v>
      </c>
      <c r="T244" t="str">
        <f>LEFT(Before_Tbl[[#This Row],[Department_Region]],FIND("-",Before_Tbl[[#This Row],[Department_Region]])-1)</f>
        <v>Cloud Tech</v>
      </c>
      <c r="U244" t="str">
        <f>RIGHT(Before_Tbl[[#This Row],[Department_Region]],LEN(Before_Tbl[[#This Row],[Department_Region]])-FIND("-",Before_Tbl[[#This Row],[Department_Region]]))</f>
        <v>California</v>
      </c>
      <c r="V244" t="str">
        <f>TRIM(PROPER(Before_Tbl[[#This Row],[Status]]))</f>
        <v>Pending</v>
      </c>
      <c r="W244" s="26">
        <v>45003</v>
      </c>
      <c r="X244" s="4">
        <v>75823.78</v>
      </c>
      <c r="Y244" t="str">
        <f>TRIM(LOWER(Before_Tbl[[#This Row],[Email]]))</f>
        <v>david.brown@example.com</v>
      </c>
      <c r="Z244" s="2" t="str">
        <f>SUBSTITUTE(Before_Tbl[[#This Row],[Phone]],"-","")</f>
        <v>8446267145</v>
      </c>
      <c r="AA244" t="str">
        <f>TRIM(PROPER(Before_Tbl[[#This Row],[Performance_Score]]))</f>
        <v>Average</v>
      </c>
      <c r="AB244" s="2" t="str">
        <f>TRIM(UPPER(Before_Tbl[[#This Row],[Remote_Work]]))</f>
        <v>FALSE</v>
      </c>
    </row>
    <row r="245" spans="1:28" x14ac:dyDescent="0.35">
      <c r="A245" t="s">
        <v>513</v>
      </c>
      <c r="B245" t="s">
        <v>54</v>
      </c>
      <c r="C245" t="s">
        <v>122</v>
      </c>
      <c r="E245" t="s">
        <v>159</v>
      </c>
      <c r="F245" t="s">
        <v>33</v>
      </c>
      <c r="G245" t="s">
        <v>514</v>
      </c>
      <c r="H245">
        <v>119971.65</v>
      </c>
      <c r="I245" t="s">
        <v>194</v>
      </c>
      <c r="J245">
        <v>-2831435988</v>
      </c>
      <c r="K245" t="s">
        <v>18</v>
      </c>
      <c r="L245" t="b">
        <v>0</v>
      </c>
      <c r="P245" t="str">
        <f>TRIM(Before_Tbl[[#This Row],[Employee_ID]])</f>
        <v>EMP1243</v>
      </c>
      <c r="Q245" t="str">
        <f>TRIM(PROPER(Before_Tbl[[#This Row],[First_Name]]))</f>
        <v>Charlie</v>
      </c>
      <c r="R245" t="str">
        <f>TRIM(PROPER(Before_Tbl[[#This Row],[Last_Name]]))</f>
        <v>Smith</v>
      </c>
      <c r="S245" s="25">
        <f t="shared" si="3"/>
        <v>30</v>
      </c>
      <c r="T245" t="str">
        <f>LEFT(Before_Tbl[[#This Row],[Department_Region]],FIND("-",Before_Tbl[[#This Row],[Department_Region]])-1)</f>
        <v>Cloud Tech</v>
      </c>
      <c r="U245" t="str">
        <f>RIGHT(Before_Tbl[[#This Row],[Department_Region]],LEN(Before_Tbl[[#This Row],[Department_Region]])-FIND("-",Before_Tbl[[#This Row],[Department_Region]]))</f>
        <v>Texas</v>
      </c>
      <c r="V245" t="str">
        <f>TRIM(PROPER(Before_Tbl[[#This Row],[Status]]))</f>
        <v>Inactive</v>
      </c>
      <c r="W245" s="26">
        <v>44646</v>
      </c>
      <c r="X245" s="4">
        <v>119971.65</v>
      </c>
      <c r="Y245" t="str">
        <f>TRIM(LOWER(Before_Tbl[[#This Row],[Email]]))</f>
        <v>charlie.smith@example.com</v>
      </c>
      <c r="Z245" s="2" t="str">
        <f>SUBSTITUTE(Before_Tbl[[#This Row],[Phone]],"-","")</f>
        <v>2831435988</v>
      </c>
      <c r="AA245" t="str">
        <f>TRIM(PROPER(Before_Tbl[[#This Row],[Performance_Score]]))</f>
        <v>Average</v>
      </c>
      <c r="AB245" s="2" t="str">
        <f>TRIM(UPPER(Before_Tbl[[#This Row],[Remote_Work]]))</f>
        <v>FALSE</v>
      </c>
    </row>
    <row r="246" spans="1:28" x14ac:dyDescent="0.35">
      <c r="A246" t="s">
        <v>515</v>
      </c>
      <c r="B246" t="s">
        <v>69</v>
      </c>
      <c r="C246" t="s">
        <v>14</v>
      </c>
      <c r="D246">
        <v>40</v>
      </c>
      <c r="E246" t="s">
        <v>44</v>
      </c>
      <c r="F246" t="s">
        <v>16</v>
      </c>
      <c r="G246" s="1">
        <v>44510</v>
      </c>
      <c r="H246">
        <v>94963.7</v>
      </c>
      <c r="I246" t="s">
        <v>235</v>
      </c>
      <c r="J246">
        <v>-2625660930</v>
      </c>
      <c r="K246" t="s">
        <v>30</v>
      </c>
      <c r="L246" t="b">
        <v>0</v>
      </c>
      <c r="P246" t="str">
        <f>TRIM(Before_Tbl[[#This Row],[Employee_ID]])</f>
        <v>EMP1244</v>
      </c>
      <c r="Q246" t="str">
        <f>TRIM(PROPER(Before_Tbl[[#This Row],[First_Name]]))</f>
        <v>Grace</v>
      </c>
      <c r="R246" t="str">
        <f>TRIM(PROPER(Before_Tbl[[#This Row],[Last_Name]]))</f>
        <v>Davis</v>
      </c>
      <c r="S246" s="25">
        <f t="shared" si="3"/>
        <v>40</v>
      </c>
      <c r="T246" t="str">
        <f>LEFT(Before_Tbl[[#This Row],[Department_Region]],FIND("-",Before_Tbl[[#This Row],[Department_Region]])-1)</f>
        <v>Sales</v>
      </c>
      <c r="U246" t="str">
        <f>RIGHT(Before_Tbl[[#This Row],[Department_Region]],LEN(Before_Tbl[[#This Row],[Department_Region]])-FIND("-",Before_Tbl[[#This Row],[Department_Region]]))</f>
        <v>Texas</v>
      </c>
      <c r="V246" t="str">
        <f>TRIM(PROPER(Before_Tbl[[#This Row],[Status]]))</f>
        <v>Active</v>
      </c>
      <c r="W246" s="26">
        <v>44510</v>
      </c>
      <c r="X246" s="4">
        <v>94963.7</v>
      </c>
      <c r="Y246" t="str">
        <f>TRIM(LOWER(Before_Tbl[[#This Row],[Email]]))</f>
        <v>grace.davis@example.com</v>
      </c>
      <c r="Z246" s="2" t="str">
        <f>SUBSTITUTE(Before_Tbl[[#This Row],[Phone]],"-","")</f>
        <v>2625660930</v>
      </c>
      <c r="AA246" t="str">
        <f>TRIM(PROPER(Before_Tbl[[#This Row],[Performance_Score]]))</f>
        <v>Good</v>
      </c>
      <c r="AB246" s="2" t="str">
        <f>TRIM(UPPER(Before_Tbl[[#This Row],[Remote_Work]]))</f>
        <v>FALSE</v>
      </c>
    </row>
    <row r="247" spans="1:28" x14ac:dyDescent="0.35">
      <c r="A247" t="s">
        <v>516</v>
      </c>
      <c r="B247" t="s">
        <v>37</v>
      </c>
      <c r="C247" t="s">
        <v>92</v>
      </c>
      <c r="D247">
        <v>30</v>
      </c>
      <c r="E247" t="s">
        <v>219</v>
      </c>
      <c r="F247" t="s">
        <v>28</v>
      </c>
      <c r="G247" s="1">
        <v>44378</v>
      </c>
      <c r="H247">
        <v>103744.71</v>
      </c>
      <c r="I247" t="s">
        <v>110</v>
      </c>
      <c r="J247">
        <v>-4181861514</v>
      </c>
      <c r="K247" t="s">
        <v>18</v>
      </c>
      <c r="L247" t="b">
        <v>0</v>
      </c>
      <c r="P247" t="str">
        <f>TRIM(Before_Tbl[[#This Row],[Employee_ID]])</f>
        <v>EMP1245</v>
      </c>
      <c r="Q247" t="str">
        <f>TRIM(PROPER(Before_Tbl[[#This Row],[First_Name]]))</f>
        <v>Frank</v>
      </c>
      <c r="R247" t="str">
        <f>TRIM(PROPER(Before_Tbl[[#This Row],[Last_Name]]))</f>
        <v>Miller</v>
      </c>
      <c r="S247" s="25">
        <f t="shared" si="3"/>
        <v>30</v>
      </c>
      <c r="T247" t="str">
        <f>LEFT(Before_Tbl[[#This Row],[Department_Region]],FIND("-",Before_Tbl[[#This Row],[Department_Region]])-1)</f>
        <v>Sales</v>
      </c>
      <c r="U247" t="str">
        <f>RIGHT(Before_Tbl[[#This Row],[Department_Region]],LEN(Before_Tbl[[#This Row],[Department_Region]])-FIND("-",Before_Tbl[[#This Row],[Department_Region]]))</f>
        <v>Nevada</v>
      </c>
      <c r="V247" t="str">
        <f>TRIM(PROPER(Before_Tbl[[#This Row],[Status]]))</f>
        <v>Pending</v>
      </c>
      <c r="W247" s="26">
        <v>44378</v>
      </c>
      <c r="X247" s="4">
        <v>103744.71</v>
      </c>
      <c r="Y247" t="str">
        <f>TRIM(LOWER(Before_Tbl[[#This Row],[Email]]))</f>
        <v>frank.miller@example.com</v>
      </c>
      <c r="Z247" s="2" t="str">
        <f>SUBSTITUTE(Before_Tbl[[#This Row],[Phone]],"-","")</f>
        <v>4181861514</v>
      </c>
      <c r="AA247" t="str">
        <f>TRIM(PROPER(Before_Tbl[[#This Row],[Performance_Score]]))</f>
        <v>Average</v>
      </c>
      <c r="AB247" s="2" t="str">
        <f>TRIM(UPPER(Before_Tbl[[#This Row],[Remote_Work]]))</f>
        <v>FALSE</v>
      </c>
    </row>
    <row r="248" spans="1:28" x14ac:dyDescent="0.35">
      <c r="A248" t="s">
        <v>517</v>
      </c>
      <c r="B248" t="s">
        <v>25</v>
      </c>
      <c r="C248" t="s">
        <v>122</v>
      </c>
      <c r="D248">
        <v>25</v>
      </c>
      <c r="E248" t="s">
        <v>109</v>
      </c>
      <c r="F248" t="s">
        <v>33</v>
      </c>
      <c r="G248" s="1">
        <v>43902</v>
      </c>
      <c r="H248">
        <v>61337.69</v>
      </c>
      <c r="I248" t="s">
        <v>182</v>
      </c>
      <c r="J248">
        <v>-5423401635</v>
      </c>
      <c r="K248" t="s">
        <v>18</v>
      </c>
      <c r="L248" t="b">
        <v>1</v>
      </c>
      <c r="P248" t="str">
        <f>TRIM(Before_Tbl[[#This Row],[Employee_ID]])</f>
        <v>EMP1246</v>
      </c>
      <c r="Q248" t="str">
        <f>TRIM(PROPER(Before_Tbl[[#This Row],[First_Name]]))</f>
        <v>Alice</v>
      </c>
      <c r="R248" t="str">
        <f>TRIM(PROPER(Before_Tbl[[#This Row],[Last_Name]]))</f>
        <v>Smith</v>
      </c>
      <c r="S248" s="25">
        <f t="shared" si="3"/>
        <v>25</v>
      </c>
      <c r="T248" t="str">
        <f>LEFT(Before_Tbl[[#This Row],[Department_Region]],FIND("-",Before_Tbl[[#This Row],[Department_Region]])-1)</f>
        <v>Sales</v>
      </c>
      <c r="U248" t="str">
        <f>RIGHT(Before_Tbl[[#This Row],[Department_Region]],LEN(Before_Tbl[[#This Row],[Department_Region]])-FIND("-",Before_Tbl[[#This Row],[Department_Region]]))</f>
        <v>New York</v>
      </c>
      <c r="V248" t="str">
        <f>TRIM(PROPER(Before_Tbl[[#This Row],[Status]]))</f>
        <v>Inactive</v>
      </c>
      <c r="W248" s="26">
        <v>43902</v>
      </c>
      <c r="X248" s="4">
        <v>61337.69</v>
      </c>
      <c r="Y248" t="str">
        <f>TRIM(LOWER(Before_Tbl[[#This Row],[Email]]))</f>
        <v>alice.smith@example.com</v>
      </c>
      <c r="Z248" s="2" t="str">
        <f>SUBSTITUTE(Before_Tbl[[#This Row],[Phone]],"-","")</f>
        <v>5423401635</v>
      </c>
      <c r="AA248" t="str">
        <f>TRIM(PROPER(Before_Tbl[[#This Row],[Performance_Score]]))</f>
        <v>Average</v>
      </c>
      <c r="AB248" s="2" t="str">
        <f>TRIM(UPPER(Before_Tbl[[#This Row],[Remote_Work]]))</f>
        <v>TRUE</v>
      </c>
    </row>
    <row r="249" spans="1:28" x14ac:dyDescent="0.35">
      <c r="A249" t="s">
        <v>518</v>
      </c>
      <c r="B249" t="s">
        <v>59</v>
      </c>
      <c r="C249" t="s">
        <v>122</v>
      </c>
      <c r="D249">
        <v>35</v>
      </c>
      <c r="E249" t="s">
        <v>177</v>
      </c>
      <c r="F249" t="s">
        <v>16</v>
      </c>
      <c r="G249" t="s">
        <v>519</v>
      </c>
      <c r="H249">
        <v>63741.13</v>
      </c>
      <c r="I249" t="s">
        <v>341</v>
      </c>
      <c r="J249">
        <v>-1128497184</v>
      </c>
      <c r="K249" t="s">
        <v>41</v>
      </c>
      <c r="L249" t="b">
        <v>1</v>
      </c>
      <c r="P249" t="str">
        <f>TRIM(Before_Tbl[[#This Row],[Employee_ID]])</f>
        <v>EMP1247</v>
      </c>
      <c r="Q249" t="str">
        <f>TRIM(PROPER(Before_Tbl[[#This Row],[First_Name]]))</f>
        <v>David</v>
      </c>
      <c r="R249" t="str">
        <f>TRIM(PROPER(Before_Tbl[[#This Row],[Last_Name]]))</f>
        <v>Smith</v>
      </c>
      <c r="S249" s="25">
        <f t="shared" si="3"/>
        <v>35</v>
      </c>
      <c r="T249" t="str">
        <f>LEFT(Before_Tbl[[#This Row],[Department_Region]],FIND("-",Before_Tbl[[#This Row],[Department_Region]])-1)</f>
        <v>Sales</v>
      </c>
      <c r="U249" t="str">
        <f>RIGHT(Before_Tbl[[#This Row],[Department_Region]],LEN(Before_Tbl[[#This Row],[Department_Region]])-FIND("-",Before_Tbl[[#This Row],[Department_Region]]))</f>
        <v>California</v>
      </c>
      <c r="V249" t="str">
        <f>TRIM(PROPER(Before_Tbl[[#This Row],[Status]]))</f>
        <v>Active</v>
      </c>
      <c r="W249" s="26">
        <v>44344</v>
      </c>
      <c r="X249" s="4">
        <v>63741.13</v>
      </c>
      <c r="Y249" t="str">
        <f>TRIM(LOWER(Before_Tbl[[#This Row],[Email]]))</f>
        <v>david.smith@example.com</v>
      </c>
      <c r="Z249" s="2" t="str">
        <f>SUBSTITUTE(Before_Tbl[[#This Row],[Phone]],"-","")</f>
        <v>1128497184</v>
      </c>
      <c r="AA249" t="str">
        <f>TRIM(PROPER(Before_Tbl[[#This Row],[Performance_Score]]))</f>
        <v>Poor</v>
      </c>
      <c r="AB249" s="2" t="str">
        <f>TRIM(UPPER(Before_Tbl[[#This Row],[Remote_Work]]))</f>
        <v>TRUE</v>
      </c>
    </row>
    <row r="250" spans="1:28" x14ac:dyDescent="0.35">
      <c r="A250" t="s">
        <v>520</v>
      </c>
      <c r="B250" t="s">
        <v>32</v>
      </c>
      <c r="C250" t="s">
        <v>122</v>
      </c>
      <c r="D250">
        <v>30</v>
      </c>
      <c r="E250" t="s">
        <v>15</v>
      </c>
      <c r="F250" t="s">
        <v>28</v>
      </c>
      <c r="G250" t="s">
        <v>521</v>
      </c>
      <c r="H250">
        <v>56539.99</v>
      </c>
      <c r="I250" t="s">
        <v>522</v>
      </c>
      <c r="J250">
        <v>-9484910255</v>
      </c>
      <c r="K250" t="s">
        <v>23</v>
      </c>
      <c r="L250" t="b">
        <v>1</v>
      </c>
      <c r="P250" t="str">
        <f>TRIM(Before_Tbl[[#This Row],[Employee_ID]])</f>
        <v>EMP1248</v>
      </c>
      <c r="Q250" t="str">
        <f>TRIM(PROPER(Before_Tbl[[#This Row],[First_Name]]))</f>
        <v>Eva</v>
      </c>
      <c r="R250" t="str">
        <f>TRIM(PROPER(Before_Tbl[[#This Row],[Last_Name]]))</f>
        <v>Smith</v>
      </c>
      <c r="S250" s="25">
        <f t="shared" si="3"/>
        <v>30</v>
      </c>
      <c r="T250" t="str">
        <f>LEFT(Before_Tbl[[#This Row],[Department_Region]],FIND("-",Before_Tbl[[#This Row],[Department_Region]])-1)</f>
        <v>DevOps</v>
      </c>
      <c r="U250" t="str">
        <f>RIGHT(Before_Tbl[[#This Row],[Department_Region]],LEN(Before_Tbl[[#This Row],[Department_Region]])-FIND("-",Before_Tbl[[#This Row],[Department_Region]]))</f>
        <v>California</v>
      </c>
      <c r="V250" t="str">
        <f>TRIM(PROPER(Before_Tbl[[#This Row],[Status]]))</f>
        <v>Pending</v>
      </c>
      <c r="W250" s="26">
        <v>44923</v>
      </c>
      <c r="X250" s="4">
        <v>56539.99</v>
      </c>
      <c r="Y250" t="str">
        <f>TRIM(LOWER(Before_Tbl[[#This Row],[Email]]))</f>
        <v>eva.smith@example.com</v>
      </c>
      <c r="Z250" s="2" t="str">
        <f>SUBSTITUTE(Before_Tbl[[#This Row],[Phone]],"-","")</f>
        <v>9484910255</v>
      </c>
      <c r="AA250" t="str">
        <f>TRIM(PROPER(Before_Tbl[[#This Row],[Performance_Score]]))</f>
        <v>Excellent</v>
      </c>
      <c r="AB250" s="2" t="str">
        <f>TRIM(UPPER(Before_Tbl[[#This Row],[Remote_Work]]))</f>
        <v>TRUE</v>
      </c>
    </row>
    <row r="251" spans="1:28" x14ac:dyDescent="0.35">
      <c r="A251" t="s">
        <v>523</v>
      </c>
      <c r="B251" t="s">
        <v>54</v>
      </c>
      <c r="C251" t="s">
        <v>38</v>
      </c>
      <c r="D251">
        <v>30</v>
      </c>
      <c r="E251" t="s">
        <v>78</v>
      </c>
      <c r="F251" t="s">
        <v>28</v>
      </c>
      <c r="G251" t="s">
        <v>524</v>
      </c>
      <c r="H251">
        <v>73633.37</v>
      </c>
      <c r="I251" t="s">
        <v>90</v>
      </c>
      <c r="J251">
        <v>-2588967923</v>
      </c>
      <c r="K251" t="s">
        <v>30</v>
      </c>
      <c r="L251" t="b">
        <v>1</v>
      </c>
      <c r="P251" t="str">
        <f>TRIM(Before_Tbl[[#This Row],[Employee_ID]])</f>
        <v>EMP1249</v>
      </c>
      <c r="Q251" t="str">
        <f>TRIM(PROPER(Before_Tbl[[#This Row],[First_Name]]))</f>
        <v>Charlie</v>
      </c>
      <c r="R251" t="str">
        <f>TRIM(PROPER(Before_Tbl[[#This Row],[Last_Name]]))</f>
        <v>Williams</v>
      </c>
      <c r="S251" s="25">
        <f t="shared" si="3"/>
        <v>30</v>
      </c>
      <c r="T251" t="str">
        <f>LEFT(Before_Tbl[[#This Row],[Department_Region]],FIND("-",Before_Tbl[[#This Row],[Department_Region]])-1)</f>
        <v>DevOps</v>
      </c>
      <c r="U251" t="str">
        <f>RIGHT(Before_Tbl[[#This Row],[Department_Region]],LEN(Before_Tbl[[#This Row],[Department_Region]])-FIND("-",Before_Tbl[[#This Row],[Department_Region]]))</f>
        <v>Illinois</v>
      </c>
      <c r="V251" t="str">
        <f>TRIM(PROPER(Before_Tbl[[#This Row],[Status]]))</f>
        <v>Pending</v>
      </c>
      <c r="W251" s="26">
        <v>45070</v>
      </c>
      <c r="X251" s="4">
        <v>73633.37</v>
      </c>
      <c r="Y251" t="str">
        <f>TRIM(LOWER(Before_Tbl[[#This Row],[Email]]))</f>
        <v>charlie.williams@example.com</v>
      </c>
      <c r="Z251" s="2" t="str">
        <f>SUBSTITUTE(Before_Tbl[[#This Row],[Phone]],"-","")</f>
        <v>2588967923</v>
      </c>
      <c r="AA251" t="str">
        <f>TRIM(PROPER(Before_Tbl[[#This Row],[Performance_Score]]))</f>
        <v>Good</v>
      </c>
      <c r="AB251" s="2" t="str">
        <f>TRIM(UPPER(Before_Tbl[[#This Row],[Remote_Work]]))</f>
        <v>TRUE</v>
      </c>
    </row>
    <row r="252" spans="1:28" x14ac:dyDescent="0.35">
      <c r="A252" t="s">
        <v>525</v>
      </c>
      <c r="B252" t="s">
        <v>25</v>
      </c>
      <c r="C252" t="s">
        <v>92</v>
      </c>
      <c r="D252">
        <v>25</v>
      </c>
      <c r="E252" t="s">
        <v>159</v>
      </c>
      <c r="F252" t="s">
        <v>28</v>
      </c>
      <c r="G252" t="s">
        <v>526</v>
      </c>
      <c r="H252">
        <v>90373.99</v>
      </c>
      <c r="I252" t="s">
        <v>166</v>
      </c>
      <c r="J252">
        <v>-822269404</v>
      </c>
      <c r="K252" t="s">
        <v>30</v>
      </c>
      <c r="L252" t="b">
        <v>0</v>
      </c>
      <c r="P252" t="str">
        <f>TRIM(Before_Tbl[[#This Row],[Employee_ID]])</f>
        <v>EMP1250</v>
      </c>
      <c r="Q252" t="str">
        <f>TRIM(PROPER(Before_Tbl[[#This Row],[First_Name]]))</f>
        <v>Alice</v>
      </c>
      <c r="R252" t="str">
        <f>TRIM(PROPER(Before_Tbl[[#This Row],[Last_Name]]))</f>
        <v>Miller</v>
      </c>
      <c r="S252" s="25">
        <f t="shared" si="3"/>
        <v>25</v>
      </c>
      <c r="T252" t="str">
        <f>LEFT(Before_Tbl[[#This Row],[Department_Region]],FIND("-",Before_Tbl[[#This Row],[Department_Region]])-1)</f>
        <v>Cloud Tech</v>
      </c>
      <c r="U252" t="str">
        <f>RIGHT(Before_Tbl[[#This Row],[Department_Region]],LEN(Before_Tbl[[#This Row],[Department_Region]])-FIND("-",Before_Tbl[[#This Row],[Department_Region]]))</f>
        <v>Texas</v>
      </c>
      <c r="V252" t="str">
        <f>TRIM(PROPER(Before_Tbl[[#This Row],[Status]]))</f>
        <v>Pending</v>
      </c>
      <c r="W252" s="26">
        <v>45410</v>
      </c>
      <c r="X252" s="4">
        <v>90373.99</v>
      </c>
      <c r="Y252" t="str">
        <f>TRIM(LOWER(Before_Tbl[[#This Row],[Email]]))</f>
        <v>alice.miller@example.com</v>
      </c>
      <c r="Z252" s="2" t="str">
        <f>SUBSTITUTE(Before_Tbl[[#This Row],[Phone]],"-","")</f>
        <v>822269404</v>
      </c>
      <c r="AA252" t="str">
        <f>TRIM(PROPER(Before_Tbl[[#This Row],[Performance_Score]]))</f>
        <v>Good</v>
      </c>
      <c r="AB252" s="2" t="str">
        <f>TRIM(UPPER(Before_Tbl[[#This Row],[Remote_Work]]))</f>
        <v>FALSE</v>
      </c>
    </row>
    <row r="253" spans="1:28" x14ac:dyDescent="0.35">
      <c r="A253" t="s">
        <v>527</v>
      </c>
      <c r="B253" t="s">
        <v>69</v>
      </c>
      <c r="C253" t="s">
        <v>122</v>
      </c>
      <c r="E253" t="s">
        <v>237</v>
      </c>
      <c r="F253" t="s">
        <v>33</v>
      </c>
      <c r="G253" t="s">
        <v>528</v>
      </c>
      <c r="H253">
        <v>93901.48</v>
      </c>
      <c r="I253" t="s">
        <v>135</v>
      </c>
      <c r="J253">
        <v>-3967275783</v>
      </c>
      <c r="K253" t="s">
        <v>30</v>
      </c>
      <c r="L253" t="b">
        <v>0</v>
      </c>
      <c r="P253" t="str">
        <f>TRIM(Before_Tbl[[#This Row],[Employee_ID]])</f>
        <v>EMP1251</v>
      </c>
      <c r="Q253" t="str">
        <f>TRIM(PROPER(Before_Tbl[[#This Row],[First_Name]]))</f>
        <v>Grace</v>
      </c>
      <c r="R253" t="str">
        <f>TRIM(PROPER(Before_Tbl[[#This Row],[Last_Name]]))</f>
        <v>Smith</v>
      </c>
      <c r="S253" s="25">
        <f t="shared" si="3"/>
        <v>30</v>
      </c>
      <c r="T253" t="str">
        <f>LEFT(Before_Tbl[[#This Row],[Department_Region]],FIND("-",Before_Tbl[[#This Row],[Department_Region]])-1)</f>
        <v>DevOps</v>
      </c>
      <c r="U253" t="str">
        <f>RIGHT(Before_Tbl[[#This Row],[Department_Region]],LEN(Before_Tbl[[#This Row],[Department_Region]])-FIND("-",Before_Tbl[[#This Row],[Department_Region]]))</f>
        <v>Texas</v>
      </c>
      <c r="V253" t="str">
        <f>TRIM(PROPER(Before_Tbl[[#This Row],[Status]]))</f>
        <v>Inactive</v>
      </c>
      <c r="W253" s="26">
        <v>45651</v>
      </c>
      <c r="X253" s="4">
        <v>93901.48</v>
      </c>
      <c r="Y253" t="str">
        <f>TRIM(LOWER(Before_Tbl[[#This Row],[Email]]))</f>
        <v>grace.smith@example.com</v>
      </c>
      <c r="Z253" s="2" t="str">
        <f>SUBSTITUTE(Before_Tbl[[#This Row],[Phone]],"-","")</f>
        <v>3967275783</v>
      </c>
      <c r="AA253" t="str">
        <f>TRIM(PROPER(Before_Tbl[[#This Row],[Performance_Score]]))</f>
        <v>Good</v>
      </c>
      <c r="AB253" s="2" t="str">
        <f>TRIM(UPPER(Before_Tbl[[#This Row],[Remote_Work]]))</f>
        <v>FALSE</v>
      </c>
    </row>
    <row r="254" spans="1:28" x14ac:dyDescent="0.35">
      <c r="A254" t="s">
        <v>529</v>
      </c>
      <c r="B254" t="s">
        <v>32</v>
      </c>
      <c r="C254" t="s">
        <v>20</v>
      </c>
      <c r="D254">
        <v>40</v>
      </c>
      <c r="E254" t="s">
        <v>27</v>
      </c>
      <c r="F254" t="s">
        <v>33</v>
      </c>
      <c r="G254" s="1">
        <v>44205</v>
      </c>
      <c r="H254">
        <v>81748.09</v>
      </c>
      <c r="I254" t="s">
        <v>155</v>
      </c>
      <c r="J254">
        <v>-4683414650</v>
      </c>
      <c r="K254" t="s">
        <v>18</v>
      </c>
      <c r="L254" t="b">
        <v>1</v>
      </c>
      <c r="P254" t="str">
        <f>TRIM(Before_Tbl[[#This Row],[Employee_ID]])</f>
        <v>EMP1252</v>
      </c>
      <c r="Q254" t="str">
        <f>TRIM(PROPER(Before_Tbl[[#This Row],[First_Name]]))</f>
        <v>Eva</v>
      </c>
      <c r="R254" t="str">
        <f>TRIM(PROPER(Before_Tbl[[#This Row],[Last_Name]]))</f>
        <v>Brown</v>
      </c>
      <c r="S254" s="25">
        <f t="shared" si="3"/>
        <v>40</v>
      </c>
      <c r="T254" t="str">
        <f>LEFT(Before_Tbl[[#This Row],[Department_Region]],FIND("-",Before_Tbl[[#This Row],[Department_Region]])-1)</f>
        <v>Admin</v>
      </c>
      <c r="U254" t="str">
        <f>RIGHT(Before_Tbl[[#This Row],[Department_Region]],LEN(Before_Tbl[[#This Row],[Department_Region]])-FIND("-",Before_Tbl[[#This Row],[Department_Region]]))</f>
        <v>Nevada</v>
      </c>
      <c r="V254" t="str">
        <f>TRIM(PROPER(Before_Tbl[[#This Row],[Status]]))</f>
        <v>Inactive</v>
      </c>
      <c r="W254" s="26">
        <v>44205</v>
      </c>
      <c r="X254" s="4">
        <v>81748.09</v>
      </c>
      <c r="Y254" t="str">
        <f>TRIM(LOWER(Before_Tbl[[#This Row],[Email]]))</f>
        <v>eva.brown@example.com</v>
      </c>
      <c r="Z254" s="2" t="str">
        <f>SUBSTITUTE(Before_Tbl[[#This Row],[Phone]],"-","")</f>
        <v>4683414650</v>
      </c>
      <c r="AA254" t="str">
        <f>TRIM(PROPER(Before_Tbl[[#This Row],[Performance_Score]]))</f>
        <v>Average</v>
      </c>
      <c r="AB254" s="2" t="str">
        <f>TRIM(UPPER(Before_Tbl[[#This Row],[Remote_Work]]))</f>
        <v>TRUE</v>
      </c>
    </row>
    <row r="255" spans="1:28" x14ac:dyDescent="0.35">
      <c r="A255" t="s">
        <v>530</v>
      </c>
      <c r="B255" t="s">
        <v>54</v>
      </c>
      <c r="C255" t="s">
        <v>26</v>
      </c>
      <c r="D255">
        <v>40</v>
      </c>
      <c r="E255" t="s">
        <v>112</v>
      </c>
      <c r="F255" t="s">
        <v>33</v>
      </c>
      <c r="G255" t="s">
        <v>531</v>
      </c>
      <c r="H255">
        <v>73813.48</v>
      </c>
      <c r="I255" t="s">
        <v>120</v>
      </c>
      <c r="J255">
        <v>-1131290147</v>
      </c>
      <c r="K255" t="s">
        <v>18</v>
      </c>
      <c r="L255" t="b">
        <v>0</v>
      </c>
      <c r="P255" t="str">
        <f>TRIM(Before_Tbl[[#This Row],[Employee_ID]])</f>
        <v>EMP1253</v>
      </c>
      <c r="Q255" t="str">
        <f>TRIM(PROPER(Before_Tbl[[#This Row],[First_Name]]))</f>
        <v>Charlie</v>
      </c>
      <c r="R255" t="str">
        <f>TRIM(PROPER(Before_Tbl[[#This Row],[Last_Name]]))</f>
        <v>Jones</v>
      </c>
      <c r="S255" s="25">
        <f t="shared" si="3"/>
        <v>40</v>
      </c>
      <c r="T255" t="str">
        <f>LEFT(Before_Tbl[[#This Row],[Department_Region]],FIND("-",Before_Tbl[[#This Row],[Department_Region]])-1)</f>
        <v>Finance</v>
      </c>
      <c r="U255" t="str">
        <f>RIGHT(Before_Tbl[[#This Row],[Department_Region]],LEN(Before_Tbl[[#This Row],[Department_Region]])-FIND("-",Before_Tbl[[#This Row],[Department_Region]]))</f>
        <v>Florida</v>
      </c>
      <c r="V255" t="str">
        <f>TRIM(PROPER(Before_Tbl[[#This Row],[Status]]))</f>
        <v>Inactive</v>
      </c>
      <c r="W255" s="26">
        <v>44248</v>
      </c>
      <c r="X255" s="4">
        <v>73813.48</v>
      </c>
      <c r="Y255" t="str">
        <f>TRIM(LOWER(Before_Tbl[[#This Row],[Email]]))</f>
        <v>charlie.jones@example.com</v>
      </c>
      <c r="Z255" s="2" t="str">
        <f>SUBSTITUTE(Before_Tbl[[#This Row],[Phone]],"-","")</f>
        <v>1131290147</v>
      </c>
      <c r="AA255" t="str">
        <f>TRIM(PROPER(Before_Tbl[[#This Row],[Performance_Score]]))</f>
        <v>Average</v>
      </c>
      <c r="AB255" s="2" t="str">
        <f>TRIM(UPPER(Before_Tbl[[#This Row],[Remote_Work]]))</f>
        <v>FALSE</v>
      </c>
    </row>
    <row r="256" spans="1:28" x14ac:dyDescent="0.35">
      <c r="A256" t="s">
        <v>532</v>
      </c>
      <c r="B256" t="s">
        <v>37</v>
      </c>
      <c r="C256" t="s">
        <v>122</v>
      </c>
      <c r="D256">
        <v>35</v>
      </c>
      <c r="E256" t="s">
        <v>227</v>
      </c>
      <c r="F256" t="s">
        <v>33</v>
      </c>
      <c r="G256" t="s">
        <v>533</v>
      </c>
      <c r="H256">
        <v>89315.59</v>
      </c>
      <c r="I256" t="s">
        <v>137</v>
      </c>
      <c r="J256">
        <v>-7068277880</v>
      </c>
      <c r="K256" t="s">
        <v>18</v>
      </c>
      <c r="L256" t="b">
        <v>0</v>
      </c>
      <c r="P256" t="str">
        <f>TRIM(Before_Tbl[[#This Row],[Employee_ID]])</f>
        <v>EMP1254</v>
      </c>
      <c r="Q256" t="str">
        <f>TRIM(PROPER(Before_Tbl[[#This Row],[First_Name]]))</f>
        <v>Frank</v>
      </c>
      <c r="R256" t="str">
        <f>TRIM(PROPER(Before_Tbl[[#This Row],[Last_Name]]))</f>
        <v>Smith</v>
      </c>
      <c r="S256" s="25">
        <f t="shared" si="3"/>
        <v>35</v>
      </c>
      <c r="T256" t="str">
        <f>LEFT(Before_Tbl[[#This Row],[Department_Region]],FIND("-",Before_Tbl[[#This Row],[Department_Region]])-1)</f>
        <v>Finance</v>
      </c>
      <c r="U256" t="str">
        <f>RIGHT(Before_Tbl[[#This Row],[Department_Region]],LEN(Before_Tbl[[#This Row],[Department_Region]])-FIND("-",Before_Tbl[[#This Row],[Department_Region]]))</f>
        <v>New York</v>
      </c>
      <c r="V256" t="str">
        <f>TRIM(PROPER(Before_Tbl[[#This Row],[Status]]))</f>
        <v>Inactive</v>
      </c>
      <c r="W256" s="26">
        <v>44885</v>
      </c>
      <c r="X256" s="4">
        <v>89315.59</v>
      </c>
      <c r="Y256" t="str">
        <f>TRIM(LOWER(Before_Tbl[[#This Row],[Email]]))</f>
        <v>frank.smith@example.com</v>
      </c>
      <c r="Z256" s="2" t="str">
        <f>SUBSTITUTE(Before_Tbl[[#This Row],[Phone]],"-","")</f>
        <v>7068277880</v>
      </c>
      <c r="AA256" t="str">
        <f>TRIM(PROPER(Before_Tbl[[#This Row],[Performance_Score]]))</f>
        <v>Average</v>
      </c>
      <c r="AB256" s="2" t="str">
        <f>TRIM(UPPER(Before_Tbl[[#This Row],[Remote_Work]]))</f>
        <v>FALSE</v>
      </c>
    </row>
    <row r="257" spans="1:28" x14ac:dyDescent="0.35">
      <c r="A257" t="s">
        <v>534</v>
      </c>
      <c r="B257" t="s">
        <v>65</v>
      </c>
      <c r="C257" t="s">
        <v>38</v>
      </c>
      <c r="D257">
        <v>25</v>
      </c>
      <c r="E257" t="s">
        <v>212</v>
      </c>
      <c r="F257" t="s">
        <v>16</v>
      </c>
      <c r="G257" t="s">
        <v>356</v>
      </c>
      <c r="H257">
        <v>56776.82</v>
      </c>
      <c r="I257" t="s">
        <v>67</v>
      </c>
      <c r="J257">
        <v>-6093068537</v>
      </c>
      <c r="K257" t="s">
        <v>41</v>
      </c>
      <c r="L257" t="b">
        <v>0</v>
      </c>
      <c r="P257" t="str">
        <f>TRIM(Before_Tbl[[#This Row],[Employee_ID]])</f>
        <v>EMP1255</v>
      </c>
      <c r="Q257" t="str">
        <f>TRIM(PROPER(Before_Tbl[[#This Row],[First_Name]]))</f>
        <v>Heidi</v>
      </c>
      <c r="R257" t="str">
        <f>TRIM(PROPER(Before_Tbl[[#This Row],[Last_Name]]))</f>
        <v>Williams</v>
      </c>
      <c r="S257" s="25">
        <f t="shared" si="3"/>
        <v>25</v>
      </c>
      <c r="T257" t="str">
        <f>LEFT(Before_Tbl[[#This Row],[Department_Region]],FIND("-",Before_Tbl[[#This Row],[Department_Region]])-1)</f>
        <v>HR</v>
      </c>
      <c r="U257" t="str">
        <f>RIGHT(Before_Tbl[[#This Row],[Department_Region]],LEN(Before_Tbl[[#This Row],[Department_Region]])-FIND("-",Before_Tbl[[#This Row],[Department_Region]]))</f>
        <v>Florida</v>
      </c>
      <c r="V257" t="str">
        <f>TRIM(PROPER(Before_Tbl[[#This Row],[Status]]))</f>
        <v>Active</v>
      </c>
      <c r="W257" s="26">
        <v>44119</v>
      </c>
      <c r="X257" s="4">
        <v>56776.82</v>
      </c>
      <c r="Y257" t="str">
        <f>TRIM(LOWER(Before_Tbl[[#This Row],[Email]]))</f>
        <v>heidi.williams@example.com</v>
      </c>
      <c r="Z257" s="2" t="str">
        <f>SUBSTITUTE(Before_Tbl[[#This Row],[Phone]],"-","")</f>
        <v>6093068537</v>
      </c>
      <c r="AA257" t="str">
        <f>TRIM(PROPER(Before_Tbl[[#This Row],[Performance_Score]]))</f>
        <v>Poor</v>
      </c>
      <c r="AB257" s="2" t="str">
        <f>TRIM(UPPER(Before_Tbl[[#This Row],[Remote_Work]]))</f>
        <v>FALSE</v>
      </c>
    </row>
    <row r="258" spans="1:28" x14ac:dyDescent="0.35">
      <c r="A258" t="s">
        <v>535</v>
      </c>
      <c r="B258" t="s">
        <v>69</v>
      </c>
      <c r="C258" t="s">
        <v>14</v>
      </c>
      <c r="E258" t="s">
        <v>227</v>
      </c>
      <c r="F258" t="s">
        <v>16</v>
      </c>
      <c r="G258" t="s">
        <v>536</v>
      </c>
      <c r="H258">
        <v>72920.509999999995</v>
      </c>
      <c r="I258" t="s">
        <v>235</v>
      </c>
      <c r="J258">
        <v>-9097283214</v>
      </c>
      <c r="K258" t="s">
        <v>23</v>
      </c>
      <c r="L258" t="b">
        <v>1</v>
      </c>
      <c r="P258" t="str">
        <f>TRIM(Before_Tbl[[#This Row],[Employee_ID]])</f>
        <v>EMP1256</v>
      </c>
      <c r="Q258" t="str">
        <f>TRIM(PROPER(Before_Tbl[[#This Row],[First_Name]]))</f>
        <v>Grace</v>
      </c>
      <c r="R258" t="str">
        <f>TRIM(PROPER(Before_Tbl[[#This Row],[Last_Name]]))</f>
        <v>Davis</v>
      </c>
      <c r="S258" s="25">
        <f t="shared" ref="S258:S321" si="4">IF(ISBLANK(D258),30,D258)</f>
        <v>30</v>
      </c>
      <c r="T258" t="str">
        <f>LEFT(Before_Tbl[[#This Row],[Department_Region]],FIND("-",Before_Tbl[[#This Row],[Department_Region]])-1)</f>
        <v>Finance</v>
      </c>
      <c r="U258" t="str">
        <f>RIGHT(Before_Tbl[[#This Row],[Department_Region]],LEN(Before_Tbl[[#This Row],[Department_Region]])-FIND("-",Before_Tbl[[#This Row],[Department_Region]]))</f>
        <v>New York</v>
      </c>
      <c r="V258" t="str">
        <f>TRIM(PROPER(Before_Tbl[[#This Row],[Status]]))</f>
        <v>Active</v>
      </c>
      <c r="W258" s="26">
        <v>45497</v>
      </c>
      <c r="X258" s="4">
        <v>72920.509999999995</v>
      </c>
      <c r="Y258" t="str">
        <f>TRIM(LOWER(Before_Tbl[[#This Row],[Email]]))</f>
        <v>grace.davis@example.com</v>
      </c>
      <c r="Z258" s="2" t="str">
        <f>SUBSTITUTE(Before_Tbl[[#This Row],[Phone]],"-","")</f>
        <v>9097283214</v>
      </c>
      <c r="AA258" t="str">
        <f>TRIM(PROPER(Before_Tbl[[#This Row],[Performance_Score]]))</f>
        <v>Excellent</v>
      </c>
      <c r="AB258" s="2" t="str">
        <f>TRIM(UPPER(Before_Tbl[[#This Row],[Remote_Work]]))</f>
        <v>TRUE</v>
      </c>
    </row>
    <row r="259" spans="1:28" x14ac:dyDescent="0.35">
      <c r="A259" t="s">
        <v>537</v>
      </c>
      <c r="B259" t="s">
        <v>37</v>
      </c>
      <c r="C259" t="s">
        <v>92</v>
      </c>
      <c r="D259">
        <v>30</v>
      </c>
      <c r="E259" t="s">
        <v>205</v>
      </c>
      <c r="F259" t="s">
        <v>28</v>
      </c>
      <c r="G259" t="s">
        <v>538</v>
      </c>
      <c r="H259">
        <v>84913.18</v>
      </c>
      <c r="I259" t="s">
        <v>110</v>
      </c>
      <c r="J259">
        <v>-2850676250</v>
      </c>
      <c r="K259" t="s">
        <v>18</v>
      </c>
      <c r="L259" t="b">
        <v>1</v>
      </c>
      <c r="P259" t="str">
        <f>TRIM(Before_Tbl[[#This Row],[Employee_ID]])</f>
        <v>EMP1257</v>
      </c>
      <c r="Q259" t="str">
        <f>TRIM(PROPER(Before_Tbl[[#This Row],[First_Name]]))</f>
        <v>Frank</v>
      </c>
      <c r="R259" t="str">
        <f>TRIM(PROPER(Before_Tbl[[#This Row],[Last_Name]]))</f>
        <v>Miller</v>
      </c>
      <c r="S259" s="25">
        <f t="shared" si="4"/>
        <v>30</v>
      </c>
      <c r="T259" t="str">
        <f>LEFT(Before_Tbl[[#This Row],[Department_Region]],FIND("-",Before_Tbl[[#This Row],[Department_Region]])-1)</f>
        <v>Admin</v>
      </c>
      <c r="U259" t="str">
        <f>RIGHT(Before_Tbl[[#This Row],[Department_Region]],LEN(Before_Tbl[[#This Row],[Department_Region]])-FIND("-",Before_Tbl[[#This Row],[Department_Region]]))</f>
        <v>Florida</v>
      </c>
      <c r="V259" t="str">
        <f>TRIM(PROPER(Before_Tbl[[#This Row],[Status]]))</f>
        <v>Pending</v>
      </c>
      <c r="W259" s="26">
        <v>44787</v>
      </c>
      <c r="X259" s="4">
        <v>84913.18</v>
      </c>
      <c r="Y259" t="str">
        <f>TRIM(LOWER(Before_Tbl[[#This Row],[Email]]))</f>
        <v>frank.miller@example.com</v>
      </c>
      <c r="Z259" s="2" t="str">
        <f>SUBSTITUTE(Before_Tbl[[#This Row],[Phone]],"-","")</f>
        <v>2850676250</v>
      </c>
      <c r="AA259" t="str">
        <f>TRIM(PROPER(Before_Tbl[[#This Row],[Performance_Score]]))</f>
        <v>Average</v>
      </c>
      <c r="AB259" s="2" t="str">
        <f>TRIM(UPPER(Before_Tbl[[#This Row],[Remote_Work]]))</f>
        <v>TRUE</v>
      </c>
    </row>
    <row r="260" spans="1:28" x14ac:dyDescent="0.35">
      <c r="A260" t="s">
        <v>539</v>
      </c>
      <c r="B260" t="s">
        <v>25</v>
      </c>
      <c r="C260" t="s">
        <v>43</v>
      </c>
      <c r="D260">
        <v>25</v>
      </c>
      <c r="E260" t="s">
        <v>265</v>
      </c>
      <c r="F260" t="s">
        <v>33</v>
      </c>
      <c r="G260" s="1">
        <v>44413</v>
      </c>
      <c r="H260">
        <v>65060.11</v>
      </c>
      <c r="I260" t="s">
        <v>45</v>
      </c>
      <c r="J260">
        <v>-5381447442</v>
      </c>
      <c r="K260" t="s">
        <v>23</v>
      </c>
      <c r="L260" t="b">
        <v>1</v>
      </c>
      <c r="P260" t="str">
        <f>TRIM(Before_Tbl[[#This Row],[Employee_ID]])</f>
        <v>EMP1258</v>
      </c>
      <c r="Q260" t="str">
        <f>TRIM(PROPER(Before_Tbl[[#This Row],[First_Name]]))</f>
        <v>Alice</v>
      </c>
      <c r="R260" t="str">
        <f>TRIM(PROPER(Before_Tbl[[#This Row],[Last_Name]]))</f>
        <v>Garcia</v>
      </c>
      <c r="S260" s="25">
        <f t="shared" si="4"/>
        <v>25</v>
      </c>
      <c r="T260" t="str">
        <f>LEFT(Before_Tbl[[#This Row],[Department_Region]],FIND("-",Before_Tbl[[#This Row],[Department_Region]])-1)</f>
        <v>Finance</v>
      </c>
      <c r="U260" t="str">
        <f>RIGHT(Before_Tbl[[#This Row],[Department_Region]],LEN(Before_Tbl[[#This Row],[Department_Region]])-FIND("-",Before_Tbl[[#This Row],[Department_Region]]))</f>
        <v>Illinois</v>
      </c>
      <c r="V260" t="str">
        <f>TRIM(PROPER(Before_Tbl[[#This Row],[Status]]))</f>
        <v>Inactive</v>
      </c>
      <c r="W260" s="26">
        <v>44413</v>
      </c>
      <c r="X260" s="4">
        <v>65060.11</v>
      </c>
      <c r="Y260" t="str">
        <f>TRIM(LOWER(Before_Tbl[[#This Row],[Email]]))</f>
        <v>alice.garcia@example.com</v>
      </c>
      <c r="Z260" s="2" t="str">
        <f>SUBSTITUTE(Before_Tbl[[#This Row],[Phone]],"-","")</f>
        <v>5381447442</v>
      </c>
      <c r="AA260" t="str">
        <f>TRIM(PROPER(Before_Tbl[[#This Row],[Performance_Score]]))</f>
        <v>Excellent</v>
      </c>
      <c r="AB260" s="2" t="str">
        <f>TRIM(UPPER(Before_Tbl[[#This Row],[Remote_Work]]))</f>
        <v>TRUE</v>
      </c>
    </row>
    <row r="261" spans="1:28" x14ac:dyDescent="0.35">
      <c r="A261" t="s">
        <v>540</v>
      </c>
      <c r="B261" t="s">
        <v>25</v>
      </c>
      <c r="C261" t="s">
        <v>38</v>
      </c>
      <c r="D261">
        <v>35</v>
      </c>
      <c r="E261" t="s">
        <v>265</v>
      </c>
      <c r="F261" t="s">
        <v>28</v>
      </c>
      <c r="G261" s="1">
        <v>45179</v>
      </c>
      <c r="H261">
        <v>82941.08</v>
      </c>
      <c r="I261" t="s">
        <v>363</v>
      </c>
      <c r="J261">
        <v>-963480796</v>
      </c>
      <c r="K261" t="s">
        <v>41</v>
      </c>
      <c r="L261" t="b">
        <v>0</v>
      </c>
      <c r="P261" t="str">
        <f>TRIM(Before_Tbl[[#This Row],[Employee_ID]])</f>
        <v>EMP1259</v>
      </c>
      <c r="Q261" t="str">
        <f>TRIM(PROPER(Before_Tbl[[#This Row],[First_Name]]))</f>
        <v>Alice</v>
      </c>
      <c r="R261" t="str">
        <f>TRIM(PROPER(Before_Tbl[[#This Row],[Last_Name]]))</f>
        <v>Williams</v>
      </c>
      <c r="S261" s="25">
        <f t="shared" si="4"/>
        <v>35</v>
      </c>
      <c r="T261" t="str">
        <f>LEFT(Before_Tbl[[#This Row],[Department_Region]],FIND("-",Before_Tbl[[#This Row],[Department_Region]])-1)</f>
        <v>Finance</v>
      </c>
      <c r="U261" t="str">
        <f>RIGHT(Before_Tbl[[#This Row],[Department_Region]],LEN(Before_Tbl[[#This Row],[Department_Region]])-FIND("-",Before_Tbl[[#This Row],[Department_Region]]))</f>
        <v>Illinois</v>
      </c>
      <c r="V261" t="str">
        <f>TRIM(PROPER(Before_Tbl[[#This Row],[Status]]))</f>
        <v>Pending</v>
      </c>
      <c r="W261" s="26">
        <v>45179</v>
      </c>
      <c r="X261" s="4">
        <v>82941.08</v>
      </c>
      <c r="Y261" t="str">
        <f>TRIM(LOWER(Before_Tbl[[#This Row],[Email]]))</f>
        <v>alice.williams@example.com</v>
      </c>
      <c r="Z261" s="2" t="str">
        <f>SUBSTITUTE(Before_Tbl[[#This Row],[Phone]],"-","")</f>
        <v>963480796</v>
      </c>
      <c r="AA261" t="str">
        <f>TRIM(PROPER(Before_Tbl[[#This Row],[Performance_Score]]))</f>
        <v>Poor</v>
      </c>
      <c r="AB261" s="2" t="str">
        <f>TRIM(UPPER(Before_Tbl[[#This Row],[Remote_Work]]))</f>
        <v>FALSE</v>
      </c>
    </row>
    <row r="262" spans="1:28" x14ac:dyDescent="0.35">
      <c r="A262" t="s">
        <v>541</v>
      </c>
      <c r="B262" t="s">
        <v>13</v>
      </c>
      <c r="C262" t="s">
        <v>122</v>
      </c>
      <c r="D262">
        <v>40</v>
      </c>
      <c r="E262" t="s">
        <v>118</v>
      </c>
      <c r="F262" t="s">
        <v>28</v>
      </c>
      <c r="G262" t="s">
        <v>542</v>
      </c>
      <c r="H262">
        <v>103469.97</v>
      </c>
      <c r="I262" t="s">
        <v>123</v>
      </c>
      <c r="J262">
        <v>-509754509</v>
      </c>
      <c r="K262" t="s">
        <v>30</v>
      </c>
      <c r="L262" t="b">
        <v>1</v>
      </c>
      <c r="P262" t="str">
        <f>TRIM(Before_Tbl[[#This Row],[Employee_ID]])</f>
        <v>EMP1260</v>
      </c>
      <c r="Q262" t="str">
        <f>TRIM(PROPER(Before_Tbl[[#This Row],[First_Name]]))</f>
        <v>Bob</v>
      </c>
      <c r="R262" t="str">
        <f>TRIM(PROPER(Before_Tbl[[#This Row],[Last_Name]]))</f>
        <v>Smith</v>
      </c>
      <c r="S262" s="25">
        <f t="shared" si="4"/>
        <v>40</v>
      </c>
      <c r="T262" t="str">
        <f>LEFT(Before_Tbl[[#This Row],[Department_Region]],FIND("-",Before_Tbl[[#This Row],[Department_Region]])-1)</f>
        <v>Admin</v>
      </c>
      <c r="U262" t="str">
        <f>RIGHT(Before_Tbl[[#This Row],[Department_Region]],LEN(Before_Tbl[[#This Row],[Department_Region]])-FIND("-",Before_Tbl[[#This Row],[Department_Region]]))</f>
        <v>California</v>
      </c>
      <c r="V262" t="str">
        <f>TRIM(PROPER(Before_Tbl[[#This Row],[Status]]))</f>
        <v>Pending</v>
      </c>
      <c r="W262" s="26">
        <v>44580</v>
      </c>
      <c r="X262" s="4">
        <v>103469.97</v>
      </c>
      <c r="Y262" t="str">
        <f>TRIM(LOWER(Before_Tbl[[#This Row],[Email]]))</f>
        <v>bob.smith@example.com</v>
      </c>
      <c r="Z262" s="2" t="str">
        <f>SUBSTITUTE(Before_Tbl[[#This Row],[Phone]],"-","")</f>
        <v>509754509</v>
      </c>
      <c r="AA262" t="str">
        <f>TRIM(PROPER(Before_Tbl[[#This Row],[Performance_Score]]))</f>
        <v>Good</v>
      </c>
      <c r="AB262" s="2" t="str">
        <f>TRIM(UPPER(Before_Tbl[[#This Row],[Remote_Work]]))</f>
        <v>TRUE</v>
      </c>
    </row>
    <row r="263" spans="1:28" x14ac:dyDescent="0.35">
      <c r="A263" t="s">
        <v>543</v>
      </c>
      <c r="B263" t="s">
        <v>69</v>
      </c>
      <c r="C263" t="s">
        <v>92</v>
      </c>
      <c r="D263">
        <v>25</v>
      </c>
      <c r="E263" t="s">
        <v>98</v>
      </c>
      <c r="F263" t="s">
        <v>16</v>
      </c>
      <c r="G263" s="1">
        <v>44896</v>
      </c>
      <c r="H263">
        <v>88725.6</v>
      </c>
      <c r="I263" t="s">
        <v>168</v>
      </c>
      <c r="J263">
        <v>-5265016730</v>
      </c>
      <c r="K263" t="s">
        <v>18</v>
      </c>
      <c r="L263" t="b">
        <v>1</v>
      </c>
      <c r="P263" t="str">
        <f>TRIM(Before_Tbl[[#This Row],[Employee_ID]])</f>
        <v>EMP1261</v>
      </c>
      <c r="Q263" t="str">
        <f>TRIM(PROPER(Before_Tbl[[#This Row],[First_Name]]))</f>
        <v>Grace</v>
      </c>
      <c r="R263" t="str">
        <f>TRIM(PROPER(Before_Tbl[[#This Row],[Last_Name]]))</f>
        <v>Miller</v>
      </c>
      <c r="S263" s="25">
        <f t="shared" si="4"/>
        <v>25</v>
      </c>
      <c r="T263" t="str">
        <f>LEFT(Before_Tbl[[#This Row],[Department_Region]],FIND("-",Before_Tbl[[#This Row],[Department_Region]])-1)</f>
        <v>Sales</v>
      </c>
      <c r="U263" t="str">
        <f>RIGHT(Before_Tbl[[#This Row],[Department_Region]],LEN(Before_Tbl[[#This Row],[Department_Region]])-FIND("-",Before_Tbl[[#This Row],[Department_Region]]))</f>
        <v>Illinois</v>
      </c>
      <c r="V263" t="str">
        <f>TRIM(PROPER(Before_Tbl[[#This Row],[Status]]))</f>
        <v>Active</v>
      </c>
      <c r="W263" s="26">
        <v>44896</v>
      </c>
      <c r="X263" s="4">
        <v>88725.6</v>
      </c>
      <c r="Y263" t="str">
        <f>TRIM(LOWER(Before_Tbl[[#This Row],[Email]]))</f>
        <v>grace.miller@example.com</v>
      </c>
      <c r="Z263" s="2" t="str">
        <f>SUBSTITUTE(Before_Tbl[[#This Row],[Phone]],"-","")</f>
        <v>5265016730</v>
      </c>
      <c r="AA263" t="str">
        <f>TRIM(PROPER(Before_Tbl[[#This Row],[Performance_Score]]))</f>
        <v>Average</v>
      </c>
      <c r="AB263" s="2" t="str">
        <f>TRIM(UPPER(Before_Tbl[[#This Row],[Remote_Work]]))</f>
        <v>TRUE</v>
      </c>
    </row>
    <row r="264" spans="1:28" x14ac:dyDescent="0.35">
      <c r="A264" t="s">
        <v>544</v>
      </c>
      <c r="B264" t="s">
        <v>65</v>
      </c>
      <c r="C264" t="s">
        <v>26</v>
      </c>
      <c r="E264" t="s">
        <v>192</v>
      </c>
      <c r="F264" t="s">
        <v>28</v>
      </c>
      <c r="G264" s="1">
        <v>45052</v>
      </c>
      <c r="H264">
        <v>58316.77</v>
      </c>
      <c r="I264" t="s">
        <v>320</v>
      </c>
      <c r="J264">
        <v>-8826170242</v>
      </c>
      <c r="K264" t="s">
        <v>23</v>
      </c>
      <c r="L264" t="b">
        <v>1</v>
      </c>
      <c r="P264" t="str">
        <f>TRIM(Before_Tbl[[#This Row],[Employee_ID]])</f>
        <v>EMP1262</v>
      </c>
      <c r="Q264" t="str">
        <f>TRIM(PROPER(Before_Tbl[[#This Row],[First_Name]]))</f>
        <v>Heidi</v>
      </c>
      <c r="R264" t="str">
        <f>TRIM(PROPER(Before_Tbl[[#This Row],[Last_Name]]))</f>
        <v>Jones</v>
      </c>
      <c r="S264" s="25">
        <f t="shared" si="4"/>
        <v>30</v>
      </c>
      <c r="T264" t="str">
        <f>LEFT(Before_Tbl[[#This Row],[Department_Region]],FIND("-",Before_Tbl[[#This Row],[Department_Region]])-1)</f>
        <v>HR</v>
      </c>
      <c r="U264" t="str">
        <f>RIGHT(Before_Tbl[[#This Row],[Department_Region]],LEN(Before_Tbl[[#This Row],[Department_Region]])-FIND("-",Before_Tbl[[#This Row],[Department_Region]]))</f>
        <v>Illinois</v>
      </c>
      <c r="V264" t="str">
        <f>TRIM(PROPER(Before_Tbl[[#This Row],[Status]]))</f>
        <v>Pending</v>
      </c>
      <c r="W264" s="26">
        <v>45052</v>
      </c>
      <c r="X264" s="4">
        <v>58316.77</v>
      </c>
      <c r="Y264" t="str">
        <f>TRIM(LOWER(Before_Tbl[[#This Row],[Email]]))</f>
        <v>heidi.jones@example.com</v>
      </c>
      <c r="Z264" s="2" t="str">
        <f>SUBSTITUTE(Before_Tbl[[#This Row],[Phone]],"-","")</f>
        <v>8826170242</v>
      </c>
      <c r="AA264" t="str">
        <f>TRIM(PROPER(Before_Tbl[[#This Row],[Performance_Score]]))</f>
        <v>Excellent</v>
      </c>
      <c r="AB264" s="2" t="str">
        <f>TRIM(UPPER(Before_Tbl[[#This Row],[Remote_Work]]))</f>
        <v>TRUE</v>
      </c>
    </row>
    <row r="265" spans="1:28" x14ac:dyDescent="0.35">
      <c r="A265" t="s">
        <v>545</v>
      </c>
      <c r="B265" t="s">
        <v>69</v>
      </c>
      <c r="C265" t="s">
        <v>122</v>
      </c>
      <c r="D265">
        <v>35</v>
      </c>
      <c r="E265" t="s">
        <v>192</v>
      </c>
      <c r="F265" t="s">
        <v>33</v>
      </c>
      <c r="G265" t="s">
        <v>546</v>
      </c>
      <c r="H265">
        <v>60098.720000000001</v>
      </c>
      <c r="I265" t="s">
        <v>135</v>
      </c>
      <c r="J265">
        <v>-7654562840</v>
      </c>
      <c r="K265" t="s">
        <v>23</v>
      </c>
      <c r="L265" t="b">
        <v>1</v>
      </c>
      <c r="P265" t="str">
        <f>TRIM(Before_Tbl[[#This Row],[Employee_ID]])</f>
        <v>EMP1263</v>
      </c>
      <c r="Q265" t="str">
        <f>TRIM(PROPER(Before_Tbl[[#This Row],[First_Name]]))</f>
        <v>Grace</v>
      </c>
      <c r="R265" t="str">
        <f>TRIM(PROPER(Before_Tbl[[#This Row],[Last_Name]]))</f>
        <v>Smith</v>
      </c>
      <c r="S265" s="25">
        <f t="shared" si="4"/>
        <v>35</v>
      </c>
      <c r="T265" t="str">
        <f>LEFT(Before_Tbl[[#This Row],[Department_Region]],FIND("-",Before_Tbl[[#This Row],[Department_Region]])-1)</f>
        <v>HR</v>
      </c>
      <c r="U265" t="str">
        <f>RIGHT(Before_Tbl[[#This Row],[Department_Region]],LEN(Before_Tbl[[#This Row],[Department_Region]])-FIND("-",Before_Tbl[[#This Row],[Department_Region]]))</f>
        <v>Illinois</v>
      </c>
      <c r="V265" t="str">
        <f>TRIM(PROPER(Before_Tbl[[#This Row],[Status]]))</f>
        <v>Inactive</v>
      </c>
      <c r="W265" s="26">
        <v>45377</v>
      </c>
      <c r="X265" s="4">
        <v>60098.720000000001</v>
      </c>
      <c r="Y265" t="str">
        <f>TRIM(LOWER(Before_Tbl[[#This Row],[Email]]))</f>
        <v>grace.smith@example.com</v>
      </c>
      <c r="Z265" s="2" t="str">
        <f>SUBSTITUTE(Before_Tbl[[#This Row],[Phone]],"-","")</f>
        <v>7654562840</v>
      </c>
      <c r="AA265" t="str">
        <f>TRIM(PROPER(Before_Tbl[[#This Row],[Performance_Score]]))</f>
        <v>Excellent</v>
      </c>
      <c r="AB265" s="2" t="str">
        <f>TRIM(UPPER(Before_Tbl[[#This Row],[Remote_Work]]))</f>
        <v>TRUE</v>
      </c>
    </row>
    <row r="266" spans="1:28" x14ac:dyDescent="0.35">
      <c r="A266" t="s">
        <v>547</v>
      </c>
      <c r="B266" t="s">
        <v>69</v>
      </c>
      <c r="C266" t="s">
        <v>38</v>
      </c>
      <c r="E266" t="s">
        <v>159</v>
      </c>
      <c r="F266" t="s">
        <v>16</v>
      </c>
      <c r="G266" s="1">
        <v>44022</v>
      </c>
      <c r="H266">
        <v>99951.43</v>
      </c>
      <c r="I266" t="s">
        <v>71</v>
      </c>
      <c r="J266">
        <v>-7722560530</v>
      </c>
      <c r="K266" t="s">
        <v>18</v>
      </c>
      <c r="L266" t="b">
        <v>1</v>
      </c>
      <c r="P266" t="str">
        <f>TRIM(Before_Tbl[[#This Row],[Employee_ID]])</f>
        <v>EMP1264</v>
      </c>
      <c r="Q266" t="str">
        <f>TRIM(PROPER(Before_Tbl[[#This Row],[First_Name]]))</f>
        <v>Grace</v>
      </c>
      <c r="R266" t="str">
        <f>TRIM(PROPER(Before_Tbl[[#This Row],[Last_Name]]))</f>
        <v>Williams</v>
      </c>
      <c r="S266" s="25">
        <f t="shared" si="4"/>
        <v>30</v>
      </c>
      <c r="T266" t="str">
        <f>LEFT(Before_Tbl[[#This Row],[Department_Region]],FIND("-",Before_Tbl[[#This Row],[Department_Region]])-1)</f>
        <v>Cloud Tech</v>
      </c>
      <c r="U266" t="str">
        <f>RIGHT(Before_Tbl[[#This Row],[Department_Region]],LEN(Before_Tbl[[#This Row],[Department_Region]])-FIND("-",Before_Tbl[[#This Row],[Department_Region]]))</f>
        <v>Texas</v>
      </c>
      <c r="V266" t="str">
        <f>TRIM(PROPER(Before_Tbl[[#This Row],[Status]]))</f>
        <v>Active</v>
      </c>
      <c r="W266" s="26">
        <v>44022</v>
      </c>
      <c r="X266" s="4">
        <v>99951.43</v>
      </c>
      <c r="Y266" t="str">
        <f>TRIM(LOWER(Before_Tbl[[#This Row],[Email]]))</f>
        <v>grace.williams@example.com</v>
      </c>
      <c r="Z266" s="2" t="str">
        <f>SUBSTITUTE(Before_Tbl[[#This Row],[Phone]],"-","")</f>
        <v>7722560530</v>
      </c>
      <c r="AA266" t="str">
        <f>TRIM(PROPER(Before_Tbl[[#This Row],[Performance_Score]]))</f>
        <v>Average</v>
      </c>
      <c r="AB266" s="2" t="str">
        <f>TRIM(UPPER(Before_Tbl[[#This Row],[Remote_Work]]))</f>
        <v>TRUE</v>
      </c>
    </row>
    <row r="267" spans="1:28" x14ac:dyDescent="0.35">
      <c r="A267" t="s">
        <v>548</v>
      </c>
      <c r="B267" t="s">
        <v>65</v>
      </c>
      <c r="C267" t="s">
        <v>55</v>
      </c>
      <c r="D267">
        <v>30</v>
      </c>
      <c r="E267" t="s">
        <v>98</v>
      </c>
      <c r="F267" t="s">
        <v>16</v>
      </c>
      <c r="G267" s="1">
        <v>44238</v>
      </c>
      <c r="H267">
        <v>115195.81</v>
      </c>
      <c r="I267" t="s">
        <v>113</v>
      </c>
      <c r="J267">
        <v>-3402665022</v>
      </c>
      <c r="K267" t="s">
        <v>30</v>
      </c>
      <c r="L267" t="b">
        <v>1</v>
      </c>
      <c r="P267" t="str">
        <f>TRIM(Before_Tbl[[#This Row],[Employee_ID]])</f>
        <v>EMP1265</v>
      </c>
      <c r="Q267" t="str">
        <f>TRIM(PROPER(Before_Tbl[[#This Row],[First_Name]]))</f>
        <v>Heidi</v>
      </c>
      <c r="R267" t="str">
        <f>TRIM(PROPER(Before_Tbl[[#This Row],[Last_Name]]))</f>
        <v>Johnson</v>
      </c>
      <c r="S267" s="25">
        <f t="shared" si="4"/>
        <v>30</v>
      </c>
      <c r="T267" t="str">
        <f>LEFT(Before_Tbl[[#This Row],[Department_Region]],FIND("-",Before_Tbl[[#This Row],[Department_Region]])-1)</f>
        <v>Sales</v>
      </c>
      <c r="U267" t="str">
        <f>RIGHT(Before_Tbl[[#This Row],[Department_Region]],LEN(Before_Tbl[[#This Row],[Department_Region]])-FIND("-",Before_Tbl[[#This Row],[Department_Region]]))</f>
        <v>Illinois</v>
      </c>
      <c r="V267" t="str">
        <f>TRIM(PROPER(Before_Tbl[[#This Row],[Status]]))</f>
        <v>Active</v>
      </c>
      <c r="W267" s="26">
        <v>44238</v>
      </c>
      <c r="X267" s="4">
        <v>115195.81</v>
      </c>
      <c r="Y267" t="str">
        <f>TRIM(LOWER(Before_Tbl[[#This Row],[Email]]))</f>
        <v>heidi.johnson@example.com</v>
      </c>
      <c r="Z267" s="2" t="str">
        <f>SUBSTITUTE(Before_Tbl[[#This Row],[Phone]],"-","")</f>
        <v>3402665022</v>
      </c>
      <c r="AA267" t="str">
        <f>TRIM(PROPER(Before_Tbl[[#This Row],[Performance_Score]]))</f>
        <v>Good</v>
      </c>
      <c r="AB267" s="2" t="str">
        <f>TRIM(UPPER(Before_Tbl[[#This Row],[Remote_Work]]))</f>
        <v>TRUE</v>
      </c>
    </row>
    <row r="268" spans="1:28" x14ac:dyDescent="0.35">
      <c r="A268" t="s">
        <v>549</v>
      </c>
      <c r="B268" t="s">
        <v>69</v>
      </c>
      <c r="C268" t="s">
        <v>20</v>
      </c>
      <c r="E268" t="s">
        <v>15</v>
      </c>
      <c r="F268" t="s">
        <v>28</v>
      </c>
      <c r="G268" t="s">
        <v>550</v>
      </c>
      <c r="H268">
        <v>85512.05</v>
      </c>
      <c r="I268" t="s">
        <v>201</v>
      </c>
      <c r="J268">
        <v>-7416787255</v>
      </c>
      <c r="K268" t="s">
        <v>30</v>
      </c>
      <c r="L268" t="b">
        <v>0</v>
      </c>
      <c r="P268" t="str">
        <f>TRIM(Before_Tbl[[#This Row],[Employee_ID]])</f>
        <v>EMP1266</v>
      </c>
      <c r="Q268" t="str">
        <f>TRIM(PROPER(Before_Tbl[[#This Row],[First_Name]]))</f>
        <v>Grace</v>
      </c>
      <c r="R268" t="str">
        <f>TRIM(PROPER(Before_Tbl[[#This Row],[Last_Name]]))</f>
        <v>Brown</v>
      </c>
      <c r="S268" s="25">
        <f t="shared" si="4"/>
        <v>30</v>
      </c>
      <c r="T268" t="str">
        <f>LEFT(Before_Tbl[[#This Row],[Department_Region]],FIND("-",Before_Tbl[[#This Row],[Department_Region]])-1)</f>
        <v>DevOps</v>
      </c>
      <c r="U268" t="str">
        <f>RIGHT(Before_Tbl[[#This Row],[Department_Region]],LEN(Before_Tbl[[#This Row],[Department_Region]])-FIND("-",Before_Tbl[[#This Row],[Department_Region]]))</f>
        <v>California</v>
      </c>
      <c r="V268" t="str">
        <f>TRIM(PROPER(Before_Tbl[[#This Row],[Status]]))</f>
        <v>Pending</v>
      </c>
      <c r="W268" s="26">
        <v>44519</v>
      </c>
      <c r="X268" s="4">
        <v>85512.05</v>
      </c>
      <c r="Y268" t="str">
        <f>TRIM(LOWER(Before_Tbl[[#This Row],[Email]]))</f>
        <v>grace.brown@example.com</v>
      </c>
      <c r="Z268" s="2" t="str">
        <f>SUBSTITUTE(Before_Tbl[[#This Row],[Phone]],"-","")</f>
        <v>7416787255</v>
      </c>
      <c r="AA268" t="str">
        <f>TRIM(PROPER(Before_Tbl[[#This Row],[Performance_Score]]))</f>
        <v>Good</v>
      </c>
      <c r="AB268" s="2" t="str">
        <f>TRIM(UPPER(Before_Tbl[[#This Row],[Remote_Work]]))</f>
        <v>FALSE</v>
      </c>
    </row>
    <row r="269" spans="1:28" x14ac:dyDescent="0.35">
      <c r="A269" t="s">
        <v>551</v>
      </c>
      <c r="B269" t="s">
        <v>65</v>
      </c>
      <c r="C269" t="s">
        <v>43</v>
      </c>
      <c r="E269" t="s">
        <v>212</v>
      </c>
      <c r="F269" t="s">
        <v>16</v>
      </c>
      <c r="G269" t="s">
        <v>552</v>
      </c>
      <c r="H269">
        <v>73186.77</v>
      </c>
      <c r="I269" t="s">
        <v>257</v>
      </c>
      <c r="J269">
        <v>-8621102257</v>
      </c>
      <c r="K269" t="s">
        <v>30</v>
      </c>
      <c r="L269" t="b">
        <v>0</v>
      </c>
      <c r="P269" t="str">
        <f>TRIM(Before_Tbl[[#This Row],[Employee_ID]])</f>
        <v>EMP1267</v>
      </c>
      <c r="Q269" t="str">
        <f>TRIM(PROPER(Before_Tbl[[#This Row],[First_Name]]))</f>
        <v>Heidi</v>
      </c>
      <c r="R269" t="str">
        <f>TRIM(PROPER(Before_Tbl[[#This Row],[Last_Name]]))</f>
        <v>Garcia</v>
      </c>
      <c r="S269" s="25">
        <f t="shared" si="4"/>
        <v>30</v>
      </c>
      <c r="T269" t="str">
        <f>LEFT(Before_Tbl[[#This Row],[Department_Region]],FIND("-",Before_Tbl[[#This Row],[Department_Region]])-1)</f>
        <v>HR</v>
      </c>
      <c r="U269" t="str">
        <f>RIGHT(Before_Tbl[[#This Row],[Department_Region]],LEN(Before_Tbl[[#This Row],[Department_Region]])-FIND("-",Before_Tbl[[#This Row],[Department_Region]]))</f>
        <v>Florida</v>
      </c>
      <c r="V269" t="str">
        <f>TRIM(PROPER(Before_Tbl[[#This Row],[Status]]))</f>
        <v>Active</v>
      </c>
      <c r="W269" s="26">
        <v>44585</v>
      </c>
      <c r="X269" s="4">
        <v>73186.77</v>
      </c>
      <c r="Y269" t="str">
        <f>TRIM(LOWER(Before_Tbl[[#This Row],[Email]]))</f>
        <v>heidi.garcia@example.com</v>
      </c>
      <c r="Z269" s="2" t="str">
        <f>SUBSTITUTE(Before_Tbl[[#This Row],[Phone]],"-","")</f>
        <v>8621102257</v>
      </c>
      <c r="AA269" t="str">
        <f>TRIM(PROPER(Before_Tbl[[#This Row],[Performance_Score]]))</f>
        <v>Good</v>
      </c>
      <c r="AB269" s="2" t="str">
        <f>TRIM(UPPER(Before_Tbl[[#This Row],[Remote_Work]]))</f>
        <v>FALSE</v>
      </c>
    </row>
    <row r="270" spans="1:28" x14ac:dyDescent="0.35">
      <c r="A270" t="s">
        <v>553</v>
      </c>
      <c r="B270" t="s">
        <v>69</v>
      </c>
      <c r="C270" t="s">
        <v>14</v>
      </c>
      <c r="E270" t="s">
        <v>149</v>
      </c>
      <c r="F270" t="s">
        <v>28</v>
      </c>
      <c r="G270" s="1">
        <v>45267</v>
      </c>
      <c r="H270">
        <v>51865.3</v>
      </c>
      <c r="I270" t="s">
        <v>235</v>
      </c>
      <c r="J270">
        <v>-305690673</v>
      </c>
      <c r="K270" t="s">
        <v>41</v>
      </c>
      <c r="L270" t="b">
        <v>1</v>
      </c>
      <c r="P270" t="str">
        <f>TRIM(Before_Tbl[[#This Row],[Employee_ID]])</f>
        <v>EMP1268</v>
      </c>
      <c r="Q270" t="str">
        <f>TRIM(PROPER(Before_Tbl[[#This Row],[First_Name]]))</f>
        <v>Grace</v>
      </c>
      <c r="R270" t="str">
        <f>TRIM(PROPER(Before_Tbl[[#This Row],[Last_Name]]))</f>
        <v>Davis</v>
      </c>
      <c r="S270" s="25">
        <f t="shared" si="4"/>
        <v>30</v>
      </c>
      <c r="T270" t="str">
        <f>LEFT(Before_Tbl[[#This Row],[Department_Region]],FIND("-",Before_Tbl[[#This Row],[Department_Region]])-1)</f>
        <v>HR</v>
      </c>
      <c r="U270" t="str">
        <f>RIGHT(Before_Tbl[[#This Row],[Department_Region]],LEN(Before_Tbl[[#This Row],[Department_Region]])-FIND("-",Before_Tbl[[#This Row],[Department_Region]]))</f>
        <v>Nevada</v>
      </c>
      <c r="V270" t="str">
        <f>TRIM(PROPER(Before_Tbl[[#This Row],[Status]]))</f>
        <v>Pending</v>
      </c>
      <c r="W270" s="26">
        <v>45267</v>
      </c>
      <c r="X270" s="4">
        <v>51865.3</v>
      </c>
      <c r="Y270" t="str">
        <f>TRIM(LOWER(Before_Tbl[[#This Row],[Email]]))</f>
        <v>grace.davis@example.com</v>
      </c>
      <c r="Z270" s="2" t="str">
        <f>SUBSTITUTE(Before_Tbl[[#This Row],[Phone]],"-","")</f>
        <v>305690673</v>
      </c>
      <c r="AA270" t="str">
        <f>TRIM(PROPER(Before_Tbl[[#This Row],[Performance_Score]]))</f>
        <v>Poor</v>
      </c>
      <c r="AB270" s="2" t="str">
        <f>TRIM(UPPER(Before_Tbl[[#This Row],[Remote_Work]]))</f>
        <v>TRUE</v>
      </c>
    </row>
    <row r="271" spans="1:28" x14ac:dyDescent="0.35">
      <c r="A271" t="s">
        <v>554</v>
      </c>
      <c r="B271" t="s">
        <v>59</v>
      </c>
      <c r="C271" t="s">
        <v>38</v>
      </c>
      <c r="D271">
        <v>25</v>
      </c>
      <c r="E271" t="s">
        <v>74</v>
      </c>
      <c r="F271" t="s">
        <v>16</v>
      </c>
      <c r="G271" s="1">
        <v>44816</v>
      </c>
      <c r="H271">
        <v>94031.77</v>
      </c>
      <c r="I271" t="s">
        <v>61</v>
      </c>
      <c r="J271">
        <v>-4716392822</v>
      </c>
      <c r="K271" t="s">
        <v>23</v>
      </c>
      <c r="L271" t="b">
        <v>1</v>
      </c>
      <c r="P271" t="str">
        <f>TRIM(Before_Tbl[[#This Row],[Employee_ID]])</f>
        <v>EMP1269</v>
      </c>
      <c r="Q271" t="str">
        <f>TRIM(PROPER(Before_Tbl[[#This Row],[First_Name]]))</f>
        <v>David</v>
      </c>
      <c r="R271" t="str">
        <f>TRIM(PROPER(Before_Tbl[[#This Row],[Last_Name]]))</f>
        <v>Williams</v>
      </c>
      <c r="S271" s="25">
        <f t="shared" si="4"/>
        <v>25</v>
      </c>
      <c r="T271" t="str">
        <f>LEFT(Before_Tbl[[#This Row],[Department_Region]],FIND("-",Before_Tbl[[#This Row],[Department_Region]])-1)</f>
        <v>Sales</v>
      </c>
      <c r="U271" t="str">
        <f>RIGHT(Before_Tbl[[#This Row],[Department_Region]],LEN(Before_Tbl[[#This Row],[Department_Region]])-FIND("-",Before_Tbl[[#This Row],[Department_Region]]))</f>
        <v>Florida</v>
      </c>
      <c r="V271" t="str">
        <f>TRIM(PROPER(Before_Tbl[[#This Row],[Status]]))</f>
        <v>Active</v>
      </c>
      <c r="W271" s="26">
        <v>44816</v>
      </c>
      <c r="X271" s="4">
        <v>94031.77</v>
      </c>
      <c r="Y271" t="str">
        <f>TRIM(LOWER(Before_Tbl[[#This Row],[Email]]))</f>
        <v>david.williams@example.com</v>
      </c>
      <c r="Z271" s="2" t="str">
        <f>SUBSTITUTE(Before_Tbl[[#This Row],[Phone]],"-","")</f>
        <v>4716392822</v>
      </c>
      <c r="AA271" t="str">
        <f>TRIM(PROPER(Before_Tbl[[#This Row],[Performance_Score]]))</f>
        <v>Excellent</v>
      </c>
      <c r="AB271" s="2" t="str">
        <f>TRIM(UPPER(Before_Tbl[[#This Row],[Remote_Work]]))</f>
        <v>TRUE</v>
      </c>
    </row>
    <row r="272" spans="1:28" x14ac:dyDescent="0.35">
      <c r="A272" t="s">
        <v>555</v>
      </c>
      <c r="B272" t="s">
        <v>69</v>
      </c>
      <c r="C272" t="s">
        <v>92</v>
      </c>
      <c r="D272">
        <v>30</v>
      </c>
      <c r="E272" t="s">
        <v>56</v>
      </c>
      <c r="F272" t="s">
        <v>16</v>
      </c>
      <c r="G272" t="s">
        <v>512</v>
      </c>
      <c r="H272">
        <v>116374.36</v>
      </c>
      <c r="I272" t="s">
        <v>168</v>
      </c>
      <c r="J272">
        <v>-4143637188</v>
      </c>
      <c r="K272" t="s">
        <v>23</v>
      </c>
      <c r="L272" t="b">
        <v>0</v>
      </c>
      <c r="P272" t="str">
        <f>TRIM(Before_Tbl[[#This Row],[Employee_ID]])</f>
        <v>EMP1270</v>
      </c>
      <c r="Q272" t="str">
        <f>TRIM(PROPER(Before_Tbl[[#This Row],[First_Name]]))</f>
        <v>Grace</v>
      </c>
      <c r="R272" t="str">
        <f>TRIM(PROPER(Before_Tbl[[#This Row],[Last_Name]]))</f>
        <v>Miller</v>
      </c>
      <c r="S272" s="25">
        <f t="shared" si="4"/>
        <v>30</v>
      </c>
      <c r="T272" t="str">
        <f>LEFT(Before_Tbl[[#This Row],[Department_Region]],FIND("-",Before_Tbl[[#This Row],[Department_Region]])-1)</f>
        <v>DevOps</v>
      </c>
      <c r="U272" t="str">
        <f>RIGHT(Before_Tbl[[#This Row],[Department_Region]],LEN(Before_Tbl[[#This Row],[Department_Region]])-FIND("-",Before_Tbl[[#This Row],[Department_Region]]))</f>
        <v>New York</v>
      </c>
      <c r="V272" t="str">
        <f>TRIM(PROPER(Before_Tbl[[#This Row],[Status]]))</f>
        <v>Active</v>
      </c>
      <c r="W272" s="26">
        <v>45003</v>
      </c>
      <c r="X272" s="4">
        <v>116374.36</v>
      </c>
      <c r="Y272" t="str">
        <f>TRIM(LOWER(Before_Tbl[[#This Row],[Email]]))</f>
        <v>grace.miller@example.com</v>
      </c>
      <c r="Z272" s="2" t="str">
        <f>SUBSTITUTE(Before_Tbl[[#This Row],[Phone]],"-","")</f>
        <v>4143637188</v>
      </c>
      <c r="AA272" t="str">
        <f>TRIM(PROPER(Before_Tbl[[#This Row],[Performance_Score]]))</f>
        <v>Excellent</v>
      </c>
      <c r="AB272" s="2" t="str">
        <f>TRIM(UPPER(Before_Tbl[[#This Row],[Remote_Work]]))</f>
        <v>FALSE</v>
      </c>
    </row>
    <row r="273" spans="1:28" x14ac:dyDescent="0.35">
      <c r="A273" t="s">
        <v>556</v>
      </c>
      <c r="B273" t="s">
        <v>25</v>
      </c>
      <c r="C273" t="s">
        <v>43</v>
      </c>
      <c r="D273">
        <v>40</v>
      </c>
      <c r="E273" t="s">
        <v>212</v>
      </c>
      <c r="F273" t="s">
        <v>16</v>
      </c>
      <c r="G273" t="s">
        <v>557</v>
      </c>
      <c r="H273">
        <v>98335.02</v>
      </c>
      <c r="I273" t="s">
        <v>45</v>
      </c>
      <c r="J273">
        <v>-2392312603</v>
      </c>
      <c r="K273" t="s">
        <v>23</v>
      </c>
      <c r="L273" t="b">
        <v>0</v>
      </c>
      <c r="P273" t="str">
        <f>TRIM(Before_Tbl[[#This Row],[Employee_ID]])</f>
        <v>EMP1271</v>
      </c>
      <c r="Q273" t="str">
        <f>TRIM(PROPER(Before_Tbl[[#This Row],[First_Name]]))</f>
        <v>Alice</v>
      </c>
      <c r="R273" t="str">
        <f>TRIM(PROPER(Before_Tbl[[#This Row],[Last_Name]]))</f>
        <v>Garcia</v>
      </c>
      <c r="S273" s="25">
        <f t="shared" si="4"/>
        <v>40</v>
      </c>
      <c r="T273" t="str">
        <f>LEFT(Before_Tbl[[#This Row],[Department_Region]],FIND("-",Before_Tbl[[#This Row],[Department_Region]])-1)</f>
        <v>HR</v>
      </c>
      <c r="U273" t="str">
        <f>RIGHT(Before_Tbl[[#This Row],[Department_Region]],LEN(Before_Tbl[[#This Row],[Department_Region]])-FIND("-",Before_Tbl[[#This Row],[Department_Region]]))</f>
        <v>Florida</v>
      </c>
      <c r="V273" t="str">
        <f>TRIM(PROPER(Before_Tbl[[#This Row],[Status]]))</f>
        <v>Active</v>
      </c>
      <c r="W273" s="26">
        <v>44676</v>
      </c>
      <c r="X273" s="4">
        <v>98335.02</v>
      </c>
      <c r="Y273" t="str">
        <f>TRIM(LOWER(Before_Tbl[[#This Row],[Email]]))</f>
        <v>alice.garcia@example.com</v>
      </c>
      <c r="Z273" s="2" t="str">
        <f>SUBSTITUTE(Before_Tbl[[#This Row],[Phone]],"-","")</f>
        <v>2392312603</v>
      </c>
      <c r="AA273" t="str">
        <f>TRIM(PROPER(Before_Tbl[[#This Row],[Performance_Score]]))</f>
        <v>Excellent</v>
      </c>
      <c r="AB273" s="2" t="str">
        <f>TRIM(UPPER(Before_Tbl[[#This Row],[Remote_Work]]))</f>
        <v>FALSE</v>
      </c>
    </row>
    <row r="274" spans="1:28" x14ac:dyDescent="0.35">
      <c r="A274" t="s">
        <v>558</v>
      </c>
      <c r="B274" t="s">
        <v>65</v>
      </c>
      <c r="C274" t="s">
        <v>43</v>
      </c>
      <c r="D274">
        <v>25</v>
      </c>
      <c r="E274" t="s">
        <v>56</v>
      </c>
      <c r="F274" t="s">
        <v>28</v>
      </c>
      <c r="G274" t="s">
        <v>559</v>
      </c>
      <c r="H274">
        <v>89262.07</v>
      </c>
      <c r="I274" t="s">
        <v>257</v>
      </c>
      <c r="J274">
        <v>-3260931065</v>
      </c>
      <c r="K274" t="s">
        <v>41</v>
      </c>
      <c r="L274" t="b">
        <v>1</v>
      </c>
      <c r="P274" t="str">
        <f>TRIM(Before_Tbl[[#This Row],[Employee_ID]])</f>
        <v>EMP1272</v>
      </c>
      <c r="Q274" t="str">
        <f>TRIM(PROPER(Before_Tbl[[#This Row],[First_Name]]))</f>
        <v>Heidi</v>
      </c>
      <c r="R274" t="str">
        <f>TRIM(PROPER(Before_Tbl[[#This Row],[Last_Name]]))</f>
        <v>Garcia</v>
      </c>
      <c r="S274" s="25">
        <f t="shared" si="4"/>
        <v>25</v>
      </c>
      <c r="T274" t="str">
        <f>LEFT(Before_Tbl[[#This Row],[Department_Region]],FIND("-",Before_Tbl[[#This Row],[Department_Region]])-1)</f>
        <v>DevOps</v>
      </c>
      <c r="U274" t="str">
        <f>RIGHT(Before_Tbl[[#This Row],[Department_Region]],LEN(Before_Tbl[[#This Row],[Department_Region]])-FIND("-",Before_Tbl[[#This Row],[Department_Region]]))</f>
        <v>New York</v>
      </c>
      <c r="V274" t="str">
        <f>TRIM(PROPER(Before_Tbl[[#This Row],[Status]]))</f>
        <v>Pending</v>
      </c>
      <c r="W274" s="26">
        <v>44255</v>
      </c>
      <c r="X274" s="4">
        <v>89262.07</v>
      </c>
      <c r="Y274" t="str">
        <f>TRIM(LOWER(Before_Tbl[[#This Row],[Email]]))</f>
        <v>heidi.garcia@example.com</v>
      </c>
      <c r="Z274" s="2" t="str">
        <f>SUBSTITUTE(Before_Tbl[[#This Row],[Phone]],"-","")</f>
        <v>3260931065</v>
      </c>
      <c r="AA274" t="str">
        <f>TRIM(PROPER(Before_Tbl[[#This Row],[Performance_Score]]))</f>
        <v>Poor</v>
      </c>
      <c r="AB274" s="2" t="str">
        <f>TRIM(UPPER(Before_Tbl[[#This Row],[Remote_Work]]))</f>
        <v>TRUE</v>
      </c>
    </row>
    <row r="275" spans="1:28" x14ac:dyDescent="0.35">
      <c r="A275" t="s">
        <v>560</v>
      </c>
      <c r="B275" t="s">
        <v>65</v>
      </c>
      <c r="C275" t="s">
        <v>43</v>
      </c>
      <c r="E275" t="s">
        <v>70</v>
      </c>
      <c r="F275" t="s">
        <v>16</v>
      </c>
      <c r="G275" t="s">
        <v>561</v>
      </c>
      <c r="H275">
        <v>113848.69</v>
      </c>
      <c r="I275" t="s">
        <v>257</v>
      </c>
      <c r="J275">
        <v>-8433567085</v>
      </c>
      <c r="K275" t="s">
        <v>23</v>
      </c>
      <c r="L275" t="b">
        <v>1</v>
      </c>
      <c r="P275" t="str">
        <f>TRIM(Before_Tbl[[#This Row],[Employee_ID]])</f>
        <v>EMP1273</v>
      </c>
      <c r="Q275" t="str">
        <f>TRIM(PROPER(Before_Tbl[[#This Row],[First_Name]]))</f>
        <v>Heidi</v>
      </c>
      <c r="R275" t="str">
        <f>TRIM(PROPER(Before_Tbl[[#This Row],[Last_Name]]))</f>
        <v>Garcia</v>
      </c>
      <c r="S275" s="25">
        <f t="shared" si="4"/>
        <v>30</v>
      </c>
      <c r="T275" t="str">
        <f>LEFT(Before_Tbl[[#This Row],[Department_Region]],FIND("-",Before_Tbl[[#This Row],[Department_Region]])-1)</f>
        <v>Finance</v>
      </c>
      <c r="U275" t="str">
        <f>RIGHT(Before_Tbl[[#This Row],[Department_Region]],LEN(Before_Tbl[[#This Row],[Department_Region]])-FIND("-",Before_Tbl[[#This Row],[Department_Region]]))</f>
        <v>California</v>
      </c>
      <c r="V275" t="str">
        <f>TRIM(PROPER(Before_Tbl[[#This Row],[Status]]))</f>
        <v>Active</v>
      </c>
      <c r="W275" s="26">
        <v>44772</v>
      </c>
      <c r="X275" s="4">
        <v>113848.69</v>
      </c>
      <c r="Y275" t="str">
        <f>TRIM(LOWER(Before_Tbl[[#This Row],[Email]]))</f>
        <v>heidi.garcia@example.com</v>
      </c>
      <c r="Z275" s="2" t="str">
        <f>SUBSTITUTE(Before_Tbl[[#This Row],[Phone]],"-","")</f>
        <v>8433567085</v>
      </c>
      <c r="AA275" t="str">
        <f>TRIM(PROPER(Before_Tbl[[#This Row],[Performance_Score]]))</f>
        <v>Excellent</v>
      </c>
      <c r="AB275" s="2" t="str">
        <f>TRIM(UPPER(Before_Tbl[[#This Row],[Remote_Work]]))</f>
        <v>TRUE</v>
      </c>
    </row>
    <row r="276" spans="1:28" x14ac:dyDescent="0.35">
      <c r="A276" t="s">
        <v>562</v>
      </c>
      <c r="B276" t="s">
        <v>37</v>
      </c>
      <c r="C276" t="s">
        <v>122</v>
      </c>
      <c r="D276">
        <v>35</v>
      </c>
      <c r="E276" t="s">
        <v>74</v>
      </c>
      <c r="F276" t="s">
        <v>16</v>
      </c>
      <c r="G276" t="s">
        <v>563</v>
      </c>
      <c r="H276">
        <v>69530.45</v>
      </c>
      <c r="I276" t="s">
        <v>137</v>
      </c>
      <c r="J276">
        <v>-414545634</v>
      </c>
      <c r="K276" t="s">
        <v>41</v>
      </c>
      <c r="L276" t="b">
        <v>1</v>
      </c>
      <c r="P276" t="str">
        <f>TRIM(Before_Tbl[[#This Row],[Employee_ID]])</f>
        <v>EMP1274</v>
      </c>
      <c r="Q276" t="str">
        <f>TRIM(PROPER(Before_Tbl[[#This Row],[First_Name]]))</f>
        <v>Frank</v>
      </c>
      <c r="R276" t="str">
        <f>TRIM(PROPER(Before_Tbl[[#This Row],[Last_Name]]))</f>
        <v>Smith</v>
      </c>
      <c r="S276" s="25">
        <f t="shared" si="4"/>
        <v>35</v>
      </c>
      <c r="T276" t="str">
        <f>LEFT(Before_Tbl[[#This Row],[Department_Region]],FIND("-",Before_Tbl[[#This Row],[Department_Region]])-1)</f>
        <v>Sales</v>
      </c>
      <c r="U276" t="str">
        <f>RIGHT(Before_Tbl[[#This Row],[Department_Region]],LEN(Before_Tbl[[#This Row],[Department_Region]])-FIND("-",Before_Tbl[[#This Row],[Department_Region]]))</f>
        <v>Florida</v>
      </c>
      <c r="V276" t="str">
        <f>TRIM(PROPER(Before_Tbl[[#This Row],[Status]]))</f>
        <v>Active</v>
      </c>
      <c r="W276" s="26">
        <v>44335</v>
      </c>
      <c r="X276" s="4">
        <v>69530.45</v>
      </c>
      <c r="Y276" t="str">
        <f>TRIM(LOWER(Before_Tbl[[#This Row],[Email]]))</f>
        <v>frank.smith@example.com</v>
      </c>
      <c r="Z276" s="2" t="str">
        <f>SUBSTITUTE(Before_Tbl[[#This Row],[Phone]],"-","")</f>
        <v>414545634</v>
      </c>
      <c r="AA276" t="str">
        <f>TRIM(PROPER(Before_Tbl[[#This Row],[Performance_Score]]))</f>
        <v>Poor</v>
      </c>
      <c r="AB276" s="2" t="str">
        <f>TRIM(UPPER(Before_Tbl[[#This Row],[Remote_Work]]))</f>
        <v>TRUE</v>
      </c>
    </row>
    <row r="277" spans="1:28" x14ac:dyDescent="0.35">
      <c r="A277" t="s">
        <v>564</v>
      </c>
      <c r="B277" t="s">
        <v>32</v>
      </c>
      <c r="C277" t="s">
        <v>20</v>
      </c>
      <c r="D277">
        <v>35</v>
      </c>
      <c r="E277" t="s">
        <v>56</v>
      </c>
      <c r="F277" t="s">
        <v>28</v>
      </c>
      <c r="G277" t="s">
        <v>565</v>
      </c>
      <c r="H277">
        <v>84230.22</v>
      </c>
      <c r="I277" t="s">
        <v>155</v>
      </c>
      <c r="J277">
        <v>-200053473</v>
      </c>
      <c r="K277" t="s">
        <v>30</v>
      </c>
      <c r="L277" t="b">
        <v>1</v>
      </c>
      <c r="P277" t="str">
        <f>TRIM(Before_Tbl[[#This Row],[Employee_ID]])</f>
        <v>EMP1275</v>
      </c>
      <c r="Q277" t="str">
        <f>TRIM(PROPER(Before_Tbl[[#This Row],[First_Name]]))</f>
        <v>Eva</v>
      </c>
      <c r="R277" t="str">
        <f>TRIM(PROPER(Before_Tbl[[#This Row],[Last_Name]]))</f>
        <v>Brown</v>
      </c>
      <c r="S277" s="25">
        <f t="shared" si="4"/>
        <v>35</v>
      </c>
      <c r="T277" t="str">
        <f>LEFT(Before_Tbl[[#This Row],[Department_Region]],FIND("-",Before_Tbl[[#This Row],[Department_Region]])-1)</f>
        <v>DevOps</v>
      </c>
      <c r="U277" t="str">
        <f>RIGHT(Before_Tbl[[#This Row],[Department_Region]],LEN(Before_Tbl[[#This Row],[Department_Region]])-FIND("-",Before_Tbl[[#This Row],[Department_Region]]))</f>
        <v>New York</v>
      </c>
      <c r="V277" t="str">
        <f>TRIM(PROPER(Before_Tbl[[#This Row],[Status]]))</f>
        <v>Pending</v>
      </c>
      <c r="W277" s="26">
        <v>45274</v>
      </c>
      <c r="X277" s="4">
        <v>84230.22</v>
      </c>
      <c r="Y277" t="str">
        <f>TRIM(LOWER(Before_Tbl[[#This Row],[Email]]))</f>
        <v>eva.brown@example.com</v>
      </c>
      <c r="Z277" s="2" t="str">
        <f>SUBSTITUTE(Before_Tbl[[#This Row],[Phone]],"-","")</f>
        <v>200053473</v>
      </c>
      <c r="AA277" t="str">
        <f>TRIM(PROPER(Before_Tbl[[#This Row],[Performance_Score]]))</f>
        <v>Good</v>
      </c>
      <c r="AB277" s="2" t="str">
        <f>TRIM(UPPER(Before_Tbl[[#This Row],[Remote_Work]]))</f>
        <v>TRUE</v>
      </c>
    </row>
    <row r="278" spans="1:28" x14ac:dyDescent="0.35">
      <c r="A278" t="s">
        <v>566</v>
      </c>
      <c r="B278" t="s">
        <v>32</v>
      </c>
      <c r="C278" t="s">
        <v>122</v>
      </c>
      <c r="D278">
        <v>35</v>
      </c>
      <c r="E278" t="s">
        <v>95</v>
      </c>
      <c r="F278" t="s">
        <v>28</v>
      </c>
      <c r="G278" t="s">
        <v>567</v>
      </c>
      <c r="H278">
        <v>76578.59</v>
      </c>
      <c r="I278" t="s">
        <v>522</v>
      </c>
      <c r="J278">
        <v>-9162475540</v>
      </c>
      <c r="K278" t="s">
        <v>18</v>
      </c>
      <c r="L278" t="b">
        <v>0</v>
      </c>
      <c r="P278" t="str">
        <f>TRIM(Before_Tbl[[#This Row],[Employee_ID]])</f>
        <v>EMP1276</v>
      </c>
      <c r="Q278" t="str">
        <f>TRIM(PROPER(Before_Tbl[[#This Row],[First_Name]]))</f>
        <v>Eva</v>
      </c>
      <c r="R278" t="str">
        <f>TRIM(PROPER(Before_Tbl[[#This Row],[Last_Name]]))</f>
        <v>Smith</v>
      </c>
      <c r="S278" s="25">
        <f t="shared" si="4"/>
        <v>35</v>
      </c>
      <c r="T278" t="str">
        <f>LEFT(Before_Tbl[[#This Row],[Department_Region]],FIND("-",Before_Tbl[[#This Row],[Department_Region]])-1)</f>
        <v>Cloud Tech</v>
      </c>
      <c r="U278" t="str">
        <f>RIGHT(Before_Tbl[[#This Row],[Department_Region]],LEN(Before_Tbl[[#This Row],[Department_Region]])-FIND("-",Before_Tbl[[#This Row],[Department_Region]]))</f>
        <v>Illinois</v>
      </c>
      <c r="V278" t="str">
        <f>TRIM(PROPER(Before_Tbl[[#This Row],[Status]]))</f>
        <v>Pending</v>
      </c>
      <c r="W278" s="26">
        <v>44943</v>
      </c>
      <c r="X278" s="4">
        <v>76578.59</v>
      </c>
      <c r="Y278" t="str">
        <f>TRIM(LOWER(Before_Tbl[[#This Row],[Email]]))</f>
        <v>eva.smith@example.com</v>
      </c>
      <c r="Z278" s="2" t="str">
        <f>SUBSTITUTE(Before_Tbl[[#This Row],[Phone]],"-","")</f>
        <v>9162475540</v>
      </c>
      <c r="AA278" t="str">
        <f>TRIM(PROPER(Before_Tbl[[#This Row],[Performance_Score]]))</f>
        <v>Average</v>
      </c>
      <c r="AB278" s="2" t="str">
        <f>TRIM(UPPER(Before_Tbl[[#This Row],[Remote_Work]]))</f>
        <v>FALSE</v>
      </c>
    </row>
    <row r="279" spans="1:28" x14ac:dyDescent="0.35">
      <c r="A279" t="s">
        <v>568</v>
      </c>
      <c r="B279" t="s">
        <v>37</v>
      </c>
      <c r="C279" t="s">
        <v>92</v>
      </c>
      <c r="D279">
        <v>30</v>
      </c>
      <c r="E279" t="s">
        <v>139</v>
      </c>
      <c r="F279" t="s">
        <v>33</v>
      </c>
      <c r="G279" s="1">
        <v>45323</v>
      </c>
      <c r="H279">
        <v>55532.06</v>
      </c>
      <c r="I279" t="s">
        <v>110</v>
      </c>
      <c r="J279">
        <v>-1082555988</v>
      </c>
      <c r="K279" t="s">
        <v>23</v>
      </c>
      <c r="L279" t="b">
        <v>1</v>
      </c>
      <c r="P279" t="str">
        <f>TRIM(Before_Tbl[[#This Row],[Employee_ID]])</f>
        <v>EMP1277</v>
      </c>
      <c r="Q279" t="str">
        <f>TRIM(PROPER(Before_Tbl[[#This Row],[First_Name]]))</f>
        <v>Frank</v>
      </c>
      <c r="R279" t="str">
        <f>TRIM(PROPER(Before_Tbl[[#This Row],[Last_Name]]))</f>
        <v>Miller</v>
      </c>
      <c r="S279" s="25">
        <f t="shared" si="4"/>
        <v>30</v>
      </c>
      <c r="T279" t="str">
        <f>LEFT(Before_Tbl[[#This Row],[Department_Region]],FIND("-",Before_Tbl[[#This Row],[Department_Region]])-1)</f>
        <v>HR</v>
      </c>
      <c r="U279" t="str">
        <f>RIGHT(Before_Tbl[[#This Row],[Department_Region]],LEN(Before_Tbl[[#This Row],[Department_Region]])-FIND("-",Before_Tbl[[#This Row],[Department_Region]]))</f>
        <v>Texas</v>
      </c>
      <c r="V279" t="str">
        <f>TRIM(PROPER(Before_Tbl[[#This Row],[Status]]))</f>
        <v>Inactive</v>
      </c>
      <c r="W279" s="26">
        <v>45323</v>
      </c>
      <c r="X279" s="4">
        <v>55532.06</v>
      </c>
      <c r="Y279" t="str">
        <f>TRIM(LOWER(Before_Tbl[[#This Row],[Email]]))</f>
        <v>frank.miller@example.com</v>
      </c>
      <c r="Z279" s="2" t="str">
        <f>SUBSTITUTE(Before_Tbl[[#This Row],[Phone]],"-","")</f>
        <v>1082555988</v>
      </c>
      <c r="AA279" t="str">
        <f>TRIM(PROPER(Before_Tbl[[#This Row],[Performance_Score]]))</f>
        <v>Excellent</v>
      </c>
      <c r="AB279" s="2" t="str">
        <f>TRIM(UPPER(Before_Tbl[[#This Row],[Remote_Work]]))</f>
        <v>TRUE</v>
      </c>
    </row>
    <row r="280" spans="1:28" x14ac:dyDescent="0.35">
      <c r="A280" t="s">
        <v>569</v>
      </c>
      <c r="B280" t="s">
        <v>32</v>
      </c>
      <c r="C280" t="s">
        <v>122</v>
      </c>
      <c r="D280">
        <v>40</v>
      </c>
      <c r="E280" t="s">
        <v>196</v>
      </c>
      <c r="F280" t="s">
        <v>28</v>
      </c>
      <c r="G280" s="1">
        <v>44446</v>
      </c>
      <c r="H280">
        <v>115311.67999999999</v>
      </c>
      <c r="I280" t="s">
        <v>522</v>
      </c>
      <c r="J280">
        <v>-5343961128</v>
      </c>
      <c r="K280" t="s">
        <v>23</v>
      </c>
      <c r="L280" t="b">
        <v>1</v>
      </c>
      <c r="P280" t="str">
        <f>TRIM(Before_Tbl[[#This Row],[Employee_ID]])</f>
        <v>EMP1278</v>
      </c>
      <c r="Q280" t="str">
        <f>TRIM(PROPER(Before_Tbl[[#This Row],[First_Name]]))</f>
        <v>Eva</v>
      </c>
      <c r="R280" t="str">
        <f>TRIM(PROPER(Before_Tbl[[#This Row],[Last_Name]]))</f>
        <v>Smith</v>
      </c>
      <c r="S280" s="25">
        <f t="shared" si="4"/>
        <v>40</v>
      </c>
      <c r="T280" t="str">
        <f>LEFT(Before_Tbl[[#This Row],[Department_Region]],FIND("-",Before_Tbl[[#This Row],[Department_Region]])-1)</f>
        <v>Admin</v>
      </c>
      <c r="U280" t="str">
        <f>RIGHT(Before_Tbl[[#This Row],[Department_Region]],LEN(Before_Tbl[[#This Row],[Department_Region]])-FIND("-",Before_Tbl[[#This Row],[Department_Region]]))</f>
        <v>New York</v>
      </c>
      <c r="V280" t="str">
        <f>TRIM(PROPER(Before_Tbl[[#This Row],[Status]]))</f>
        <v>Pending</v>
      </c>
      <c r="W280" s="26">
        <v>44446</v>
      </c>
      <c r="X280" s="4">
        <v>115311.67999999999</v>
      </c>
      <c r="Y280" t="str">
        <f>TRIM(LOWER(Before_Tbl[[#This Row],[Email]]))</f>
        <v>eva.smith@example.com</v>
      </c>
      <c r="Z280" s="2" t="str">
        <f>SUBSTITUTE(Before_Tbl[[#This Row],[Phone]],"-","")</f>
        <v>5343961128</v>
      </c>
      <c r="AA280" t="str">
        <f>TRIM(PROPER(Before_Tbl[[#This Row],[Performance_Score]]))</f>
        <v>Excellent</v>
      </c>
      <c r="AB280" s="2" t="str">
        <f>TRIM(UPPER(Before_Tbl[[#This Row],[Remote_Work]]))</f>
        <v>TRUE</v>
      </c>
    </row>
    <row r="281" spans="1:28" x14ac:dyDescent="0.35">
      <c r="A281" t="s">
        <v>570</v>
      </c>
      <c r="B281" t="s">
        <v>54</v>
      </c>
      <c r="C281" t="s">
        <v>55</v>
      </c>
      <c r="D281">
        <v>25</v>
      </c>
      <c r="E281" t="s">
        <v>219</v>
      </c>
      <c r="F281" t="s">
        <v>28</v>
      </c>
      <c r="G281" s="1">
        <v>44321</v>
      </c>
      <c r="H281">
        <v>66972.06</v>
      </c>
      <c r="I281" t="s">
        <v>57</v>
      </c>
      <c r="J281">
        <v>-1093371188</v>
      </c>
      <c r="K281" t="s">
        <v>30</v>
      </c>
      <c r="L281" t="b">
        <v>1</v>
      </c>
      <c r="P281" t="str">
        <f>TRIM(Before_Tbl[[#This Row],[Employee_ID]])</f>
        <v>EMP1279</v>
      </c>
      <c r="Q281" t="str">
        <f>TRIM(PROPER(Before_Tbl[[#This Row],[First_Name]]))</f>
        <v>Charlie</v>
      </c>
      <c r="R281" t="str">
        <f>TRIM(PROPER(Before_Tbl[[#This Row],[Last_Name]]))</f>
        <v>Johnson</v>
      </c>
      <c r="S281" s="25">
        <f t="shared" si="4"/>
        <v>25</v>
      </c>
      <c r="T281" t="str">
        <f>LEFT(Before_Tbl[[#This Row],[Department_Region]],FIND("-",Before_Tbl[[#This Row],[Department_Region]])-1)</f>
        <v>Sales</v>
      </c>
      <c r="U281" t="str">
        <f>RIGHT(Before_Tbl[[#This Row],[Department_Region]],LEN(Before_Tbl[[#This Row],[Department_Region]])-FIND("-",Before_Tbl[[#This Row],[Department_Region]]))</f>
        <v>Nevada</v>
      </c>
      <c r="V281" t="str">
        <f>TRIM(PROPER(Before_Tbl[[#This Row],[Status]]))</f>
        <v>Pending</v>
      </c>
      <c r="W281" s="26">
        <v>44321</v>
      </c>
      <c r="X281" s="4">
        <v>66972.06</v>
      </c>
      <c r="Y281" t="str">
        <f>TRIM(LOWER(Before_Tbl[[#This Row],[Email]]))</f>
        <v>charlie.johnson@example.com</v>
      </c>
      <c r="Z281" s="2" t="str">
        <f>SUBSTITUTE(Before_Tbl[[#This Row],[Phone]],"-","")</f>
        <v>1093371188</v>
      </c>
      <c r="AA281" t="str">
        <f>TRIM(PROPER(Before_Tbl[[#This Row],[Performance_Score]]))</f>
        <v>Good</v>
      </c>
      <c r="AB281" s="2" t="str">
        <f>TRIM(UPPER(Before_Tbl[[#This Row],[Remote_Work]]))</f>
        <v>TRUE</v>
      </c>
    </row>
    <row r="282" spans="1:28" x14ac:dyDescent="0.35">
      <c r="A282" t="s">
        <v>571</v>
      </c>
      <c r="B282" t="s">
        <v>59</v>
      </c>
      <c r="C282" t="s">
        <v>20</v>
      </c>
      <c r="D282">
        <v>30</v>
      </c>
      <c r="E282" t="s">
        <v>159</v>
      </c>
      <c r="F282" t="s">
        <v>33</v>
      </c>
      <c r="G282" s="1">
        <v>44388</v>
      </c>
      <c r="H282">
        <v>100215.06</v>
      </c>
      <c r="I282" t="s">
        <v>225</v>
      </c>
      <c r="J282">
        <v>-5473820235</v>
      </c>
      <c r="K282" t="s">
        <v>18</v>
      </c>
      <c r="L282" t="b">
        <v>1</v>
      </c>
      <c r="P282" t="str">
        <f>TRIM(Before_Tbl[[#This Row],[Employee_ID]])</f>
        <v>EMP1280</v>
      </c>
      <c r="Q282" t="str">
        <f>TRIM(PROPER(Before_Tbl[[#This Row],[First_Name]]))</f>
        <v>David</v>
      </c>
      <c r="R282" t="str">
        <f>TRIM(PROPER(Before_Tbl[[#This Row],[Last_Name]]))</f>
        <v>Brown</v>
      </c>
      <c r="S282" s="25">
        <f t="shared" si="4"/>
        <v>30</v>
      </c>
      <c r="T282" t="str">
        <f>LEFT(Before_Tbl[[#This Row],[Department_Region]],FIND("-",Before_Tbl[[#This Row],[Department_Region]])-1)</f>
        <v>Cloud Tech</v>
      </c>
      <c r="U282" t="str">
        <f>RIGHT(Before_Tbl[[#This Row],[Department_Region]],LEN(Before_Tbl[[#This Row],[Department_Region]])-FIND("-",Before_Tbl[[#This Row],[Department_Region]]))</f>
        <v>Texas</v>
      </c>
      <c r="V282" t="str">
        <f>TRIM(PROPER(Before_Tbl[[#This Row],[Status]]))</f>
        <v>Inactive</v>
      </c>
      <c r="W282" s="26">
        <v>44388</v>
      </c>
      <c r="X282" s="4">
        <v>100215.06</v>
      </c>
      <c r="Y282" t="str">
        <f>TRIM(LOWER(Before_Tbl[[#This Row],[Email]]))</f>
        <v>david.brown@example.com</v>
      </c>
      <c r="Z282" s="2" t="str">
        <f>SUBSTITUTE(Before_Tbl[[#This Row],[Phone]],"-","")</f>
        <v>5473820235</v>
      </c>
      <c r="AA282" t="str">
        <f>TRIM(PROPER(Before_Tbl[[#This Row],[Performance_Score]]))</f>
        <v>Average</v>
      </c>
      <c r="AB282" s="2" t="str">
        <f>TRIM(UPPER(Before_Tbl[[#This Row],[Remote_Work]]))</f>
        <v>TRUE</v>
      </c>
    </row>
    <row r="283" spans="1:28" x14ac:dyDescent="0.35">
      <c r="A283" t="s">
        <v>572</v>
      </c>
      <c r="B283" t="s">
        <v>54</v>
      </c>
      <c r="C283" t="s">
        <v>20</v>
      </c>
      <c r="D283">
        <v>25</v>
      </c>
      <c r="E283" t="s">
        <v>109</v>
      </c>
      <c r="F283" t="s">
        <v>33</v>
      </c>
      <c r="G283" t="s">
        <v>573</v>
      </c>
      <c r="H283">
        <v>115452.25</v>
      </c>
      <c r="I283" t="s">
        <v>125</v>
      </c>
      <c r="J283">
        <v>-8485571616</v>
      </c>
      <c r="K283" t="s">
        <v>41</v>
      </c>
      <c r="L283" t="b">
        <v>0</v>
      </c>
      <c r="P283" t="str">
        <f>TRIM(Before_Tbl[[#This Row],[Employee_ID]])</f>
        <v>EMP1281</v>
      </c>
      <c r="Q283" t="str">
        <f>TRIM(PROPER(Before_Tbl[[#This Row],[First_Name]]))</f>
        <v>Charlie</v>
      </c>
      <c r="R283" t="str">
        <f>TRIM(PROPER(Before_Tbl[[#This Row],[Last_Name]]))</f>
        <v>Brown</v>
      </c>
      <c r="S283" s="25">
        <f t="shared" si="4"/>
        <v>25</v>
      </c>
      <c r="T283" t="str">
        <f>LEFT(Before_Tbl[[#This Row],[Department_Region]],FIND("-",Before_Tbl[[#This Row],[Department_Region]])-1)</f>
        <v>Sales</v>
      </c>
      <c r="U283" t="str">
        <f>RIGHT(Before_Tbl[[#This Row],[Department_Region]],LEN(Before_Tbl[[#This Row],[Department_Region]])-FIND("-",Before_Tbl[[#This Row],[Department_Region]]))</f>
        <v>New York</v>
      </c>
      <c r="V283" t="str">
        <f>TRIM(PROPER(Before_Tbl[[#This Row],[Status]]))</f>
        <v>Inactive</v>
      </c>
      <c r="W283" s="26">
        <v>45168</v>
      </c>
      <c r="X283" s="4">
        <v>115452.25</v>
      </c>
      <c r="Y283" t="str">
        <f>TRIM(LOWER(Before_Tbl[[#This Row],[Email]]))</f>
        <v>charlie.brown@example.com</v>
      </c>
      <c r="Z283" s="2" t="str">
        <f>SUBSTITUTE(Before_Tbl[[#This Row],[Phone]],"-","")</f>
        <v>8485571616</v>
      </c>
      <c r="AA283" t="str">
        <f>TRIM(PROPER(Before_Tbl[[#This Row],[Performance_Score]]))</f>
        <v>Poor</v>
      </c>
      <c r="AB283" s="2" t="str">
        <f>TRIM(UPPER(Before_Tbl[[#This Row],[Remote_Work]]))</f>
        <v>FALSE</v>
      </c>
    </row>
    <row r="284" spans="1:28" x14ac:dyDescent="0.35">
      <c r="A284" t="s">
        <v>574</v>
      </c>
      <c r="B284" t="s">
        <v>65</v>
      </c>
      <c r="C284" t="s">
        <v>92</v>
      </c>
      <c r="D284">
        <v>30</v>
      </c>
      <c r="E284" t="s">
        <v>146</v>
      </c>
      <c r="F284" t="s">
        <v>33</v>
      </c>
      <c r="G284" t="s">
        <v>575</v>
      </c>
      <c r="H284">
        <v>54141.38</v>
      </c>
      <c r="I284" t="s">
        <v>130</v>
      </c>
      <c r="J284">
        <v>-6880294239</v>
      </c>
      <c r="K284" t="s">
        <v>18</v>
      </c>
      <c r="L284" t="b">
        <v>0</v>
      </c>
      <c r="P284" t="str">
        <f>TRIM(Before_Tbl[[#This Row],[Employee_ID]])</f>
        <v>EMP1282</v>
      </c>
      <c r="Q284" t="str">
        <f>TRIM(PROPER(Before_Tbl[[#This Row],[First_Name]]))</f>
        <v>Heidi</v>
      </c>
      <c r="R284" t="str">
        <f>TRIM(PROPER(Before_Tbl[[#This Row],[Last_Name]]))</f>
        <v>Miller</v>
      </c>
      <c r="S284" s="25">
        <f t="shared" si="4"/>
        <v>30</v>
      </c>
      <c r="T284" t="str">
        <f>LEFT(Before_Tbl[[#This Row],[Department_Region]],FIND("-",Before_Tbl[[#This Row],[Department_Region]])-1)</f>
        <v>HR</v>
      </c>
      <c r="U284" t="str">
        <f>RIGHT(Before_Tbl[[#This Row],[Department_Region]],LEN(Before_Tbl[[#This Row],[Department_Region]])-FIND("-",Before_Tbl[[#This Row],[Department_Region]]))</f>
        <v>California</v>
      </c>
      <c r="V284" t="str">
        <f>TRIM(PROPER(Before_Tbl[[#This Row],[Status]]))</f>
        <v>Inactive</v>
      </c>
      <c r="W284" s="26">
        <v>45153</v>
      </c>
      <c r="X284" s="4">
        <v>54141.38</v>
      </c>
      <c r="Y284" t="str">
        <f>TRIM(LOWER(Before_Tbl[[#This Row],[Email]]))</f>
        <v>heidi.miller@example.com</v>
      </c>
      <c r="Z284" s="2" t="str">
        <f>SUBSTITUTE(Before_Tbl[[#This Row],[Phone]],"-","")</f>
        <v>6880294239</v>
      </c>
      <c r="AA284" t="str">
        <f>TRIM(PROPER(Before_Tbl[[#This Row],[Performance_Score]]))</f>
        <v>Average</v>
      </c>
      <c r="AB284" s="2" t="str">
        <f>TRIM(UPPER(Before_Tbl[[#This Row],[Remote_Work]]))</f>
        <v>FALSE</v>
      </c>
    </row>
    <row r="285" spans="1:28" x14ac:dyDescent="0.35">
      <c r="A285" t="s">
        <v>576</v>
      </c>
      <c r="B285" t="s">
        <v>59</v>
      </c>
      <c r="C285" t="s">
        <v>14</v>
      </c>
      <c r="E285" t="s">
        <v>329</v>
      </c>
      <c r="F285" t="s">
        <v>16</v>
      </c>
      <c r="G285" t="s">
        <v>577</v>
      </c>
      <c r="H285">
        <v>79251.95</v>
      </c>
      <c r="I285" t="s">
        <v>63</v>
      </c>
      <c r="J285">
        <v>-9036788126</v>
      </c>
      <c r="K285" t="s">
        <v>30</v>
      </c>
      <c r="L285" t="b">
        <v>0</v>
      </c>
      <c r="P285" t="str">
        <f>TRIM(Before_Tbl[[#This Row],[Employee_ID]])</f>
        <v>EMP1283</v>
      </c>
      <c r="Q285" t="str">
        <f>TRIM(PROPER(Before_Tbl[[#This Row],[First_Name]]))</f>
        <v>David</v>
      </c>
      <c r="R285" t="str">
        <f>TRIM(PROPER(Before_Tbl[[#This Row],[Last_Name]]))</f>
        <v>Davis</v>
      </c>
      <c r="S285" s="25">
        <f t="shared" si="4"/>
        <v>30</v>
      </c>
      <c r="T285" t="str">
        <f>LEFT(Before_Tbl[[#This Row],[Department_Region]],FIND("-",Before_Tbl[[#This Row],[Department_Region]])-1)</f>
        <v>DevOps</v>
      </c>
      <c r="U285" t="str">
        <f>RIGHT(Before_Tbl[[#This Row],[Department_Region]],LEN(Before_Tbl[[#This Row],[Department_Region]])-FIND("-",Before_Tbl[[#This Row],[Department_Region]]))</f>
        <v>Nevada</v>
      </c>
      <c r="V285" t="str">
        <f>TRIM(PROPER(Before_Tbl[[#This Row],[Status]]))</f>
        <v>Active</v>
      </c>
      <c r="W285" s="26">
        <v>44189</v>
      </c>
      <c r="X285" s="4">
        <v>79251.95</v>
      </c>
      <c r="Y285" t="str">
        <f>TRIM(LOWER(Before_Tbl[[#This Row],[Email]]))</f>
        <v>david.davis@example.com</v>
      </c>
      <c r="Z285" s="2" t="str">
        <f>SUBSTITUTE(Before_Tbl[[#This Row],[Phone]],"-","")</f>
        <v>9036788126</v>
      </c>
      <c r="AA285" t="str">
        <f>TRIM(PROPER(Before_Tbl[[#This Row],[Performance_Score]]))</f>
        <v>Good</v>
      </c>
      <c r="AB285" s="2" t="str">
        <f>TRIM(UPPER(Before_Tbl[[#This Row],[Remote_Work]]))</f>
        <v>FALSE</v>
      </c>
    </row>
    <row r="286" spans="1:28" x14ac:dyDescent="0.35">
      <c r="A286" t="s">
        <v>578</v>
      </c>
      <c r="B286" t="s">
        <v>25</v>
      </c>
      <c r="C286" t="s">
        <v>55</v>
      </c>
      <c r="D286">
        <v>40</v>
      </c>
      <c r="E286" t="s">
        <v>227</v>
      </c>
      <c r="F286" t="s">
        <v>28</v>
      </c>
      <c r="G286" t="s">
        <v>579</v>
      </c>
      <c r="H286">
        <v>114822.78</v>
      </c>
      <c r="I286" t="s">
        <v>150</v>
      </c>
      <c r="J286">
        <v>-8686694319</v>
      </c>
      <c r="K286" t="s">
        <v>30</v>
      </c>
      <c r="L286" t="b">
        <v>1</v>
      </c>
      <c r="P286" t="str">
        <f>TRIM(Before_Tbl[[#This Row],[Employee_ID]])</f>
        <v>EMP1284</v>
      </c>
      <c r="Q286" t="str">
        <f>TRIM(PROPER(Before_Tbl[[#This Row],[First_Name]]))</f>
        <v>Alice</v>
      </c>
      <c r="R286" t="str">
        <f>TRIM(PROPER(Before_Tbl[[#This Row],[Last_Name]]))</f>
        <v>Johnson</v>
      </c>
      <c r="S286" s="25">
        <f t="shared" si="4"/>
        <v>40</v>
      </c>
      <c r="T286" t="str">
        <f>LEFT(Before_Tbl[[#This Row],[Department_Region]],FIND("-",Before_Tbl[[#This Row],[Department_Region]])-1)</f>
        <v>Finance</v>
      </c>
      <c r="U286" t="str">
        <f>RIGHT(Before_Tbl[[#This Row],[Department_Region]],LEN(Before_Tbl[[#This Row],[Department_Region]])-FIND("-",Before_Tbl[[#This Row],[Department_Region]]))</f>
        <v>New York</v>
      </c>
      <c r="V286" t="str">
        <f>TRIM(PROPER(Before_Tbl[[#This Row],[Status]]))</f>
        <v>Pending</v>
      </c>
      <c r="W286" s="26">
        <v>45617</v>
      </c>
      <c r="X286" s="4">
        <v>114822.78</v>
      </c>
      <c r="Y286" t="str">
        <f>TRIM(LOWER(Before_Tbl[[#This Row],[Email]]))</f>
        <v>alice.johnson@example.com</v>
      </c>
      <c r="Z286" s="2" t="str">
        <f>SUBSTITUTE(Before_Tbl[[#This Row],[Phone]],"-","")</f>
        <v>8686694319</v>
      </c>
      <c r="AA286" t="str">
        <f>TRIM(PROPER(Before_Tbl[[#This Row],[Performance_Score]]))</f>
        <v>Good</v>
      </c>
      <c r="AB286" s="2" t="str">
        <f>TRIM(UPPER(Before_Tbl[[#This Row],[Remote_Work]]))</f>
        <v>TRUE</v>
      </c>
    </row>
    <row r="287" spans="1:28" x14ac:dyDescent="0.35">
      <c r="A287" t="s">
        <v>580</v>
      </c>
      <c r="B287" t="s">
        <v>25</v>
      </c>
      <c r="C287" t="s">
        <v>38</v>
      </c>
      <c r="D287">
        <v>35</v>
      </c>
      <c r="E287" t="s">
        <v>98</v>
      </c>
      <c r="F287" t="s">
        <v>16</v>
      </c>
      <c r="G287" t="s">
        <v>581</v>
      </c>
      <c r="H287">
        <v>69919.320000000007</v>
      </c>
      <c r="I287" t="s">
        <v>363</v>
      </c>
      <c r="J287">
        <v>-2939087883</v>
      </c>
      <c r="K287" t="s">
        <v>18</v>
      </c>
      <c r="L287" t="b">
        <v>1</v>
      </c>
      <c r="P287" t="str">
        <f>TRIM(Before_Tbl[[#This Row],[Employee_ID]])</f>
        <v>EMP1285</v>
      </c>
      <c r="Q287" t="str">
        <f>TRIM(PROPER(Before_Tbl[[#This Row],[First_Name]]))</f>
        <v>Alice</v>
      </c>
      <c r="R287" t="str">
        <f>TRIM(PROPER(Before_Tbl[[#This Row],[Last_Name]]))</f>
        <v>Williams</v>
      </c>
      <c r="S287" s="25">
        <f t="shared" si="4"/>
        <v>35</v>
      </c>
      <c r="T287" t="str">
        <f>LEFT(Before_Tbl[[#This Row],[Department_Region]],FIND("-",Before_Tbl[[#This Row],[Department_Region]])-1)</f>
        <v>Sales</v>
      </c>
      <c r="U287" t="str">
        <f>RIGHT(Before_Tbl[[#This Row],[Department_Region]],LEN(Before_Tbl[[#This Row],[Department_Region]])-FIND("-",Before_Tbl[[#This Row],[Department_Region]]))</f>
        <v>Illinois</v>
      </c>
      <c r="V287" t="str">
        <f>TRIM(PROPER(Before_Tbl[[#This Row],[Status]]))</f>
        <v>Active</v>
      </c>
      <c r="W287" s="26">
        <v>44517</v>
      </c>
      <c r="X287" s="4">
        <v>69919.320000000007</v>
      </c>
      <c r="Y287" t="str">
        <f>TRIM(LOWER(Before_Tbl[[#This Row],[Email]]))</f>
        <v>alice.williams@example.com</v>
      </c>
      <c r="Z287" s="2" t="str">
        <f>SUBSTITUTE(Before_Tbl[[#This Row],[Phone]],"-","")</f>
        <v>2939087883</v>
      </c>
      <c r="AA287" t="str">
        <f>TRIM(PROPER(Before_Tbl[[#This Row],[Performance_Score]]))</f>
        <v>Average</v>
      </c>
      <c r="AB287" s="2" t="str">
        <f>TRIM(UPPER(Before_Tbl[[#This Row],[Remote_Work]]))</f>
        <v>TRUE</v>
      </c>
    </row>
    <row r="288" spans="1:28" x14ac:dyDescent="0.35">
      <c r="A288" t="s">
        <v>582</v>
      </c>
      <c r="B288" t="s">
        <v>65</v>
      </c>
      <c r="C288" t="s">
        <v>122</v>
      </c>
      <c r="D288">
        <v>30</v>
      </c>
      <c r="E288" t="s">
        <v>74</v>
      </c>
      <c r="F288" t="s">
        <v>33</v>
      </c>
      <c r="G288" t="s">
        <v>583</v>
      </c>
      <c r="H288">
        <v>106616.97</v>
      </c>
      <c r="I288" t="s">
        <v>367</v>
      </c>
      <c r="J288">
        <v>-4344812307</v>
      </c>
      <c r="K288" t="s">
        <v>41</v>
      </c>
      <c r="L288" t="b">
        <v>0</v>
      </c>
      <c r="P288" t="str">
        <f>TRIM(Before_Tbl[[#This Row],[Employee_ID]])</f>
        <v>EMP1286</v>
      </c>
      <c r="Q288" t="str">
        <f>TRIM(PROPER(Before_Tbl[[#This Row],[First_Name]]))</f>
        <v>Heidi</v>
      </c>
      <c r="R288" t="str">
        <f>TRIM(PROPER(Before_Tbl[[#This Row],[Last_Name]]))</f>
        <v>Smith</v>
      </c>
      <c r="S288" s="25">
        <f t="shared" si="4"/>
        <v>30</v>
      </c>
      <c r="T288" t="str">
        <f>LEFT(Before_Tbl[[#This Row],[Department_Region]],FIND("-",Before_Tbl[[#This Row],[Department_Region]])-1)</f>
        <v>Sales</v>
      </c>
      <c r="U288" t="str">
        <f>RIGHT(Before_Tbl[[#This Row],[Department_Region]],LEN(Before_Tbl[[#This Row],[Department_Region]])-FIND("-",Before_Tbl[[#This Row],[Department_Region]]))</f>
        <v>Florida</v>
      </c>
      <c r="V288" t="str">
        <f>TRIM(PROPER(Before_Tbl[[#This Row],[Status]]))</f>
        <v>Inactive</v>
      </c>
      <c r="W288" s="26">
        <v>44225</v>
      </c>
      <c r="X288" s="4">
        <v>106616.97</v>
      </c>
      <c r="Y288" t="str">
        <f>TRIM(LOWER(Before_Tbl[[#This Row],[Email]]))</f>
        <v>heidi.smith@example.com</v>
      </c>
      <c r="Z288" s="2" t="str">
        <f>SUBSTITUTE(Before_Tbl[[#This Row],[Phone]],"-","")</f>
        <v>4344812307</v>
      </c>
      <c r="AA288" t="str">
        <f>TRIM(PROPER(Before_Tbl[[#This Row],[Performance_Score]]))</f>
        <v>Poor</v>
      </c>
      <c r="AB288" s="2" t="str">
        <f>TRIM(UPPER(Before_Tbl[[#This Row],[Remote_Work]]))</f>
        <v>FALSE</v>
      </c>
    </row>
    <row r="289" spans="1:28" x14ac:dyDescent="0.35">
      <c r="A289" t="s">
        <v>584</v>
      </c>
      <c r="B289" t="s">
        <v>65</v>
      </c>
      <c r="C289" t="s">
        <v>26</v>
      </c>
      <c r="D289">
        <v>35</v>
      </c>
      <c r="E289" t="s">
        <v>56</v>
      </c>
      <c r="F289" t="s">
        <v>16</v>
      </c>
      <c r="G289" t="s">
        <v>585</v>
      </c>
      <c r="H289">
        <v>73597.850000000006</v>
      </c>
      <c r="I289" t="s">
        <v>320</v>
      </c>
      <c r="J289">
        <v>-3402424032</v>
      </c>
      <c r="K289" t="s">
        <v>41</v>
      </c>
      <c r="L289" t="b">
        <v>1</v>
      </c>
      <c r="P289" t="str">
        <f>TRIM(Before_Tbl[[#This Row],[Employee_ID]])</f>
        <v>EMP1287</v>
      </c>
      <c r="Q289" t="str">
        <f>TRIM(PROPER(Before_Tbl[[#This Row],[First_Name]]))</f>
        <v>Heidi</v>
      </c>
      <c r="R289" t="str">
        <f>TRIM(PROPER(Before_Tbl[[#This Row],[Last_Name]]))</f>
        <v>Jones</v>
      </c>
      <c r="S289" s="25">
        <f t="shared" si="4"/>
        <v>35</v>
      </c>
      <c r="T289" t="str">
        <f>LEFT(Before_Tbl[[#This Row],[Department_Region]],FIND("-",Before_Tbl[[#This Row],[Department_Region]])-1)</f>
        <v>DevOps</v>
      </c>
      <c r="U289" t="str">
        <f>RIGHT(Before_Tbl[[#This Row],[Department_Region]],LEN(Before_Tbl[[#This Row],[Department_Region]])-FIND("-",Before_Tbl[[#This Row],[Department_Region]]))</f>
        <v>New York</v>
      </c>
      <c r="V289" t="str">
        <f>TRIM(PROPER(Before_Tbl[[#This Row],[Status]]))</f>
        <v>Active</v>
      </c>
      <c r="W289" s="26">
        <v>45339</v>
      </c>
      <c r="X289" s="4">
        <v>73597.850000000006</v>
      </c>
      <c r="Y289" t="str">
        <f>TRIM(LOWER(Before_Tbl[[#This Row],[Email]]))</f>
        <v>heidi.jones@example.com</v>
      </c>
      <c r="Z289" s="2" t="str">
        <f>SUBSTITUTE(Before_Tbl[[#This Row],[Phone]],"-","")</f>
        <v>3402424032</v>
      </c>
      <c r="AA289" t="str">
        <f>TRIM(PROPER(Before_Tbl[[#This Row],[Performance_Score]]))</f>
        <v>Poor</v>
      </c>
      <c r="AB289" s="2" t="str">
        <f>TRIM(UPPER(Before_Tbl[[#This Row],[Remote_Work]]))</f>
        <v>TRUE</v>
      </c>
    </row>
    <row r="290" spans="1:28" x14ac:dyDescent="0.35">
      <c r="A290" t="s">
        <v>586</v>
      </c>
      <c r="B290" t="s">
        <v>59</v>
      </c>
      <c r="C290" t="s">
        <v>122</v>
      </c>
      <c r="D290">
        <v>30</v>
      </c>
      <c r="E290" t="s">
        <v>219</v>
      </c>
      <c r="F290" t="s">
        <v>33</v>
      </c>
      <c r="G290" t="s">
        <v>587</v>
      </c>
      <c r="H290">
        <v>79939.23</v>
      </c>
      <c r="I290" t="s">
        <v>341</v>
      </c>
      <c r="J290">
        <v>-8105955183</v>
      </c>
      <c r="K290" t="s">
        <v>23</v>
      </c>
      <c r="L290" t="b">
        <v>1</v>
      </c>
      <c r="P290" t="str">
        <f>TRIM(Before_Tbl[[#This Row],[Employee_ID]])</f>
        <v>EMP1288</v>
      </c>
      <c r="Q290" t="str">
        <f>TRIM(PROPER(Before_Tbl[[#This Row],[First_Name]]))</f>
        <v>David</v>
      </c>
      <c r="R290" t="str">
        <f>TRIM(PROPER(Before_Tbl[[#This Row],[Last_Name]]))</f>
        <v>Smith</v>
      </c>
      <c r="S290" s="25">
        <f t="shared" si="4"/>
        <v>30</v>
      </c>
      <c r="T290" t="str">
        <f>LEFT(Before_Tbl[[#This Row],[Department_Region]],FIND("-",Before_Tbl[[#This Row],[Department_Region]])-1)</f>
        <v>Sales</v>
      </c>
      <c r="U290" t="str">
        <f>RIGHT(Before_Tbl[[#This Row],[Department_Region]],LEN(Before_Tbl[[#This Row],[Department_Region]])-FIND("-",Before_Tbl[[#This Row],[Department_Region]]))</f>
        <v>Nevada</v>
      </c>
      <c r="V290" t="str">
        <f>TRIM(PROPER(Before_Tbl[[#This Row],[Status]]))</f>
        <v>Inactive</v>
      </c>
      <c r="W290" s="26">
        <v>45524</v>
      </c>
      <c r="X290" s="4">
        <v>79939.23</v>
      </c>
      <c r="Y290" t="str">
        <f>TRIM(LOWER(Before_Tbl[[#This Row],[Email]]))</f>
        <v>david.smith@example.com</v>
      </c>
      <c r="Z290" s="2" t="str">
        <f>SUBSTITUTE(Before_Tbl[[#This Row],[Phone]],"-","")</f>
        <v>8105955183</v>
      </c>
      <c r="AA290" t="str">
        <f>TRIM(PROPER(Before_Tbl[[#This Row],[Performance_Score]]))</f>
        <v>Excellent</v>
      </c>
      <c r="AB290" s="2" t="str">
        <f>TRIM(UPPER(Before_Tbl[[#This Row],[Remote_Work]]))</f>
        <v>TRUE</v>
      </c>
    </row>
    <row r="291" spans="1:28" x14ac:dyDescent="0.35">
      <c r="A291" t="s">
        <v>588</v>
      </c>
      <c r="B291" t="s">
        <v>69</v>
      </c>
      <c r="C291" t="s">
        <v>43</v>
      </c>
      <c r="D291">
        <v>25</v>
      </c>
      <c r="E291" t="s">
        <v>196</v>
      </c>
      <c r="F291" t="s">
        <v>33</v>
      </c>
      <c r="G291" t="s">
        <v>589</v>
      </c>
      <c r="H291" t="s">
        <v>277</v>
      </c>
      <c r="I291" t="s">
        <v>83</v>
      </c>
      <c r="J291">
        <v>-2694500533</v>
      </c>
      <c r="K291" t="s">
        <v>41</v>
      </c>
      <c r="L291" t="b">
        <v>0</v>
      </c>
      <c r="P291" t="str">
        <f>TRIM(Before_Tbl[[#This Row],[Employee_ID]])</f>
        <v>EMP1289</v>
      </c>
      <c r="Q291" t="str">
        <f>TRIM(PROPER(Before_Tbl[[#This Row],[First_Name]]))</f>
        <v>Grace</v>
      </c>
      <c r="R291" t="str">
        <f>TRIM(PROPER(Before_Tbl[[#This Row],[Last_Name]]))</f>
        <v>Garcia</v>
      </c>
      <c r="S291" s="25">
        <f t="shared" si="4"/>
        <v>25</v>
      </c>
      <c r="T291" t="str">
        <f>LEFT(Before_Tbl[[#This Row],[Department_Region]],FIND("-",Before_Tbl[[#This Row],[Department_Region]])-1)</f>
        <v>Admin</v>
      </c>
      <c r="U291" t="str">
        <f>RIGHT(Before_Tbl[[#This Row],[Department_Region]],LEN(Before_Tbl[[#This Row],[Department_Region]])-FIND("-",Before_Tbl[[#This Row],[Department_Region]]))</f>
        <v>New York</v>
      </c>
      <c r="V291" t="str">
        <f>TRIM(PROPER(Before_Tbl[[#This Row],[Status]]))</f>
        <v>Inactive</v>
      </c>
      <c r="W291" s="26">
        <v>44493</v>
      </c>
      <c r="X291" s="4"/>
      <c r="Y291" t="str">
        <f>TRIM(LOWER(Before_Tbl[[#This Row],[Email]]))</f>
        <v>grace.garcia@example.com</v>
      </c>
      <c r="Z291" s="2" t="str">
        <f>SUBSTITUTE(Before_Tbl[[#This Row],[Phone]],"-","")</f>
        <v>2694500533</v>
      </c>
      <c r="AA291" t="str">
        <f>TRIM(PROPER(Before_Tbl[[#This Row],[Performance_Score]]))</f>
        <v>Poor</v>
      </c>
      <c r="AB291" s="2" t="str">
        <f>TRIM(UPPER(Before_Tbl[[#This Row],[Remote_Work]]))</f>
        <v>FALSE</v>
      </c>
    </row>
    <row r="292" spans="1:28" x14ac:dyDescent="0.35">
      <c r="A292" t="s">
        <v>590</v>
      </c>
      <c r="B292" t="s">
        <v>69</v>
      </c>
      <c r="C292" t="s">
        <v>122</v>
      </c>
      <c r="D292">
        <v>30</v>
      </c>
      <c r="E292" t="s">
        <v>70</v>
      </c>
      <c r="F292" t="s">
        <v>33</v>
      </c>
      <c r="G292" s="1">
        <v>44478</v>
      </c>
      <c r="H292">
        <v>90772.25</v>
      </c>
      <c r="I292" t="s">
        <v>135</v>
      </c>
      <c r="J292">
        <v>-2408916497</v>
      </c>
      <c r="K292" t="s">
        <v>18</v>
      </c>
      <c r="L292" t="b">
        <v>0</v>
      </c>
      <c r="P292" t="str">
        <f>TRIM(Before_Tbl[[#This Row],[Employee_ID]])</f>
        <v>EMP1290</v>
      </c>
      <c r="Q292" t="str">
        <f>TRIM(PROPER(Before_Tbl[[#This Row],[First_Name]]))</f>
        <v>Grace</v>
      </c>
      <c r="R292" t="str">
        <f>TRIM(PROPER(Before_Tbl[[#This Row],[Last_Name]]))</f>
        <v>Smith</v>
      </c>
      <c r="S292" s="25">
        <f t="shared" si="4"/>
        <v>30</v>
      </c>
      <c r="T292" t="str">
        <f>LEFT(Before_Tbl[[#This Row],[Department_Region]],FIND("-",Before_Tbl[[#This Row],[Department_Region]])-1)</f>
        <v>Finance</v>
      </c>
      <c r="U292" t="str">
        <f>RIGHT(Before_Tbl[[#This Row],[Department_Region]],LEN(Before_Tbl[[#This Row],[Department_Region]])-FIND("-",Before_Tbl[[#This Row],[Department_Region]]))</f>
        <v>California</v>
      </c>
      <c r="V292" t="str">
        <f>TRIM(PROPER(Before_Tbl[[#This Row],[Status]]))</f>
        <v>Inactive</v>
      </c>
      <c r="W292" s="26">
        <v>44478</v>
      </c>
      <c r="X292" s="4">
        <v>90772.25</v>
      </c>
      <c r="Y292" t="str">
        <f>TRIM(LOWER(Before_Tbl[[#This Row],[Email]]))</f>
        <v>grace.smith@example.com</v>
      </c>
      <c r="Z292" s="2" t="str">
        <f>SUBSTITUTE(Before_Tbl[[#This Row],[Phone]],"-","")</f>
        <v>2408916497</v>
      </c>
      <c r="AA292" t="str">
        <f>TRIM(PROPER(Before_Tbl[[#This Row],[Performance_Score]]))</f>
        <v>Average</v>
      </c>
      <c r="AB292" s="2" t="str">
        <f>TRIM(UPPER(Before_Tbl[[#This Row],[Remote_Work]]))</f>
        <v>FALSE</v>
      </c>
    </row>
    <row r="293" spans="1:28" x14ac:dyDescent="0.35">
      <c r="A293" t="s">
        <v>591</v>
      </c>
      <c r="B293" t="s">
        <v>32</v>
      </c>
      <c r="C293" t="s">
        <v>38</v>
      </c>
      <c r="D293">
        <v>35</v>
      </c>
      <c r="E293" t="s">
        <v>56</v>
      </c>
      <c r="F293" t="s">
        <v>16</v>
      </c>
      <c r="G293" t="s">
        <v>592</v>
      </c>
      <c r="H293">
        <v>58275.74</v>
      </c>
      <c r="I293" t="s">
        <v>141</v>
      </c>
      <c r="J293">
        <v>-3735439626</v>
      </c>
      <c r="K293" t="s">
        <v>30</v>
      </c>
      <c r="L293" t="b">
        <v>0</v>
      </c>
      <c r="P293" t="str">
        <f>TRIM(Before_Tbl[[#This Row],[Employee_ID]])</f>
        <v>EMP1291</v>
      </c>
      <c r="Q293" t="str">
        <f>TRIM(PROPER(Before_Tbl[[#This Row],[First_Name]]))</f>
        <v>Eva</v>
      </c>
      <c r="R293" t="str">
        <f>TRIM(PROPER(Before_Tbl[[#This Row],[Last_Name]]))</f>
        <v>Williams</v>
      </c>
      <c r="S293" s="25">
        <f t="shared" si="4"/>
        <v>35</v>
      </c>
      <c r="T293" t="str">
        <f>LEFT(Before_Tbl[[#This Row],[Department_Region]],FIND("-",Before_Tbl[[#This Row],[Department_Region]])-1)</f>
        <v>DevOps</v>
      </c>
      <c r="U293" t="str">
        <f>RIGHT(Before_Tbl[[#This Row],[Department_Region]],LEN(Before_Tbl[[#This Row],[Department_Region]])-FIND("-",Before_Tbl[[#This Row],[Department_Region]]))</f>
        <v>New York</v>
      </c>
      <c r="V293" t="str">
        <f>TRIM(PROPER(Before_Tbl[[#This Row],[Status]]))</f>
        <v>Active</v>
      </c>
      <c r="W293" s="26">
        <v>45198</v>
      </c>
      <c r="X293" s="4">
        <v>58275.74</v>
      </c>
      <c r="Y293" t="str">
        <f>TRIM(LOWER(Before_Tbl[[#This Row],[Email]]))</f>
        <v>eva.williams@example.com</v>
      </c>
      <c r="Z293" s="2" t="str">
        <f>SUBSTITUTE(Before_Tbl[[#This Row],[Phone]],"-","")</f>
        <v>3735439626</v>
      </c>
      <c r="AA293" t="str">
        <f>TRIM(PROPER(Before_Tbl[[#This Row],[Performance_Score]]))</f>
        <v>Good</v>
      </c>
      <c r="AB293" s="2" t="str">
        <f>TRIM(UPPER(Before_Tbl[[#This Row],[Remote_Work]]))</f>
        <v>FALSE</v>
      </c>
    </row>
    <row r="294" spans="1:28" x14ac:dyDescent="0.35">
      <c r="A294" t="s">
        <v>593</v>
      </c>
      <c r="B294" t="s">
        <v>69</v>
      </c>
      <c r="C294" t="s">
        <v>122</v>
      </c>
      <c r="E294" t="s">
        <v>15</v>
      </c>
      <c r="F294" t="s">
        <v>28</v>
      </c>
      <c r="G294" t="s">
        <v>317</v>
      </c>
      <c r="H294">
        <v>94709.79</v>
      </c>
      <c r="I294" t="s">
        <v>135</v>
      </c>
      <c r="J294">
        <v>-3652717271</v>
      </c>
      <c r="K294" t="s">
        <v>23</v>
      </c>
      <c r="L294" t="b">
        <v>0</v>
      </c>
      <c r="P294" t="str">
        <f>TRIM(Before_Tbl[[#This Row],[Employee_ID]])</f>
        <v>EMP1292</v>
      </c>
      <c r="Q294" t="str">
        <f>TRIM(PROPER(Before_Tbl[[#This Row],[First_Name]]))</f>
        <v>Grace</v>
      </c>
      <c r="R294" t="str">
        <f>TRIM(PROPER(Before_Tbl[[#This Row],[Last_Name]]))</f>
        <v>Smith</v>
      </c>
      <c r="S294" s="25">
        <f t="shared" si="4"/>
        <v>30</v>
      </c>
      <c r="T294" t="str">
        <f>LEFT(Before_Tbl[[#This Row],[Department_Region]],FIND("-",Before_Tbl[[#This Row],[Department_Region]])-1)</f>
        <v>DevOps</v>
      </c>
      <c r="U294" t="str">
        <f>RIGHT(Before_Tbl[[#This Row],[Department_Region]],LEN(Before_Tbl[[#This Row],[Department_Region]])-FIND("-",Before_Tbl[[#This Row],[Department_Region]]))</f>
        <v>California</v>
      </c>
      <c r="V294" t="str">
        <f>TRIM(PROPER(Before_Tbl[[#This Row],[Status]]))</f>
        <v>Pending</v>
      </c>
      <c r="W294" s="26">
        <v>44071</v>
      </c>
      <c r="X294" s="4">
        <v>94709.79</v>
      </c>
      <c r="Y294" t="str">
        <f>TRIM(LOWER(Before_Tbl[[#This Row],[Email]]))</f>
        <v>grace.smith@example.com</v>
      </c>
      <c r="Z294" s="2" t="str">
        <f>SUBSTITUTE(Before_Tbl[[#This Row],[Phone]],"-","")</f>
        <v>3652717271</v>
      </c>
      <c r="AA294" t="str">
        <f>TRIM(PROPER(Before_Tbl[[#This Row],[Performance_Score]]))</f>
        <v>Excellent</v>
      </c>
      <c r="AB294" s="2" t="str">
        <f>TRIM(UPPER(Before_Tbl[[#This Row],[Remote_Work]]))</f>
        <v>FALSE</v>
      </c>
    </row>
    <row r="295" spans="1:28" x14ac:dyDescent="0.35">
      <c r="A295" t="s">
        <v>594</v>
      </c>
      <c r="B295" t="s">
        <v>37</v>
      </c>
      <c r="C295" t="s">
        <v>55</v>
      </c>
      <c r="E295" t="s">
        <v>196</v>
      </c>
      <c r="F295" t="s">
        <v>16</v>
      </c>
      <c r="G295" s="1">
        <v>44721</v>
      </c>
      <c r="H295">
        <v>60722.99</v>
      </c>
      <c r="I295" t="s">
        <v>271</v>
      </c>
      <c r="J295">
        <v>-2397240421</v>
      </c>
      <c r="K295" t="s">
        <v>23</v>
      </c>
      <c r="L295" t="b">
        <v>1</v>
      </c>
      <c r="P295" t="str">
        <f>TRIM(Before_Tbl[[#This Row],[Employee_ID]])</f>
        <v>EMP1293</v>
      </c>
      <c r="Q295" t="str">
        <f>TRIM(PROPER(Before_Tbl[[#This Row],[First_Name]]))</f>
        <v>Frank</v>
      </c>
      <c r="R295" t="str">
        <f>TRIM(PROPER(Before_Tbl[[#This Row],[Last_Name]]))</f>
        <v>Johnson</v>
      </c>
      <c r="S295" s="25">
        <f t="shared" si="4"/>
        <v>30</v>
      </c>
      <c r="T295" t="str">
        <f>LEFT(Before_Tbl[[#This Row],[Department_Region]],FIND("-",Before_Tbl[[#This Row],[Department_Region]])-1)</f>
        <v>Admin</v>
      </c>
      <c r="U295" t="str">
        <f>RIGHT(Before_Tbl[[#This Row],[Department_Region]],LEN(Before_Tbl[[#This Row],[Department_Region]])-FIND("-",Before_Tbl[[#This Row],[Department_Region]]))</f>
        <v>New York</v>
      </c>
      <c r="V295" t="str">
        <f>TRIM(PROPER(Before_Tbl[[#This Row],[Status]]))</f>
        <v>Active</v>
      </c>
      <c r="W295" s="26">
        <v>44721</v>
      </c>
      <c r="X295" s="4">
        <v>60722.99</v>
      </c>
      <c r="Y295" t="str">
        <f>TRIM(LOWER(Before_Tbl[[#This Row],[Email]]))</f>
        <v>frank.johnson@example.com</v>
      </c>
      <c r="Z295" s="2" t="str">
        <f>SUBSTITUTE(Before_Tbl[[#This Row],[Phone]],"-","")</f>
        <v>2397240421</v>
      </c>
      <c r="AA295" t="str">
        <f>TRIM(PROPER(Before_Tbl[[#This Row],[Performance_Score]]))</f>
        <v>Excellent</v>
      </c>
      <c r="AB295" s="2" t="str">
        <f>TRIM(UPPER(Before_Tbl[[#This Row],[Remote_Work]]))</f>
        <v>TRUE</v>
      </c>
    </row>
    <row r="296" spans="1:28" x14ac:dyDescent="0.35">
      <c r="A296" t="s">
        <v>595</v>
      </c>
      <c r="B296" t="s">
        <v>37</v>
      </c>
      <c r="C296" t="s">
        <v>55</v>
      </c>
      <c r="D296">
        <v>40</v>
      </c>
      <c r="E296" t="s">
        <v>78</v>
      </c>
      <c r="F296" t="s">
        <v>33</v>
      </c>
      <c r="G296" t="s">
        <v>596</v>
      </c>
      <c r="H296">
        <v>87626.240000000005</v>
      </c>
      <c r="I296" t="s">
        <v>271</v>
      </c>
      <c r="J296">
        <v>-6931216375</v>
      </c>
      <c r="K296" t="s">
        <v>30</v>
      </c>
      <c r="L296" t="b">
        <v>1</v>
      </c>
      <c r="P296" t="str">
        <f>TRIM(Before_Tbl[[#This Row],[Employee_ID]])</f>
        <v>EMP1294</v>
      </c>
      <c r="Q296" t="str">
        <f>TRIM(PROPER(Before_Tbl[[#This Row],[First_Name]]))</f>
        <v>Frank</v>
      </c>
      <c r="R296" t="str">
        <f>TRIM(PROPER(Before_Tbl[[#This Row],[Last_Name]]))</f>
        <v>Johnson</v>
      </c>
      <c r="S296" s="25">
        <f t="shared" si="4"/>
        <v>40</v>
      </c>
      <c r="T296" t="str">
        <f>LEFT(Before_Tbl[[#This Row],[Department_Region]],FIND("-",Before_Tbl[[#This Row],[Department_Region]])-1)</f>
        <v>DevOps</v>
      </c>
      <c r="U296" t="str">
        <f>RIGHT(Before_Tbl[[#This Row],[Department_Region]],LEN(Before_Tbl[[#This Row],[Department_Region]])-FIND("-",Before_Tbl[[#This Row],[Department_Region]]))</f>
        <v>Illinois</v>
      </c>
      <c r="V296" t="str">
        <f>TRIM(PROPER(Before_Tbl[[#This Row],[Status]]))</f>
        <v>Inactive</v>
      </c>
      <c r="W296" s="26">
        <v>45382</v>
      </c>
      <c r="X296" s="4">
        <v>87626.240000000005</v>
      </c>
      <c r="Y296" t="str">
        <f>TRIM(LOWER(Before_Tbl[[#This Row],[Email]]))</f>
        <v>frank.johnson@example.com</v>
      </c>
      <c r="Z296" s="2" t="str">
        <f>SUBSTITUTE(Before_Tbl[[#This Row],[Phone]],"-","")</f>
        <v>6931216375</v>
      </c>
      <c r="AA296" t="str">
        <f>TRIM(PROPER(Before_Tbl[[#This Row],[Performance_Score]]))</f>
        <v>Good</v>
      </c>
      <c r="AB296" s="2" t="str">
        <f>TRIM(UPPER(Before_Tbl[[#This Row],[Remote_Work]]))</f>
        <v>TRUE</v>
      </c>
    </row>
    <row r="297" spans="1:28" x14ac:dyDescent="0.35">
      <c r="A297" t="s">
        <v>597</v>
      </c>
      <c r="B297" t="s">
        <v>59</v>
      </c>
      <c r="C297" t="s">
        <v>20</v>
      </c>
      <c r="D297">
        <v>30</v>
      </c>
      <c r="E297" t="s">
        <v>78</v>
      </c>
      <c r="F297" t="s">
        <v>16</v>
      </c>
      <c r="G297" s="1">
        <v>44907</v>
      </c>
      <c r="H297">
        <v>81272.36</v>
      </c>
      <c r="I297" t="s">
        <v>225</v>
      </c>
      <c r="J297">
        <v>-1820916600</v>
      </c>
      <c r="K297" t="s">
        <v>41</v>
      </c>
      <c r="L297" t="b">
        <v>0</v>
      </c>
      <c r="P297" t="str">
        <f>TRIM(Before_Tbl[[#This Row],[Employee_ID]])</f>
        <v>EMP1295</v>
      </c>
      <c r="Q297" t="str">
        <f>TRIM(PROPER(Before_Tbl[[#This Row],[First_Name]]))</f>
        <v>David</v>
      </c>
      <c r="R297" t="str">
        <f>TRIM(PROPER(Before_Tbl[[#This Row],[Last_Name]]))</f>
        <v>Brown</v>
      </c>
      <c r="S297" s="25">
        <f t="shared" si="4"/>
        <v>30</v>
      </c>
      <c r="T297" t="str">
        <f>LEFT(Before_Tbl[[#This Row],[Department_Region]],FIND("-",Before_Tbl[[#This Row],[Department_Region]])-1)</f>
        <v>DevOps</v>
      </c>
      <c r="U297" t="str">
        <f>RIGHT(Before_Tbl[[#This Row],[Department_Region]],LEN(Before_Tbl[[#This Row],[Department_Region]])-FIND("-",Before_Tbl[[#This Row],[Department_Region]]))</f>
        <v>Illinois</v>
      </c>
      <c r="V297" t="str">
        <f>TRIM(PROPER(Before_Tbl[[#This Row],[Status]]))</f>
        <v>Active</v>
      </c>
      <c r="W297" s="26">
        <v>44907</v>
      </c>
      <c r="X297" s="4">
        <v>81272.36</v>
      </c>
      <c r="Y297" t="str">
        <f>TRIM(LOWER(Before_Tbl[[#This Row],[Email]]))</f>
        <v>david.brown@example.com</v>
      </c>
      <c r="Z297" s="2" t="str">
        <f>SUBSTITUTE(Before_Tbl[[#This Row],[Phone]],"-","")</f>
        <v>1820916600</v>
      </c>
      <c r="AA297" t="str">
        <f>TRIM(PROPER(Before_Tbl[[#This Row],[Performance_Score]]))</f>
        <v>Poor</v>
      </c>
      <c r="AB297" s="2" t="str">
        <f>TRIM(UPPER(Before_Tbl[[#This Row],[Remote_Work]]))</f>
        <v>FALSE</v>
      </c>
    </row>
    <row r="298" spans="1:28" x14ac:dyDescent="0.35">
      <c r="A298" t="s">
        <v>598</v>
      </c>
      <c r="B298" t="s">
        <v>13</v>
      </c>
      <c r="C298" t="s">
        <v>92</v>
      </c>
      <c r="E298" t="s">
        <v>159</v>
      </c>
      <c r="F298" t="s">
        <v>28</v>
      </c>
      <c r="G298" s="1">
        <v>44572</v>
      </c>
      <c r="H298">
        <v>64150.97</v>
      </c>
      <c r="I298" t="s">
        <v>93</v>
      </c>
      <c r="J298">
        <v>-23142899</v>
      </c>
      <c r="K298" t="s">
        <v>30</v>
      </c>
      <c r="L298" t="b">
        <v>1</v>
      </c>
      <c r="P298" t="str">
        <f>TRIM(Before_Tbl[[#This Row],[Employee_ID]])</f>
        <v>EMP1296</v>
      </c>
      <c r="Q298" t="str">
        <f>TRIM(PROPER(Before_Tbl[[#This Row],[First_Name]]))</f>
        <v>Bob</v>
      </c>
      <c r="R298" t="str">
        <f>TRIM(PROPER(Before_Tbl[[#This Row],[Last_Name]]))</f>
        <v>Miller</v>
      </c>
      <c r="S298" s="25">
        <f t="shared" si="4"/>
        <v>30</v>
      </c>
      <c r="T298" t="str">
        <f>LEFT(Before_Tbl[[#This Row],[Department_Region]],FIND("-",Before_Tbl[[#This Row],[Department_Region]])-1)</f>
        <v>Cloud Tech</v>
      </c>
      <c r="U298" t="str">
        <f>RIGHT(Before_Tbl[[#This Row],[Department_Region]],LEN(Before_Tbl[[#This Row],[Department_Region]])-FIND("-",Before_Tbl[[#This Row],[Department_Region]]))</f>
        <v>Texas</v>
      </c>
      <c r="V298" t="str">
        <f>TRIM(PROPER(Before_Tbl[[#This Row],[Status]]))</f>
        <v>Pending</v>
      </c>
      <c r="W298" s="26">
        <v>44572</v>
      </c>
      <c r="X298" s="4">
        <v>64150.97</v>
      </c>
      <c r="Y298" t="str">
        <f>TRIM(LOWER(Before_Tbl[[#This Row],[Email]]))</f>
        <v>bob.miller@example.com</v>
      </c>
      <c r="Z298" s="2" t="str">
        <f>SUBSTITUTE(Before_Tbl[[#This Row],[Phone]],"-","")</f>
        <v>23142899</v>
      </c>
      <c r="AA298" t="str">
        <f>TRIM(PROPER(Before_Tbl[[#This Row],[Performance_Score]]))</f>
        <v>Good</v>
      </c>
      <c r="AB298" s="2" t="str">
        <f>TRIM(UPPER(Before_Tbl[[#This Row],[Remote_Work]]))</f>
        <v>TRUE</v>
      </c>
    </row>
    <row r="299" spans="1:28" x14ac:dyDescent="0.35">
      <c r="A299" t="s">
        <v>599</v>
      </c>
      <c r="B299" t="s">
        <v>54</v>
      </c>
      <c r="C299" t="s">
        <v>14</v>
      </c>
      <c r="D299">
        <v>35</v>
      </c>
      <c r="E299" t="s">
        <v>74</v>
      </c>
      <c r="F299" t="s">
        <v>16</v>
      </c>
      <c r="G299" t="s">
        <v>600</v>
      </c>
      <c r="H299">
        <v>64378.1</v>
      </c>
      <c r="I299" t="s">
        <v>170</v>
      </c>
      <c r="J299">
        <v>-1851327971</v>
      </c>
      <c r="K299" t="s">
        <v>41</v>
      </c>
      <c r="L299" t="b">
        <v>0</v>
      </c>
      <c r="P299" t="str">
        <f>TRIM(Before_Tbl[[#This Row],[Employee_ID]])</f>
        <v>EMP1297</v>
      </c>
      <c r="Q299" t="str">
        <f>TRIM(PROPER(Before_Tbl[[#This Row],[First_Name]]))</f>
        <v>Charlie</v>
      </c>
      <c r="R299" t="str">
        <f>TRIM(PROPER(Before_Tbl[[#This Row],[Last_Name]]))</f>
        <v>Davis</v>
      </c>
      <c r="S299" s="25">
        <f t="shared" si="4"/>
        <v>35</v>
      </c>
      <c r="T299" t="str">
        <f>LEFT(Before_Tbl[[#This Row],[Department_Region]],FIND("-",Before_Tbl[[#This Row],[Department_Region]])-1)</f>
        <v>Sales</v>
      </c>
      <c r="U299" t="str">
        <f>RIGHT(Before_Tbl[[#This Row],[Department_Region]],LEN(Before_Tbl[[#This Row],[Department_Region]])-FIND("-",Before_Tbl[[#This Row],[Department_Region]]))</f>
        <v>Florida</v>
      </c>
      <c r="V299" t="str">
        <f>TRIM(PROPER(Before_Tbl[[#This Row],[Status]]))</f>
        <v>Active</v>
      </c>
      <c r="W299" s="26">
        <v>45224</v>
      </c>
      <c r="X299" s="4">
        <v>64378.1</v>
      </c>
      <c r="Y299" t="str">
        <f>TRIM(LOWER(Before_Tbl[[#This Row],[Email]]))</f>
        <v>charlie.davis@example.com</v>
      </c>
      <c r="Z299" s="2" t="str">
        <f>SUBSTITUTE(Before_Tbl[[#This Row],[Phone]],"-","")</f>
        <v>1851327971</v>
      </c>
      <c r="AA299" t="str">
        <f>TRIM(PROPER(Before_Tbl[[#This Row],[Performance_Score]]))</f>
        <v>Poor</v>
      </c>
      <c r="AB299" s="2" t="str">
        <f>TRIM(UPPER(Before_Tbl[[#This Row],[Remote_Work]]))</f>
        <v>FALSE</v>
      </c>
    </row>
    <row r="300" spans="1:28" x14ac:dyDescent="0.35">
      <c r="A300" t="s">
        <v>601</v>
      </c>
      <c r="B300" t="s">
        <v>13</v>
      </c>
      <c r="C300" t="s">
        <v>26</v>
      </c>
      <c r="E300" t="s">
        <v>21</v>
      </c>
      <c r="F300" t="s">
        <v>33</v>
      </c>
      <c r="G300" t="s">
        <v>602</v>
      </c>
      <c r="H300">
        <v>85927.35</v>
      </c>
      <c r="I300" t="s">
        <v>50</v>
      </c>
      <c r="J300">
        <v>-4572308480</v>
      </c>
      <c r="K300" t="s">
        <v>30</v>
      </c>
      <c r="L300" t="b">
        <v>0</v>
      </c>
      <c r="P300" t="str">
        <f>TRIM(Before_Tbl[[#This Row],[Employee_ID]])</f>
        <v>EMP1298</v>
      </c>
      <c r="Q300" t="str">
        <f>TRIM(PROPER(Before_Tbl[[#This Row],[First_Name]]))</f>
        <v>Bob</v>
      </c>
      <c r="R300" t="str">
        <f>TRIM(PROPER(Before_Tbl[[#This Row],[Last_Name]]))</f>
        <v>Jones</v>
      </c>
      <c r="S300" s="25">
        <f t="shared" si="4"/>
        <v>30</v>
      </c>
      <c r="T300" t="str">
        <f>LEFT(Before_Tbl[[#This Row],[Department_Region]],FIND("-",Before_Tbl[[#This Row],[Department_Region]])-1)</f>
        <v>Finance</v>
      </c>
      <c r="U300" t="str">
        <f>RIGHT(Before_Tbl[[#This Row],[Department_Region]],LEN(Before_Tbl[[#This Row],[Department_Region]])-FIND("-",Before_Tbl[[#This Row],[Department_Region]]))</f>
        <v>Texas</v>
      </c>
      <c r="V300" t="str">
        <f>TRIM(PROPER(Before_Tbl[[#This Row],[Status]]))</f>
        <v>Inactive</v>
      </c>
      <c r="W300" s="26">
        <v>44101</v>
      </c>
      <c r="X300" s="4">
        <v>85927.35</v>
      </c>
      <c r="Y300" t="str">
        <f>TRIM(LOWER(Before_Tbl[[#This Row],[Email]]))</f>
        <v>bob.jones@example.com</v>
      </c>
      <c r="Z300" s="2" t="str">
        <f>SUBSTITUTE(Before_Tbl[[#This Row],[Phone]],"-","")</f>
        <v>4572308480</v>
      </c>
      <c r="AA300" t="str">
        <f>TRIM(PROPER(Before_Tbl[[#This Row],[Performance_Score]]))</f>
        <v>Good</v>
      </c>
      <c r="AB300" s="2" t="str">
        <f>TRIM(UPPER(Before_Tbl[[#This Row],[Remote_Work]]))</f>
        <v>FALSE</v>
      </c>
    </row>
    <row r="301" spans="1:28" x14ac:dyDescent="0.35">
      <c r="A301" t="s">
        <v>603</v>
      </c>
      <c r="B301" t="s">
        <v>25</v>
      </c>
      <c r="C301" t="s">
        <v>43</v>
      </c>
      <c r="E301" t="s">
        <v>100</v>
      </c>
      <c r="F301" t="s">
        <v>33</v>
      </c>
      <c r="G301" t="s">
        <v>604</v>
      </c>
      <c r="H301">
        <v>51523.93</v>
      </c>
      <c r="I301" t="s">
        <v>45</v>
      </c>
      <c r="J301">
        <v>-18418619</v>
      </c>
      <c r="K301" t="s">
        <v>18</v>
      </c>
      <c r="L301" t="b">
        <v>1</v>
      </c>
      <c r="P301" t="str">
        <f>TRIM(Before_Tbl[[#This Row],[Employee_ID]])</f>
        <v>EMP1299</v>
      </c>
      <c r="Q301" t="str">
        <f>TRIM(PROPER(Before_Tbl[[#This Row],[First_Name]]))</f>
        <v>Alice</v>
      </c>
      <c r="R301" t="str">
        <f>TRIM(PROPER(Before_Tbl[[#This Row],[Last_Name]]))</f>
        <v>Garcia</v>
      </c>
      <c r="S301" s="25">
        <f t="shared" si="4"/>
        <v>30</v>
      </c>
      <c r="T301" t="str">
        <f>LEFT(Before_Tbl[[#This Row],[Department_Region]],FIND("-",Before_Tbl[[#This Row],[Department_Region]])-1)</f>
        <v>Finance</v>
      </c>
      <c r="U301" t="str">
        <f>RIGHT(Before_Tbl[[#This Row],[Department_Region]],LEN(Before_Tbl[[#This Row],[Department_Region]])-FIND("-",Before_Tbl[[#This Row],[Department_Region]]))</f>
        <v>Nevada</v>
      </c>
      <c r="V301" t="str">
        <f>TRIM(PROPER(Before_Tbl[[#This Row],[Status]]))</f>
        <v>Inactive</v>
      </c>
      <c r="W301" s="26">
        <v>45312</v>
      </c>
      <c r="X301" s="4">
        <v>51523.93</v>
      </c>
      <c r="Y301" t="str">
        <f>TRIM(LOWER(Before_Tbl[[#This Row],[Email]]))</f>
        <v>alice.garcia@example.com</v>
      </c>
      <c r="Z301" s="2" t="str">
        <f>SUBSTITUTE(Before_Tbl[[#This Row],[Phone]],"-","")</f>
        <v>18418619</v>
      </c>
      <c r="AA301" t="str">
        <f>TRIM(PROPER(Before_Tbl[[#This Row],[Performance_Score]]))</f>
        <v>Average</v>
      </c>
      <c r="AB301" s="2" t="str">
        <f>TRIM(UPPER(Before_Tbl[[#This Row],[Remote_Work]]))</f>
        <v>TRUE</v>
      </c>
    </row>
    <row r="302" spans="1:28" x14ac:dyDescent="0.35">
      <c r="A302" t="s">
        <v>605</v>
      </c>
      <c r="B302" t="s">
        <v>25</v>
      </c>
      <c r="C302" t="s">
        <v>122</v>
      </c>
      <c r="D302">
        <v>30</v>
      </c>
      <c r="E302" t="s">
        <v>44</v>
      </c>
      <c r="F302" t="s">
        <v>16</v>
      </c>
      <c r="G302" t="s">
        <v>606</v>
      </c>
      <c r="H302">
        <v>74117.02</v>
      </c>
      <c r="I302" t="s">
        <v>182</v>
      </c>
      <c r="J302">
        <v>-3036625435</v>
      </c>
      <c r="K302" t="s">
        <v>41</v>
      </c>
      <c r="L302" t="b">
        <v>0</v>
      </c>
      <c r="P302" t="str">
        <f>TRIM(Before_Tbl[[#This Row],[Employee_ID]])</f>
        <v>EMP1300</v>
      </c>
      <c r="Q302" t="str">
        <f>TRIM(PROPER(Before_Tbl[[#This Row],[First_Name]]))</f>
        <v>Alice</v>
      </c>
      <c r="R302" t="str">
        <f>TRIM(PROPER(Before_Tbl[[#This Row],[Last_Name]]))</f>
        <v>Smith</v>
      </c>
      <c r="S302" s="25">
        <f t="shared" si="4"/>
        <v>30</v>
      </c>
      <c r="T302" t="str">
        <f>LEFT(Before_Tbl[[#This Row],[Department_Region]],FIND("-",Before_Tbl[[#This Row],[Department_Region]])-1)</f>
        <v>Sales</v>
      </c>
      <c r="U302" t="str">
        <f>RIGHT(Before_Tbl[[#This Row],[Department_Region]],LEN(Before_Tbl[[#This Row],[Department_Region]])-FIND("-",Before_Tbl[[#This Row],[Department_Region]]))</f>
        <v>Texas</v>
      </c>
      <c r="V302" t="str">
        <f>TRIM(PROPER(Before_Tbl[[#This Row],[Status]]))</f>
        <v>Active</v>
      </c>
      <c r="W302" s="26">
        <v>44698</v>
      </c>
      <c r="X302" s="4">
        <v>74117.02</v>
      </c>
      <c r="Y302" t="str">
        <f>TRIM(LOWER(Before_Tbl[[#This Row],[Email]]))</f>
        <v>alice.smith@example.com</v>
      </c>
      <c r="Z302" s="2" t="str">
        <f>SUBSTITUTE(Before_Tbl[[#This Row],[Phone]],"-","")</f>
        <v>3036625435</v>
      </c>
      <c r="AA302" t="str">
        <f>TRIM(PROPER(Before_Tbl[[#This Row],[Performance_Score]]))</f>
        <v>Poor</v>
      </c>
      <c r="AB302" s="2" t="str">
        <f>TRIM(UPPER(Before_Tbl[[#This Row],[Remote_Work]]))</f>
        <v>FALSE</v>
      </c>
    </row>
    <row r="303" spans="1:28" x14ac:dyDescent="0.35">
      <c r="A303" t="s">
        <v>607</v>
      </c>
      <c r="B303" t="s">
        <v>25</v>
      </c>
      <c r="C303" t="s">
        <v>122</v>
      </c>
      <c r="D303">
        <v>25</v>
      </c>
      <c r="E303" t="s">
        <v>21</v>
      </c>
      <c r="F303" t="s">
        <v>33</v>
      </c>
      <c r="G303" t="s">
        <v>608</v>
      </c>
      <c r="H303">
        <v>62598.69</v>
      </c>
      <c r="I303" t="s">
        <v>182</v>
      </c>
      <c r="J303">
        <v>-1721314518</v>
      </c>
      <c r="K303" t="s">
        <v>18</v>
      </c>
      <c r="L303" t="b">
        <v>1</v>
      </c>
      <c r="P303" t="str">
        <f>TRIM(Before_Tbl[[#This Row],[Employee_ID]])</f>
        <v>EMP1301</v>
      </c>
      <c r="Q303" t="str">
        <f>TRIM(PROPER(Before_Tbl[[#This Row],[First_Name]]))</f>
        <v>Alice</v>
      </c>
      <c r="R303" t="str">
        <f>TRIM(PROPER(Before_Tbl[[#This Row],[Last_Name]]))</f>
        <v>Smith</v>
      </c>
      <c r="S303" s="25">
        <f t="shared" si="4"/>
        <v>25</v>
      </c>
      <c r="T303" t="str">
        <f>LEFT(Before_Tbl[[#This Row],[Department_Region]],FIND("-",Before_Tbl[[#This Row],[Department_Region]])-1)</f>
        <v>Finance</v>
      </c>
      <c r="U303" t="str">
        <f>RIGHT(Before_Tbl[[#This Row],[Department_Region]],LEN(Before_Tbl[[#This Row],[Department_Region]])-FIND("-",Before_Tbl[[#This Row],[Department_Region]]))</f>
        <v>Texas</v>
      </c>
      <c r="V303" t="str">
        <f>TRIM(PROPER(Before_Tbl[[#This Row],[Status]]))</f>
        <v>Inactive</v>
      </c>
      <c r="W303" s="26">
        <v>44668</v>
      </c>
      <c r="X303" s="4">
        <v>62598.69</v>
      </c>
      <c r="Y303" t="str">
        <f>TRIM(LOWER(Before_Tbl[[#This Row],[Email]]))</f>
        <v>alice.smith@example.com</v>
      </c>
      <c r="Z303" s="2" t="str">
        <f>SUBSTITUTE(Before_Tbl[[#This Row],[Phone]],"-","")</f>
        <v>1721314518</v>
      </c>
      <c r="AA303" t="str">
        <f>TRIM(PROPER(Before_Tbl[[#This Row],[Performance_Score]]))</f>
        <v>Average</v>
      </c>
      <c r="AB303" s="2" t="str">
        <f>TRIM(UPPER(Before_Tbl[[#This Row],[Remote_Work]]))</f>
        <v>TRUE</v>
      </c>
    </row>
    <row r="304" spans="1:28" x14ac:dyDescent="0.35">
      <c r="A304" t="s">
        <v>609</v>
      </c>
      <c r="B304" t="s">
        <v>69</v>
      </c>
      <c r="C304" t="s">
        <v>38</v>
      </c>
      <c r="D304">
        <v>35</v>
      </c>
      <c r="E304" t="s">
        <v>112</v>
      </c>
      <c r="F304" t="s">
        <v>33</v>
      </c>
      <c r="G304" s="1">
        <v>44775</v>
      </c>
      <c r="H304">
        <v>55617.5</v>
      </c>
      <c r="I304" t="s">
        <v>71</v>
      </c>
      <c r="J304">
        <v>-5151092267</v>
      </c>
      <c r="K304" t="s">
        <v>23</v>
      </c>
      <c r="L304" t="b">
        <v>1</v>
      </c>
      <c r="P304" t="str">
        <f>TRIM(Before_Tbl[[#This Row],[Employee_ID]])</f>
        <v>EMP1302</v>
      </c>
      <c r="Q304" t="str">
        <f>TRIM(PROPER(Before_Tbl[[#This Row],[First_Name]]))</f>
        <v>Grace</v>
      </c>
      <c r="R304" t="str">
        <f>TRIM(PROPER(Before_Tbl[[#This Row],[Last_Name]]))</f>
        <v>Williams</v>
      </c>
      <c r="S304" s="25">
        <f t="shared" si="4"/>
        <v>35</v>
      </c>
      <c r="T304" t="str">
        <f>LEFT(Before_Tbl[[#This Row],[Department_Region]],FIND("-",Before_Tbl[[#This Row],[Department_Region]])-1)</f>
        <v>Finance</v>
      </c>
      <c r="U304" t="str">
        <f>RIGHT(Before_Tbl[[#This Row],[Department_Region]],LEN(Before_Tbl[[#This Row],[Department_Region]])-FIND("-",Before_Tbl[[#This Row],[Department_Region]]))</f>
        <v>Florida</v>
      </c>
      <c r="V304" t="str">
        <f>TRIM(PROPER(Before_Tbl[[#This Row],[Status]]))</f>
        <v>Inactive</v>
      </c>
      <c r="W304" s="26">
        <v>44775</v>
      </c>
      <c r="X304" s="4">
        <v>55617.5</v>
      </c>
      <c r="Y304" t="str">
        <f>TRIM(LOWER(Before_Tbl[[#This Row],[Email]]))</f>
        <v>grace.williams@example.com</v>
      </c>
      <c r="Z304" s="2" t="str">
        <f>SUBSTITUTE(Before_Tbl[[#This Row],[Phone]],"-","")</f>
        <v>5151092267</v>
      </c>
      <c r="AA304" t="str">
        <f>TRIM(PROPER(Before_Tbl[[#This Row],[Performance_Score]]))</f>
        <v>Excellent</v>
      </c>
      <c r="AB304" s="2" t="str">
        <f>TRIM(UPPER(Before_Tbl[[#This Row],[Remote_Work]]))</f>
        <v>TRUE</v>
      </c>
    </row>
    <row r="305" spans="1:28" x14ac:dyDescent="0.35">
      <c r="A305" t="s">
        <v>610</v>
      </c>
      <c r="B305" t="s">
        <v>54</v>
      </c>
      <c r="C305" t="s">
        <v>92</v>
      </c>
      <c r="D305">
        <v>35</v>
      </c>
      <c r="E305" t="s">
        <v>60</v>
      </c>
      <c r="F305" t="s">
        <v>28</v>
      </c>
      <c r="G305" t="s">
        <v>611</v>
      </c>
      <c r="H305">
        <v>87018.98</v>
      </c>
      <c r="I305" t="s">
        <v>502</v>
      </c>
      <c r="J305">
        <v>-5926249450</v>
      </c>
      <c r="K305" t="s">
        <v>30</v>
      </c>
      <c r="L305" t="b">
        <v>1</v>
      </c>
      <c r="P305" t="str">
        <f>TRIM(Before_Tbl[[#This Row],[Employee_ID]])</f>
        <v>EMP1303</v>
      </c>
      <c r="Q305" t="str">
        <f>TRIM(PROPER(Before_Tbl[[#This Row],[First_Name]]))</f>
        <v>Charlie</v>
      </c>
      <c r="R305" t="str">
        <f>TRIM(PROPER(Before_Tbl[[#This Row],[Last_Name]]))</f>
        <v>Miller</v>
      </c>
      <c r="S305" s="25">
        <f t="shared" si="4"/>
        <v>35</v>
      </c>
      <c r="T305" t="str">
        <f>LEFT(Before_Tbl[[#This Row],[Department_Region]],FIND("-",Before_Tbl[[#This Row],[Department_Region]])-1)</f>
        <v>Cloud Tech</v>
      </c>
      <c r="U305" t="str">
        <f>RIGHT(Before_Tbl[[#This Row],[Department_Region]],LEN(Before_Tbl[[#This Row],[Department_Region]])-FIND("-",Before_Tbl[[#This Row],[Department_Region]]))</f>
        <v>New York</v>
      </c>
      <c r="V305" t="str">
        <f>TRIM(PROPER(Before_Tbl[[#This Row],[Status]]))</f>
        <v>Pending</v>
      </c>
      <c r="W305" s="26">
        <v>44635</v>
      </c>
      <c r="X305" s="4">
        <v>87018.98</v>
      </c>
      <c r="Y305" t="str">
        <f>TRIM(LOWER(Before_Tbl[[#This Row],[Email]]))</f>
        <v>charlie.miller@example.com</v>
      </c>
      <c r="Z305" s="2" t="str">
        <f>SUBSTITUTE(Before_Tbl[[#This Row],[Phone]],"-","")</f>
        <v>5926249450</v>
      </c>
      <c r="AA305" t="str">
        <f>TRIM(PROPER(Before_Tbl[[#This Row],[Performance_Score]]))</f>
        <v>Good</v>
      </c>
      <c r="AB305" s="2" t="str">
        <f>TRIM(UPPER(Before_Tbl[[#This Row],[Remote_Work]]))</f>
        <v>TRUE</v>
      </c>
    </row>
    <row r="306" spans="1:28" x14ac:dyDescent="0.35">
      <c r="A306" t="s">
        <v>612</v>
      </c>
      <c r="B306" t="s">
        <v>59</v>
      </c>
      <c r="C306" t="s">
        <v>55</v>
      </c>
      <c r="D306">
        <v>25</v>
      </c>
      <c r="E306" t="s">
        <v>268</v>
      </c>
      <c r="F306" t="s">
        <v>33</v>
      </c>
      <c r="G306" s="1">
        <v>45240</v>
      </c>
      <c r="H306">
        <v>100336.58</v>
      </c>
      <c r="I306" t="s">
        <v>217</v>
      </c>
      <c r="J306">
        <v>-4754102251</v>
      </c>
      <c r="K306" t="s">
        <v>23</v>
      </c>
      <c r="L306" t="b">
        <v>1</v>
      </c>
      <c r="P306" t="str">
        <f>TRIM(Before_Tbl[[#This Row],[Employee_ID]])</f>
        <v>EMP1304</v>
      </c>
      <c r="Q306" t="str">
        <f>TRIM(PROPER(Before_Tbl[[#This Row],[First_Name]]))</f>
        <v>David</v>
      </c>
      <c r="R306" t="str">
        <f>TRIM(PROPER(Before_Tbl[[#This Row],[Last_Name]]))</f>
        <v>Johnson</v>
      </c>
      <c r="S306" s="25">
        <f t="shared" si="4"/>
        <v>25</v>
      </c>
      <c r="T306" t="str">
        <f>LEFT(Before_Tbl[[#This Row],[Department_Region]],FIND("-",Before_Tbl[[#This Row],[Department_Region]])-1)</f>
        <v>Cloud Tech</v>
      </c>
      <c r="U306" t="str">
        <f>RIGHT(Before_Tbl[[#This Row],[Department_Region]],LEN(Before_Tbl[[#This Row],[Department_Region]])-FIND("-",Before_Tbl[[#This Row],[Department_Region]]))</f>
        <v>California</v>
      </c>
      <c r="V306" t="str">
        <f>TRIM(PROPER(Before_Tbl[[#This Row],[Status]]))</f>
        <v>Inactive</v>
      </c>
      <c r="W306" s="26">
        <v>45240</v>
      </c>
      <c r="X306" s="4">
        <v>100336.58</v>
      </c>
      <c r="Y306" t="str">
        <f>TRIM(LOWER(Before_Tbl[[#This Row],[Email]]))</f>
        <v>david.johnson@example.com</v>
      </c>
      <c r="Z306" s="2" t="str">
        <f>SUBSTITUTE(Before_Tbl[[#This Row],[Phone]],"-","")</f>
        <v>4754102251</v>
      </c>
      <c r="AA306" t="str">
        <f>TRIM(PROPER(Before_Tbl[[#This Row],[Performance_Score]]))</f>
        <v>Excellent</v>
      </c>
      <c r="AB306" s="2" t="str">
        <f>TRIM(UPPER(Before_Tbl[[#This Row],[Remote_Work]]))</f>
        <v>TRUE</v>
      </c>
    </row>
    <row r="307" spans="1:28" x14ac:dyDescent="0.35">
      <c r="A307" t="s">
        <v>613</v>
      </c>
      <c r="B307" t="s">
        <v>69</v>
      </c>
      <c r="C307" t="s">
        <v>26</v>
      </c>
      <c r="D307">
        <v>30</v>
      </c>
      <c r="E307" t="s">
        <v>205</v>
      </c>
      <c r="F307" t="s">
        <v>33</v>
      </c>
      <c r="G307" t="s">
        <v>614</v>
      </c>
      <c r="H307">
        <v>69295.48</v>
      </c>
      <c r="I307" t="s">
        <v>76</v>
      </c>
      <c r="J307">
        <v>-6771196420</v>
      </c>
      <c r="K307" t="s">
        <v>23</v>
      </c>
      <c r="L307" t="b">
        <v>0</v>
      </c>
      <c r="P307" t="str">
        <f>TRIM(Before_Tbl[[#This Row],[Employee_ID]])</f>
        <v>EMP1305</v>
      </c>
      <c r="Q307" t="str">
        <f>TRIM(PROPER(Before_Tbl[[#This Row],[First_Name]]))</f>
        <v>Grace</v>
      </c>
      <c r="R307" t="str">
        <f>TRIM(PROPER(Before_Tbl[[#This Row],[Last_Name]]))</f>
        <v>Jones</v>
      </c>
      <c r="S307" s="25">
        <f t="shared" si="4"/>
        <v>30</v>
      </c>
      <c r="T307" t="str">
        <f>LEFT(Before_Tbl[[#This Row],[Department_Region]],FIND("-",Before_Tbl[[#This Row],[Department_Region]])-1)</f>
        <v>Admin</v>
      </c>
      <c r="U307" t="str">
        <f>RIGHT(Before_Tbl[[#This Row],[Department_Region]],LEN(Before_Tbl[[#This Row],[Department_Region]])-FIND("-",Before_Tbl[[#This Row],[Department_Region]]))</f>
        <v>Florida</v>
      </c>
      <c r="V307" t="str">
        <f>TRIM(PROPER(Before_Tbl[[#This Row],[Status]]))</f>
        <v>Inactive</v>
      </c>
      <c r="W307" s="26">
        <v>44148</v>
      </c>
      <c r="X307" s="4">
        <v>69295.48</v>
      </c>
      <c r="Y307" t="str">
        <f>TRIM(LOWER(Before_Tbl[[#This Row],[Email]]))</f>
        <v>grace.jones@example.com</v>
      </c>
      <c r="Z307" s="2" t="str">
        <f>SUBSTITUTE(Before_Tbl[[#This Row],[Phone]],"-","")</f>
        <v>6771196420</v>
      </c>
      <c r="AA307" t="str">
        <f>TRIM(PROPER(Before_Tbl[[#This Row],[Performance_Score]]))</f>
        <v>Excellent</v>
      </c>
      <c r="AB307" s="2" t="str">
        <f>TRIM(UPPER(Before_Tbl[[#This Row],[Remote_Work]]))</f>
        <v>FALSE</v>
      </c>
    </row>
    <row r="308" spans="1:28" x14ac:dyDescent="0.35">
      <c r="A308" t="s">
        <v>615</v>
      </c>
      <c r="B308" t="s">
        <v>13</v>
      </c>
      <c r="C308" t="s">
        <v>20</v>
      </c>
      <c r="D308">
        <v>25</v>
      </c>
      <c r="E308" t="s">
        <v>230</v>
      </c>
      <c r="F308" t="s">
        <v>28</v>
      </c>
      <c r="G308" t="s">
        <v>616</v>
      </c>
      <c r="H308">
        <v>115536.66</v>
      </c>
      <c r="I308" t="s">
        <v>22</v>
      </c>
      <c r="J308">
        <v>-5226557675</v>
      </c>
      <c r="K308" t="s">
        <v>23</v>
      </c>
      <c r="L308" t="b">
        <v>1</v>
      </c>
      <c r="P308" t="str">
        <f>TRIM(Before_Tbl[[#This Row],[Employee_ID]])</f>
        <v>EMP1306</v>
      </c>
      <c r="Q308" t="str">
        <f>TRIM(PROPER(Before_Tbl[[#This Row],[First_Name]]))</f>
        <v>Bob</v>
      </c>
      <c r="R308" t="str">
        <f>TRIM(PROPER(Before_Tbl[[#This Row],[Last_Name]]))</f>
        <v>Brown</v>
      </c>
      <c r="S308" s="25">
        <f t="shared" si="4"/>
        <v>25</v>
      </c>
      <c r="T308" t="str">
        <f>LEFT(Before_Tbl[[#This Row],[Department_Region]],FIND("-",Before_Tbl[[#This Row],[Department_Region]])-1)</f>
        <v>DevOps</v>
      </c>
      <c r="U308" t="str">
        <f>RIGHT(Before_Tbl[[#This Row],[Department_Region]],LEN(Before_Tbl[[#This Row],[Department_Region]])-FIND("-",Before_Tbl[[#This Row],[Department_Region]]))</f>
        <v>Florida</v>
      </c>
      <c r="V308" t="str">
        <f>TRIM(PROPER(Before_Tbl[[#This Row],[Status]]))</f>
        <v>Pending</v>
      </c>
      <c r="W308" s="26">
        <v>45399</v>
      </c>
      <c r="X308" s="4">
        <v>115536.66</v>
      </c>
      <c r="Y308" t="str">
        <f>TRIM(LOWER(Before_Tbl[[#This Row],[Email]]))</f>
        <v>bob.brown@example.com</v>
      </c>
      <c r="Z308" s="2" t="str">
        <f>SUBSTITUTE(Before_Tbl[[#This Row],[Phone]],"-","")</f>
        <v>5226557675</v>
      </c>
      <c r="AA308" t="str">
        <f>TRIM(PROPER(Before_Tbl[[#This Row],[Performance_Score]]))</f>
        <v>Excellent</v>
      </c>
      <c r="AB308" s="2" t="str">
        <f>TRIM(UPPER(Before_Tbl[[#This Row],[Remote_Work]]))</f>
        <v>TRUE</v>
      </c>
    </row>
    <row r="309" spans="1:28" x14ac:dyDescent="0.35">
      <c r="A309" t="s">
        <v>617</v>
      </c>
      <c r="B309" t="s">
        <v>59</v>
      </c>
      <c r="C309" t="s">
        <v>55</v>
      </c>
      <c r="D309">
        <v>30</v>
      </c>
      <c r="E309" t="s">
        <v>159</v>
      </c>
      <c r="F309" t="s">
        <v>28</v>
      </c>
      <c r="G309" s="1">
        <v>44077</v>
      </c>
      <c r="H309">
        <v>81250.87</v>
      </c>
      <c r="I309" t="s">
        <v>217</v>
      </c>
      <c r="J309">
        <v>-9523668787</v>
      </c>
      <c r="K309" t="s">
        <v>23</v>
      </c>
      <c r="L309" t="b">
        <v>0</v>
      </c>
      <c r="P309" t="str">
        <f>TRIM(Before_Tbl[[#This Row],[Employee_ID]])</f>
        <v>EMP1307</v>
      </c>
      <c r="Q309" t="str">
        <f>TRIM(PROPER(Before_Tbl[[#This Row],[First_Name]]))</f>
        <v>David</v>
      </c>
      <c r="R309" t="str">
        <f>TRIM(PROPER(Before_Tbl[[#This Row],[Last_Name]]))</f>
        <v>Johnson</v>
      </c>
      <c r="S309" s="25">
        <f t="shared" si="4"/>
        <v>30</v>
      </c>
      <c r="T309" t="str">
        <f>LEFT(Before_Tbl[[#This Row],[Department_Region]],FIND("-",Before_Tbl[[#This Row],[Department_Region]])-1)</f>
        <v>Cloud Tech</v>
      </c>
      <c r="U309" t="str">
        <f>RIGHT(Before_Tbl[[#This Row],[Department_Region]],LEN(Before_Tbl[[#This Row],[Department_Region]])-FIND("-",Before_Tbl[[#This Row],[Department_Region]]))</f>
        <v>Texas</v>
      </c>
      <c r="V309" t="str">
        <f>TRIM(PROPER(Before_Tbl[[#This Row],[Status]]))</f>
        <v>Pending</v>
      </c>
      <c r="W309" s="26">
        <v>44077</v>
      </c>
      <c r="X309" s="4">
        <v>81250.87</v>
      </c>
      <c r="Y309" t="str">
        <f>TRIM(LOWER(Before_Tbl[[#This Row],[Email]]))</f>
        <v>david.johnson@example.com</v>
      </c>
      <c r="Z309" s="2" t="str">
        <f>SUBSTITUTE(Before_Tbl[[#This Row],[Phone]],"-","")</f>
        <v>9523668787</v>
      </c>
      <c r="AA309" t="str">
        <f>TRIM(PROPER(Before_Tbl[[#This Row],[Performance_Score]]))</f>
        <v>Excellent</v>
      </c>
      <c r="AB309" s="2" t="str">
        <f>TRIM(UPPER(Before_Tbl[[#This Row],[Remote_Work]]))</f>
        <v>FALSE</v>
      </c>
    </row>
    <row r="310" spans="1:28" x14ac:dyDescent="0.35">
      <c r="A310" t="s">
        <v>618</v>
      </c>
      <c r="B310" t="s">
        <v>25</v>
      </c>
      <c r="C310" t="s">
        <v>43</v>
      </c>
      <c r="D310">
        <v>30</v>
      </c>
      <c r="E310" t="s">
        <v>237</v>
      </c>
      <c r="F310" t="s">
        <v>33</v>
      </c>
      <c r="G310" t="s">
        <v>619</v>
      </c>
      <c r="H310">
        <v>66403.75</v>
      </c>
      <c r="I310" t="s">
        <v>45</v>
      </c>
      <c r="J310">
        <v>-7883619688</v>
      </c>
      <c r="K310" t="s">
        <v>30</v>
      </c>
      <c r="L310" t="b">
        <v>0</v>
      </c>
      <c r="P310" t="str">
        <f>TRIM(Before_Tbl[[#This Row],[Employee_ID]])</f>
        <v>EMP1308</v>
      </c>
      <c r="Q310" t="str">
        <f>TRIM(PROPER(Before_Tbl[[#This Row],[First_Name]]))</f>
        <v>Alice</v>
      </c>
      <c r="R310" t="str">
        <f>TRIM(PROPER(Before_Tbl[[#This Row],[Last_Name]]))</f>
        <v>Garcia</v>
      </c>
      <c r="S310" s="25">
        <f t="shared" si="4"/>
        <v>30</v>
      </c>
      <c r="T310" t="str">
        <f>LEFT(Before_Tbl[[#This Row],[Department_Region]],FIND("-",Before_Tbl[[#This Row],[Department_Region]])-1)</f>
        <v>DevOps</v>
      </c>
      <c r="U310" t="str">
        <f>RIGHT(Before_Tbl[[#This Row],[Department_Region]],LEN(Before_Tbl[[#This Row],[Department_Region]])-FIND("-",Before_Tbl[[#This Row],[Department_Region]]))</f>
        <v>Texas</v>
      </c>
      <c r="V310" t="str">
        <f>TRIM(PROPER(Before_Tbl[[#This Row],[Status]]))</f>
        <v>Inactive</v>
      </c>
      <c r="W310" s="26">
        <v>44729</v>
      </c>
      <c r="X310" s="4">
        <v>66403.75</v>
      </c>
      <c r="Y310" t="str">
        <f>TRIM(LOWER(Before_Tbl[[#This Row],[Email]]))</f>
        <v>alice.garcia@example.com</v>
      </c>
      <c r="Z310" s="2" t="str">
        <f>SUBSTITUTE(Before_Tbl[[#This Row],[Phone]],"-","")</f>
        <v>7883619688</v>
      </c>
      <c r="AA310" t="str">
        <f>TRIM(PROPER(Before_Tbl[[#This Row],[Performance_Score]]))</f>
        <v>Good</v>
      </c>
      <c r="AB310" s="2" t="str">
        <f>TRIM(UPPER(Before_Tbl[[#This Row],[Remote_Work]]))</f>
        <v>FALSE</v>
      </c>
    </row>
    <row r="311" spans="1:28" x14ac:dyDescent="0.35">
      <c r="A311" t="s">
        <v>620</v>
      </c>
      <c r="B311" t="s">
        <v>25</v>
      </c>
      <c r="C311" t="s">
        <v>92</v>
      </c>
      <c r="D311">
        <v>30</v>
      </c>
      <c r="E311" t="s">
        <v>177</v>
      </c>
      <c r="F311" t="s">
        <v>16</v>
      </c>
      <c r="G311" t="s">
        <v>621</v>
      </c>
      <c r="H311">
        <v>114147.79</v>
      </c>
      <c r="I311" t="s">
        <v>166</v>
      </c>
      <c r="J311">
        <v>-3135030586</v>
      </c>
      <c r="K311" t="s">
        <v>23</v>
      </c>
      <c r="L311" t="b">
        <v>0</v>
      </c>
      <c r="P311" t="str">
        <f>TRIM(Before_Tbl[[#This Row],[Employee_ID]])</f>
        <v>EMP1309</v>
      </c>
      <c r="Q311" t="str">
        <f>TRIM(PROPER(Before_Tbl[[#This Row],[First_Name]]))</f>
        <v>Alice</v>
      </c>
      <c r="R311" t="str">
        <f>TRIM(PROPER(Before_Tbl[[#This Row],[Last_Name]]))</f>
        <v>Miller</v>
      </c>
      <c r="S311" s="25">
        <f t="shared" si="4"/>
        <v>30</v>
      </c>
      <c r="T311" t="str">
        <f>LEFT(Before_Tbl[[#This Row],[Department_Region]],FIND("-",Before_Tbl[[#This Row],[Department_Region]])-1)</f>
        <v>Sales</v>
      </c>
      <c r="U311" t="str">
        <f>RIGHT(Before_Tbl[[#This Row],[Department_Region]],LEN(Before_Tbl[[#This Row],[Department_Region]])-FIND("-",Before_Tbl[[#This Row],[Department_Region]]))</f>
        <v>California</v>
      </c>
      <c r="V311" t="str">
        <f>TRIM(PROPER(Before_Tbl[[#This Row],[Status]]))</f>
        <v>Active</v>
      </c>
      <c r="W311" s="26">
        <v>45501</v>
      </c>
      <c r="X311" s="4">
        <v>114147.79</v>
      </c>
      <c r="Y311" t="str">
        <f>TRIM(LOWER(Before_Tbl[[#This Row],[Email]]))</f>
        <v>alice.miller@example.com</v>
      </c>
      <c r="Z311" s="2" t="str">
        <f>SUBSTITUTE(Before_Tbl[[#This Row],[Phone]],"-","")</f>
        <v>3135030586</v>
      </c>
      <c r="AA311" t="str">
        <f>TRIM(PROPER(Before_Tbl[[#This Row],[Performance_Score]]))</f>
        <v>Excellent</v>
      </c>
      <c r="AB311" s="2" t="str">
        <f>TRIM(UPPER(Before_Tbl[[#This Row],[Remote_Work]]))</f>
        <v>FALSE</v>
      </c>
    </row>
    <row r="312" spans="1:28" x14ac:dyDescent="0.35">
      <c r="A312" t="s">
        <v>622</v>
      </c>
      <c r="B312" t="s">
        <v>37</v>
      </c>
      <c r="C312" t="s">
        <v>43</v>
      </c>
      <c r="D312">
        <v>30</v>
      </c>
      <c r="E312" t="s">
        <v>66</v>
      </c>
      <c r="F312" t="s">
        <v>28</v>
      </c>
      <c r="G312" s="1">
        <v>44632</v>
      </c>
      <c r="H312">
        <v>65472.99</v>
      </c>
      <c r="I312" t="s">
        <v>180</v>
      </c>
      <c r="J312">
        <v>-2105524727</v>
      </c>
      <c r="K312" t="s">
        <v>30</v>
      </c>
      <c r="L312" t="b">
        <v>0</v>
      </c>
      <c r="P312" t="str">
        <f>TRIM(Before_Tbl[[#This Row],[Employee_ID]])</f>
        <v>EMP1310</v>
      </c>
      <c r="Q312" t="str">
        <f>TRIM(PROPER(Before_Tbl[[#This Row],[First_Name]]))</f>
        <v>Frank</v>
      </c>
      <c r="R312" t="str">
        <f>TRIM(PROPER(Before_Tbl[[#This Row],[Last_Name]]))</f>
        <v>Garcia</v>
      </c>
      <c r="S312" s="25">
        <f t="shared" si="4"/>
        <v>30</v>
      </c>
      <c r="T312" t="str">
        <f>LEFT(Before_Tbl[[#This Row],[Department_Region]],FIND("-",Before_Tbl[[#This Row],[Department_Region]])-1)</f>
        <v>HR</v>
      </c>
      <c r="U312" t="str">
        <f>RIGHT(Before_Tbl[[#This Row],[Department_Region]],LEN(Before_Tbl[[#This Row],[Department_Region]])-FIND("-",Before_Tbl[[#This Row],[Department_Region]]))</f>
        <v>New York</v>
      </c>
      <c r="V312" t="str">
        <f>TRIM(PROPER(Before_Tbl[[#This Row],[Status]]))</f>
        <v>Pending</v>
      </c>
      <c r="W312" s="26">
        <v>44632</v>
      </c>
      <c r="X312" s="4">
        <v>65472.99</v>
      </c>
      <c r="Y312" t="str">
        <f>TRIM(LOWER(Before_Tbl[[#This Row],[Email]]))</f>
        <v>frank.garcia@example.com</v>
      </c>
      <c r="Z312" s="2" t="str">
        <f>SUBSTITUTE(Before_Tbl[[#This Row],[Phone]],"-","")</f>
        <v>2105524727</v>
      </c>
      <c r="AA312" t="str">
        <f>TRIM(PROPER(Before_Tbl[[#This Row],[Performance_Score]]))</f>
        <v>Good</v>
      </c>
      <c r="AB312" s="2" t="str">
        <f>TRIM(UPPER(Before_Tbl[[#This Row],[Remote_Work]]))</f>
        <v>FALSE</v>
      </c>
    </row>
    <row r="313" spans="1:28" x14ac:dyDescent="0.35">
      <c r="A313" t="s">
        <v>623</v>
      </c>
      <c r="B313" t="s">
        <v>25</v>
      </c>
      <c r="C313" t="s">
        <v>14</v>
      </c>
      <c r="E313" t="s">
        <v>219</v>
      </c>
      <c r="F313" t="s">
        <v>16</v>
      </c>
      <c r="G313" s="1">
        <v>45084</v>
      </c>
      <c r="H313">
        <v>97512.51</v>
      </c>
      <c r="I313" t="s">
        <v>163</v>
      </c>
      <c r="J313">
        <v>-6333021259</v>
      </c>
      <c r="K313" t="s">
        <v>30</v>
      </c>
      <c r="L313" t="b">
        <v>1</v>
      </c>
      <c r="P313" t="str">
        <f>TRIM(Before_Tbl[[#This Row],[Employee_ID]])</f>
        <v>EMP1311</v>
      </c>
      <c r="Q313" t="str">
        <f>TRIM(PROPER(Before_Tbl[[#This Row],[First_Name]]))</f>
        <v>Alice</v>
      </c>
      <c r="R313" t="str">
        <f>TRIM(PROPER(Before_Tbl[[#This Row],[Last_Name]]))</f>
        <v>Davis</v>
      </c>
      <c r="S313" s="25">
        <f t="shared" si="4"/>
        <v>30</v>
      </c>
      <c r="T313" t="str">
        <f>LEFT(Before_Tbl[[#This Row],[Department_Region]],FIND("-",Before_Tbl[[#This Row],[Department_Region]])-1)</f>
        <v>Sales</v>
      </c>
      <c r="U313" t="str">
        <f>RIGHT(Before_Tbl[[#This Row],[Department_Region]],LEN(Before_Tbl[[#This Row],[Department_Region]])-FIND("-",Before_Tbl[[#This Row],[Department_Region]]))</f>
        <v>Nevada</v>
      </c>
      <c r="V313" t="str">
        <f>TRIM(PROPER(Before_Tbl[[#This Row],[Status]]))</f>
        <v>Active</v>
      </c>
      <c r="W313" s="26">
        <v>45084</v>
      </c>
      <c r="X313" s="4">
        <v>97512.51</v>
      </c>
      <c r="Y313" t="str">
        <f>TRIM(LOWER(Before_Tbl[[#This Row],[Email]]))</f>
        <v>alice.davis@example.com</v>
      </c>
      <c r="Z313" s="2" t="str">
        <f>SUBSTITUTE(Before_Tbl[[#This Row],[Phone]],"-","")</f>
        <v>6333021259</v>
      </c>
      <c r="AA313" t="str">
        <f>TRIM(PROPER(Before_Tbl[[#This Row],[Performance_Score]]))</f>
        <v>Good</v>
      </c>
      <c r="AB313" s="2" t="str">
        <f>TRIM(UPPER(Before_Tbl[[#This Row],[Remote_Work]]))</f>
        <v>TRUE</v>
      </c>
    </row>
    <row r="314" spans="1:28" x14ac:dyDescent="0.35">
      <c r="A314" t="s">
        <v>624</v>
      </c>
      <c r="B314" t="s">
        <v>25</v>
      </c>
      <c r="C314" t="s">
        <v>20</v>
      </c>
      <c r="D314">
        <v>35</v>
      </c>
      <c r="E314" t="s">
        <v>329</v>
      </c>
      <c r="F314" t="s">
        <v>33</v>
      </c>
      <c r="G314" t="s">
        <v>625</v>
      </c>
      <c r="H314">
        <v>86712.41</v>
      </c>
      <c r="I314" t="s">
        <v>80</v>
      </c>
      <c r="J314">
        <v>-6501917919</v>
      </c>
      <c r="K314" t="s">
        <v>18</v>
      </c>
      <c r="L314" t="b">
        <v>1</v>
      </c>
      <c r="P314" t="str">
        <f>TRIM(Before_Tbl[[#This Row],[Employee_ID]])</f>
        <v>EMP1312</v>
      </c>
      <c r="Q314" t="str">
        <f>TRIM(PROPER(Before_Tbl[[#This Row],[First_Name]]))</f>
        <v>Alice</v>
      </c>
      <c r="R314" t="str">
        <f>TRIM(PROPER(Before_Tbl[[#This Row],[Last_Name]]))</f>
        <v>Brown</v>
      </c>
      <c r="S314" s="25">
        <f t="shared" si="4"/>
        <v>35</v>
      </c>
      <c r="T314" t="str">
        <f>LEFT(Before_Tbl[[#This Row],[Department_Region]],FIND("-",Before_Tbl[[#This Row],[Department_Region]])-1)</f>
        <v>DevOps</v>
      </c>
      <c r="U314" t="str">
        <f>RIGHT(Before_Tbl[[#This Row],[Department_Region]],LEN(Before_Tbl[[#This Row],[Department_Region]])-FIND("-",Before_Tbl[[#This Row],[Department_Region]]))</f>
        <v>Nevada</v>
      </c>
      <c r="V314" t="str">
        <f>TRIM(PROPER(Before_Tbl[[#This Row],[Status]]))</f>
        <v>Inactive</v>
      </c>
      <c r="W314" s="26">
        <v>45440</v>
      </c>
      <c r="X314" s="4">
        <v>86712.41</v>
      </c>
      <c r="Y314" t="str">
        <f>TRIM(LOWER(Before_Tbl[[#This Row],[Email]]))</f>
        <v>alice.brown@example.com</v>
      </c>
      <c r="Z314" s="2" t="str">
        <f>SUBSTITUTE(Before_Tbl[[#This Row],[Phone]],"-","")</f>
        <v>6501917919</v>
      </c>
      <c r="AA314" t="str">
        <f>TRIM(PROPER(Before_Tbl[[#This Row],[Performance_Score]]))</f>
        <v>Average</v>
      </c>
      <c r="AB314" s="2" t="str">
        <f>TRIM(UPPER(Before_Tbl[[#This Row],[Remote_Work]]))</f>
        <v>TRUE</v>
      </c>
    </row>
    <row r="315" spans="1:28" x14ac:dyDescent="0.35">
      <c r="A315" t="s">
        <v>626</v>
      </c>
      <c r="B315" t="s">
        <v>69</v>
      </c>
      <c r="C315" t="s">
        <v>14</v>
      </c>
      <c r="D315">
        <v>30</v>
      </c>
      <c r="E315" t="s">
        <v>212</v>
      </c>
      <c r="F315" t="s">
        <v>16</v>
      </c>
      <c r="G315" t="s">
        <v>627</v>
      </c>
      <c r="H315">
        <v>87654.98</v>
      </c>
      <c r="I315" t="s">
        <v>235</v>
      </c>
      <c r="J315">
        <v>-2521310961</v>
      </c>
      <c r="K315" t="s">
        <v>41</v>
      </c>
      <c r="L315" t="b">
        <v>0</v>
      </c>
      <c r="P315" t="str">
        <f>TRIM(Before_Tbl[[#This Row],[Employee_ID]])</f>
        <v>EMP1313</v>
      </c>
      <c r="Q315" t="str">
        <f>TRIM(PROPER(Before_Tbl[[#This Row],[First_Name]]))</f>
        <v>Grace</v>
      </c>
      <c r="R315" t="str">
        <f>TRIM(PROPER(Before_Tbl[[#This Row],[Last_Name]]))</f>
        <v>Davis</v>
      </c>
      <c r="S315" s="25">
        <f t="shared" si="4"/>
        <v>30</v>
      </c>
      <c r="T315" t="str">
        <f>LEFT(Before_Tbl[[#This Row],[Department_Region]],FIND("-",Before_Tbl[[#This Row],[Department_Region]])-1)</f>
        <v>HR</v>
      </c>
      <c r="U315" t="str">
        <f>RIGHT(Before_Tbl[[#This Row],[Department_Region]],LEN(Before_Tbl[[#This Row],[Department_Region]])-FIND("-",Before_Tbl[[#This Row],[Department_Region]]))</f>
        <v>Florida</v>
      </c>
      <c r="V315" t="str">
        <f>TRIM(PROPER(Before_Tbl[[#This Row],[Status]]))</f>
        <v>Active</v>
      </c>
      <c r="W315" s="26">
        <v>45376</v>
      </c>
      <c r="X315" s="4">
        <v>87654.98</v>
      </c>
      <c r="Y315" t="str">
        <f>TRIM(LOWER(Before_Tbl[[#This Row],[Email]]))</f>
        <v>grace.davis@example.com</v>
      </c>
      <c r="Z315" s="2" t="str">
        <f>SUBSTITUTE(Before_Tbl[[#This Row],[Phone]],"-","")</f>
        <v>2521310961</v>
      </c>
      <c r="AA315" t="str">
        <f>TRIM(PROPER(Before_Tbl[[#This Row],[Performance_Score]]))</f>
        <v>Poor</v>
      </c>
      <c r="AB315" s="2" t="str">
        <f>TRIM(UPPER(Before_Tbl[[#This Row],[Remote_Work]]))</f>
        <v>FALSE</v>
      </c>
    </row>
    <row r="316" spans="1:28" x14ac:dyDescent="0.35">
      <c r="A316" t="s">
        <v>628</v>
      </c>
      <c r="B316" t="s">
        <v>59</v>
      </c>
      <c r="C316" t="s">
        <v>38</v>
      </c>
      <c r="D316">
        <v>35</v>
      </c>
      <c r="E316" t="s">
        <v>56</v>
      </c>
      <c r="F316" t="s">
        <v>33</v>
      </c>
      <c r="G316" t="s">
        <v>629</v>
      </c>
      <c r="H316">
        <v>89367.02</v>
      </c>
      <c r="I316" t="s">
        <v>61</v>
      </c>
      <c r="J316">
        <v>-2728476569</v>
      </c>
      <c r="K316" t="s">
        <v>41</v>
      </c>
      <c r="L316" t="b">
        <v>0</v>
      </c>
      <c r="P316" t="str">
        <f>TRIM(Before_Tbl[[#This Row],[Employee_ID]])</f>
        <v>EMP1314</v>
      </c>
      <c r="Q316" t="str">
        <f>TRIM(PROPER(Before_Tbl[[#This Row],[First_Name]]))</f>
        <v>David</v>
      </c>
      <c r="R316" t="str">
        <f>TRIM(PROPER(Before_Tbl[[#This Row],[Last_Name]]))</f>
        <v>Williams</v>
      </c>
      <c r="S316" s="25">
        <f t="shared" si="4"/>
        <v>35</v>
      </c>
      <c r="T316" t="str">
        <f>LEFT(Before_Tbl[[#This Row],[Department_Region]],FIND("-",Before_Tbl[[#This Row],[Department_Region]])-1)</f>
        <v>DevOps</v>
      </c>
      <c r="U316" t="str">
        <f>RIGHT(Before_Tbl[[#This Row],[Department_Region]],LEN(Before_Tbl[[#This Row],[Department_Region]])-FIND("-",Before_Tbl[[#This Row],[Department_Region]]))</f>
        <v>New York</v>
      </c>
      <c r="V316" t="str">
        <f>TRIM(PROPER(Before_Tbl[[#This Row],[Status]]))</f>
        <v>Inactive</v>
      </c>
      <c r="W316" s="26">
        <v>43949</v>
      </c>
      <c r="X316" s="4">
        <v>89367.02</v>
      </c>
      <c r="Y316" t="str">
        <f>TRIM(LOWER(Before_Tbl[[#This Row],[Email]]))</f>
        <v>david.williams@example.com</v>
      </c>
      <c r="Z316" s="2" t="str">
        <f>SUBSTITUTE(Before_Tbl[[#This Row],[Phone]],"-","")</f>
        <v>2728476569</v>
      </c>
      <c r="AA316" t="str">
        <f>TRIM(PROPER(Before_Tbl[[#This Row],[Performance_Score]]))</f>
        <v>Poor</v>
      </c>
      <c r="AB316" s="2" t="str">
        <f>TRIM(UPPER(Before_Tbl[[#This Row],[Remote_Work]]))</f>
        <v>FALSE</v>
      </c>
    </row>
    <row r="317" spans="1:28" x14ac:dyDescent="0.35">
      <c r="A317" t="s">
        <v>630</v>
      </c>
      <c r="B317" t="s">
        <v>54</v>
      </c>
      <c r="C317" t="s">
        <v>43</v>
      </c>
      <c r="D317">
        <v>40</v>
      </c>
      <c r="E317" t="s">
        <v>118</v>
      </c>
      <c r="F317" t="s">
        <v>16</v>
      </c>
      <c r="G317" s="1">
        <v>44388</v>
      </c>
      <c r="H317">
        <v>95269.41</v>
      </c>
      <c r="I317" t="s">
        <v>87</v>
      </c>
      <c r="J317">
        <v>-4120092819</v>
      </c>
      <c r="K317" t="s">
        <v>30</v>
      </c>
      <c r="L317" t="b">
        <v>1</v>
      </c>
      <c r="P317" t="str">
        <f>TRIM(Before_Tbl[[#This Row],[Employee_ID]])</f>
        <v>EMP1315</v>
      </c>
      <c r="Q317" t="str">
        <f>TRIM(PROPER(Before_Tbl[[#This Row],[First_Name]]))</f>
        <v>Charlie</v>
      </c>
      <c r="R317" t="str">
        <f>TRIM(PROPER(Before_Tbl[[#This Row],[Last_Name]]))</f>
        <v>Garcia</v>
      </c>
      <c r="S317" s="25">
        <f t="shared" si="4"/>
        <v>40</v>
      </c>
      <c r="T317" t="str">
        <f>LEFT(Before_Tbl[[#This Row],[Department_Region]],FIND("-",Before_Tbl[[#This Row],[Department_Region]])-1)</f>
        <v>Admin</v>
      </c>
      <c r="U317" t="str">
        <f>RIGHT(Before_Tbl[[#This Row],[Department_Region]],LEN(Before_Tbl[[#This Row],[Department_Region]])-FIND("-",Before_Tbl[[#This Row],[Department_Region]]))</f>
        <v>California</v>
      </c>
      <c r="V317" t="str">
        <f>TRIM(PROPER(Before_Tbl[[#This Row],[Status]]))</f>
        <v>Active</v>
      </c>
      <c r="W317" s="26">
        <v>44388</v>
      </c>
      <c r="X317" s="4">
        <v>95269.41</v>
      </c>
      <c r="Y317" t="str">
        <f>TRIM(LOWER(Before_Tbl[[#This Row],[Email]]))</f>
        <v>charlie.garcia@example.com</v>
      </c>
      <c r="Z317" s="2" t="str">
        <f>SUBSTITUTE(Before_Tbl[[#This Row],[Phone]],"-","")</f>
        <v>4120092819</v>
      </c>
      <c r="AA317" t="str">
        <f>TRIM(PROPER(Before_Tbl[[#This Row],[Performance_Score]]))</f>
        <v>Good</v>
      </c>
      <c r="AB317" s="2" t="str">
        <f>TRIM(UPPER(Before_Tbl[[#This Row],[Remote_Work]]))</f>
        <v>TRUE</v>
      </c>
    </row>
    <row r="318" spans="1:28" x14ac:dyDescent="0.35">
      <c r="A318" t="s">
        <v>631</v>
      </c>
      <c r="B318" t="s">
        <v>37</v>
      </c>
      <c r="C318" t="s">
        <v>38</v>
      </c>
      <c r="D318">
        <v>25</v>
      </c>
      <c r="E318" t="s">
        <v>219</v>
      </c>
      <c r="F318" t="s">
        <v>16</v>
      </c>
      <c r="G318" t="s">
        <v>632</v>
      </c>
      <c r="H318">
        <v>68792.31</v>
      </c>
      <c r="I318" t="s">
        <v>40</v>
      </c>
      <c r="J318">
        <v>-6678498435</v>
      </c>
      <c r="K318" t="s">
        <v>18</v>
      </c>
      <c r="L318" t="b">
        <v>0</v>
      </c>
      <c r="P318" t="str">
        <f>TRIM(Before_Tbl[[#This Row],[Employee_ID]])</f>
        <v>EMP1316</v>
      </c>
      <c r="Q318" t="str">
        <f>TRIM(PROPER(Before_Tbl[[#This Row],[First_Name]]))</f>
        <v>Frank</v>
      </c>
      <c r="R318" t="str">
        <f>TRIM(PROPER(Before_Tbl[[#This Row],[Last_Name]]))</f>
        <v>Williams</v>
      </c>
      <c r="S318" s="25">
        <f t="shared" si="4"/>
        <v>25</v>
      </c>
      <c r="T318" t="str">
        <f>LEFT(Before_Tbl[[#This Row],[Department_Region]],FIND("-",Before_Tbl[[#This Row],[Department_Region]])-1)</f>
        <v>Sales</v>
      </c>
      <c r="U318" t="str">
        <f>RIGHT(Before_Tbl[[#This Row],[Department_Region]],LEN(Before_Tbl[[#This Row],[Department_Region]])-FIND("-",Before_Tbl[[#This Row],[Department_Region]]))</f>
        <v>Nevada</v>
      </c>
      <c r="V318" t="str">
        <f>TRIM(PROPER(Before_Tbl[[#This Row],[Status]]))</f>
        <v>Active</v>
      </c>
      <c r="W318" s="26">
        <v>43936</v>
      </c>
      <c r="X318" s="4">
        <v>68792.31</v>
      </c>
      <c r="Y318" t="str">
        <f>TRIM(LOWER(Before_Tbl[[#This Row],[Email]]))</f>
        <v>frank.williams@example.com</v>
      </c>
      <c r="Z318" s="2" t="str">
        <f>SUBSTITUTE(Before_Tbl[[#This Row],[Phone]],"-","")</f>
        <v>6678498435</v>
      </c>
      <c r="AA318" t="str">
        <f>TRIM(PROPER(Before_Tbl[[#This Row],[Performance_Score]]))</f>
        <v>Average</v>
      </c>
      <c r="AB318" s="2" t="str">
        <f>TRIM(UPPER(Before_Tbl[[#This Row],[Remote_Work]]))</f>
        <v>FALSE</v>
      </c>
    </row>
    <row r="319" spans="1:28" x14ac:dyDescent="0.35">
      <c r="A319" t="s">
        <v>633</v>
      </c>
      <c r="B319" t="s">
        <v>25</v>
      </c>
      <c r="C319" t="s">
        <v>122</v>
      </c>
      <c r="D319">
        <v>25</v>
      </c>
      <c r="E319" t="s">
        <v>89</v>
      </c>
      <c r="F319" t="s">
        <v>28</v>
      </c>
      <c r="G319" s="1">
        <v>45117</v>
      </c>
      <c r="H319">
        <v>89119.53</v>
      </c>
      <c r="I319" t="s">
        <v>182</v>
      </c>
      <c r="J319">
        <v>-2418623689</v>
      </c>
      <c r="K319" t="s">
        <v>30</v>
      </c>
      <c r="L319" t="b">
        <v>1</v>
      </c>
      <c r="P319" t="str">
        <f>TRIM(Before_Tbl[[#This Row],[Employee_ID]])</f>
        <v>EMP1317</v>
      </c>
      <c r="Q319" t="str">
        <f>TRIM(PROPER(Before_Tbl[[#This Row],[First_Name]]))</f>
        <v>Alice</v>
      </c>
      <c r="R319" t="str">
        <f>TRIM(PROPER(Before_Tbl[[#This Row],[Last_Name]]))</f>
        <v>Smith</v>
      </c>
      <c r="S319" s="25">
        <f t="shared" si="4"/>
        <v>25</v>
      </c>
      <c r="T319" t="str">
        <f>LEFT(Before_Tbl[[#This Row],[Department_Region]],FIND("-",Before_Tbl[[#This Row],[Department_Region]])-1)</f>
        <v>Admin</v>
      </c>
      <c r="U319" t="str">
        <f>RIGHT(Before_Tbl[[#This Row],[Department_Region]],LEN(Before_Tbl[[#This Row],[Department_Region]])-FIND("-",Before_Tbl[[#This Row],[Department_Region]]))</f>
        <v>Illinois</v>
      </c>
      <c r="V319" t="str">
        <f>TRIM(PROPER(Before_Tbl[[#This Row],[Status]]))</f>
        <v>Pending</v>
      </c>
      <c r="W319" s="26">
        <v>45117</v>
      </c>
      <c r="X319" s="4">
        <v>89119.53</v>
      </c>
      <c r="Y319" t="str">
        <f>TRIM(LOWER(Before_Tbl[[#This Row],[Email]]))</f>
        <v>alice.smith@example.com</v>
      </c>
      <c r="Z319" s="2" t="str">
        <f>SUBSTITUTE(Before_Tbl[[#This Row],[Phone]],"-","")</f>
        <v>2418623689</v>
      </c>
      <c r="AA319" t="str">
        <f>TRIM(PROPER(Before_Tbl[[#This Row],[Performance_Score]]))</f>
        <v>Good</v>
      </c>
      <c r="AB319" s="2" t="str">
        <f>TRIM(UPPER(Before_Tbl[[#This Row],[Remote_Work]]))</f>
        <v>TRUE</v>
      </c>
    </row>
    <row r="320" spans="1:28" x14ac:dyDescent="0.35">
      <c r="A320" t="s">
        <v>634</v>
      </c>
      <c r="B320" t="s">
        <v>37</v>
      </c>
      <c r="C320" t="s">
        <v>14</v>
      </c>
      <c r="D320">
        <v>35</v>
      </c>
      <c r="E320" t="s">
        <v>60</v>
      </c>
      <c r="F320" t="s">
        <v>16</v>
      </c>
      <c r="G320" t="s">
        <v>635</v>
      </c>
      <c r="H320">
        <v>58212.13</v>
      </c>
      <c r="I320" t="s">
        <v>52</v>
      </c>
      <c r="J320">
        <v>-3628917755</v>
      </c>
      <c r="K320" t="s">
        <v>30</v>
      </c>
      <c r="L320" t="b">
        <v>0</v>
      </c>
      <c r="P320" t="str">
        <f>TRIM(Before_Tbl[[#This Row],[Employee_ID]])</f>
        <v>EMP1318</v>
      </c>
      <c r="Q320" t="str">
        <f>TRIM(PROPER(Before_Tbl[[#This Row],[First_Name]]))</f>
        <v>Frank</v>
      </c>
      <c r="R320" t="str">
        <f>TRIM(PROPER(Before_Tbl[[#This Row],[Last_Name]]))</f>
        <v>Davis</v>
      </c>
      <c r="S320" s="25">
        <f t="shared" si="4"/>
        <v>35</v>
      </c>
      <c r="T320" t="str">
        <f>LEFT(Before_Tbl[[#This Row],[Department_Region]],FIND("-",Before_Tbl[[#This Row],[Department_Region]])-1)</f>
        <v>Cloud Tech</v>
      </c>
      <c r="U320" t="str">
        <f>RIGHT(Before_Tbl[[#This Row],[Department_Region]],LEN(Before_Tbl[[#This Row],[Department_Region]])-FIND("-",Before_Tbl[[#This Row],[Department_Region]]))</f>
        <v>New York</v>
      </c>
      <c r="V320" t="str">
        <f>TRIM(PROPER(Before_Tbl[[#This Row],[Status]]))</f>
        <v>Active</v>
      </c>
      <c r="W320" s="26">
        <v>45349</v>
      </c>
      <c r="X320" s="4">
        <v>58212.13</v>
      </c>
      <c r="Y320" t="str">
        <f>TRIM(LOWER(Before_Tbl[[#This Row],[Email]]))</f>
        <v>frank.davis@example.com</v>
      </c>
      <c r="Z320" s="2" t="str">
        <f>SUBSTITUTE(Before_Tbl[[#This Row],[Phone]],"-","")</f>
        <v>3628917755</v>
      </c>
      <c r="AA320" t="str">
        <f>TRIM(PROPER(Before_Tbl[[#This Row],[Performance_Score]]))</f>
        <v>Good</v>
      </c>
      <c r="AB320" s="2" t="str">
        <f>TRIM(UPPER(Before_Tbl[[#This Row],[Remote_Work]]))</f>
        <v>FALSE</v>
      </c>
    </row>
    <row r="321" spans="1:28" x14ac:dyDescent="0.35">
      <c r="A321" t="s">
        <v>636</v>
      </c>
      <c r="B321" t="s">
        <v>65</v>
      </c>
      <c r="C321" t="s">
        <v>92</v>
      </c>
      <c r="D321">
        <v>30</v>
      </c>
      <c r="E321" t="s">
        <v>78</v>
      </c>
      <c r="F321" t="s">
        <v>28</v>
      </c>
      <c r="G321" t="s">
        <v>637</v>
      </c>
      <c r="H321">
        <v>77764.240000000005</v>
      </c>
      <c r="I321" t="s">
        <v>130</v>
      </c>
      <c r="J321">
        <v>-6205634110</v>
      </c>
      <c r="K321" t="s">
        <v>30</v>
      </c>
      <c r="L321" t="b">
        <v>1</v>
      </c>
      <c r="P321" t="str">
        <f>TRIM(Before_Tbl[[#This Row],[Employee_ID]])</f>
        <v>EMP1319</v>
      </c>
      <c r="Q321" t="str">
        <f>TRIM(PROPER(Before_Tbl[[#This Row],[First_Name]]))</f>
        <v>Heidi</v>
      </c>
      <c r="R321" t="str">
        <f>TRIM(PROPER(Before_Tbl[[#This Row],[Last_Name]]))</f>
        <v>Miller</v>
      </c>
      <c r="S321" s="25">
        <f t="shared" si="4"/>
        <v>30</v>
      </c>
      <c r="T321" t="str">
        <f>LEFT(Before_Tbl[[#This Row],[Department_Region]],FIND("-",Before_Tbl[[#This Row],[Department_Region]])-1)</f>
        <v>DevOps</v>
      </c>
      <c r="U321" t="str">
        <f>RIGHT(Before_Tbl[[#This Row],[Department_Region]],LEN(Before_Tbl[[#This Row],[Department_Region]])-FIND("-",Before_Tbl[[#This Row],[Department_Region]]))</f>
        <v>Illinois</v>
      </c>
      <c r="V321" t="str">
        <f>TRIM(PROPER(Before_Tbl[[#This Row],[Status]]))</f>
        <v>Pending</v>
      </c>
      <c r="W321" s="26">
        <v>44249</v>
      </c>
      <c r="X321" s="4">
        <v>77764.240000000005</v>
      </c>
      <c r="Y321" t="str">
        <f>TRIM(LOWER(Before_Tbl[[#This Row],[Email]]))</f>
        <v>heidi.miller@example.com</v>
      </c>
      <c r="Z321" s="2" t="str">
        <f>SUBSTITUTE(Before_Tbl[[#This Row],[Phone]],"-","")</f>
        <v>6205634110</v>
      </c>
      <c r="AA321" t="str">
        <f>TRIM(PROPER(Before_Tbl[[#This Row],[Performance_Score]]))</f>
        <v>Good</v>
      </c>
      <c r="AB321" s="2" t="str">
        <f>TRIM(UPPER(Before_Tbl[[#This Row],[Remote_Work]]))</f>
        <v>TRUE</v>
      </c>
    </row>
    <row r="322" spans="1:28" x14ac:dyDescent="0.35">
      <c r="A322" t="s">
        <v>638</v>
      </c>
      <c r="B322" t="s">
        <v>37</v>
      </c>
      <c r="C322" t="s">
        <v>43</v>
      </c>
      <c r="D322">
        <v>35</v>
      </c>
      <c r="E322" t="s">
        <v>112</v>
      </c>
      <c r="F322" t="s">
        <v>28</v>
      </c>
      <c r="G322" t="s">
        <v>639</v>
      </c>
      <c r="H322">
        <v>75148.17</v>
      </c>
      <c r="I322" t="s">
        <v>180</v>
      </c>
      <c r="J322">
        <v>-5950342810</v>
      </c>
      <c r="K322" t="s">
        <v>18</v>
      </c>
      <c r="L322" t="b">
        <v>0</v>
      </c>
      <c r="P322" t="str">
        <f>TRIM(Before_Tbl[[#This Row],[Employee_ID]])</f>
        <v>EMP1320</v>
      </c>
      <c r="Q322" t="str">
        <f>TRIM(PROPER(Before_Tbl[[#This Row],[First_Name]]))</f>
        <v>Frank</v>
      </c>
      <c r="R322" t="str">
        <f>TRIM(PROPER(Before_Tbl[[#This Row],[Last_Name]]))</f>
        <v>Garcia</v>
      </c>
      <c r="S322" s="25">
        <f t="shared" ref="S322:S385" si="5">IF(ISBLANK(D322),30,D322)</f>
        <v>35</v>
      </c>
      <c r="T322" t="str">
        <f>LEFT(Before_Tbl[[#This Row],[Department_Region]],FIND("-",Before_Tbl[[#This Row],[Department_Region]])-1)</f>
        <v>Finance</v>
      </c>
      <c r="U322" t="str">
        <f>RIGHT(Before_Tbl[[#This Row],[Department_Region]],LEN(Before_Tbl[[#This Row],[Department_Region]])-FIND("-",Before_Tbl[[#This Row],[Department_Region]]))</f>
        <v>Florida</v>
      </c>
      <c r="V322" t="str">
        <f>TRIM(PROPER(Before_Tbl[[#This Row],[Status]]))</f>
        <v>Pending</v>
      </c>
      <c r="W322" s="26">
        <v>45159</v>
      </c>
      <c r="X322" s="4">
        <v>75148.17</v>
      </c>
      <c r="Y322" t="str">
        <f>TRIM(LOWER(Before_Tbl[[#This Row],[Email]]))</f>
        <v>frank.garcia@example.com</v>
      </c>
      <c r="Z322" s="2" t="str">
        <f>SUBSTITUTE(Before_Tbl[[#This Row],[Phone]],"-","")</f>
        <v>5950342810</v>
      </c>
      <c r="AA322" t="str">
        <f>TRIM(PROPER(Before_Tbl[[#This Row],[Performance_Score]]))</f>
        <v>Average</v>
      </c>
      <c r="AB322" s="2" t="str">
        <f>TRIM(UPPER(Before_Tbl[[#This Row],[Remote_Work]]))</f>
        <v>FALSE</v>
      </c>
    </row>
    <row r="323" spans="1:28" x14ac:dyDescent="0.35">
      <c r="A323" t="s">
        <v>640</v>
      </c>
      <c r="B323" t="s">
        <v>65</v>
      </c>
      <c r="C323" t="s">
        <v>26</v>
      </c>
      <c r="D323">
        <v>40</v>
      </c>
      <c r="E323" t="s">
        <v>85</v>
      </c>
      <c r="F323" t="s">
        <v>33</v>
      </c>
      <c r="G323" s="1">
        <v>45508</v>
      </c>
      <c r="H323">
        <v>108781.18</v>
      </c>
      <c r="I323" t="s">
        <v>320</v>
      </c>
      <c r="J323">
        <v>-3904383033</v>
      </c>
      <c r="K323" t="s">
        <v>41</v>
      </c>
      <c r="L323" t="b">
        <v>0</v>
      </c>
      <c r="P323" t="str">
        <f>TRIM(Before_Tbl[[#This Row],[Employee_ID]])</f>
        <v>EMP1321</v>
      </c>
      <c r="Q323" t="str">
        <f>TRIM(PROPER(Before_Tbl[[#This Row],[First_Name]]))</f>
        <v>Heidi</v>
      </c>
      <c r="R323" t="str">
        <f>TRIM(PROPER(Before_Tbl[[#This Row],[Last_Name]]))</f>
        <v>Jones</v>
      </c>
      <c r="S323" s="25">
        <f t="shared" si="5"/>
        <v>40</v>
      </c>
      <c r="T323" t="str">
        <f>LEFT(Before_Tbl[[#This Row],[Department_Region]],FIND("-",Before_Tbl[[#This Row],[Department_Region]])-1)</f>
        <v>Cloud Tech</v>
      </c>
      <c r="U323" t="str">
        <f>RIGHT(Before_Tbl[[#This Row],[Department_Region]],LEN(Before_Tbl[[#This Row],[Department_Region]])-FIND("-",Before_Tbl[[#This Row],[Department_Region]]))</f>
        <v>Nevada</v>
      </c>
      <c r="V323" t="str">
        <f>TRIM(PROPER(Before_Tbl[[#This Row],[Status]]))</f>
        <v>Inactive</v>
      </c>
      <c r="W323" s="26">
        <v>45508</v>
      </c>
      <c r="X323" s="4">
        <v>108781.18</v>
      </c>
      <c r="Y323" t="str">
        <f>TRIM(LOWER(Before_Tbl[[#This Row],[Email]]))</f>
        <v>heidi.jones@example.com</v>
      </c>
      <c r="Z323" s="2" t="str">
        <f>SUBSTITUTE(Before_Tbl[[#This Row],[Phone]],"-","")</f>
        <v>3904383033</v>
      </c>
      <c r="AA323" t="str">
        <f>TRIM(PROPER(Before_Tbl[[#This Row],[Performance_Score]]))</f>
        <v>Poor</v>
      </c>
      <c r="AB323" s="2" t="str">
        <f>TRIM(UPPER(Before_Tbl[[#This Row],[Remote_Work]]))</f>
        <v>FALSE</v>
      </c>
    </row>
    <row r="324" spans="1:28" x14ac:dyDescent="0.35">
      <c r="A324" t="s">
        <v>641</v>
      </c>
      <c r="B324" t="s">
        <v>37</v>
      </c>
      <c r="C324" t="s">
        <v>20</v>
      </c>
      <c r="D324">
        <v>35</v>
      </c>
      <c r="E324" t="s">
        <v>21</v>
      </c>
      <c r="F324" t="s">
        <v>28</v>
      </c>
      <c r="G324" s="1">
        <v>45393</v>
      </c>
      <c r="H324">
        <v>65489.19</v>
      </c>
      <c r="I324" t="s">
        <v>239</v>
      </c>
      <c r="J324">
        <v>-1990970050</v>
      </c>
      <c r="K324" t="s">
        <v>18</v>
      </c>
      <c r="L324" t="b">
        <v>1</v>
      </c>
      <c r="P324" t="str">
        <f>TRIM(Before_Tbl[[#This Row],[Employee_ID]])</f>
        <v>EMP1322</v>
      </c>
      <c r="Q324" t="str">
        <f>TRIM(PROPER(Before_Tbl[[#This Row],[First_Name]]))</f>
        <v>Frank</v>
      </c>
      <c r="R324" t="str">
        <f>TRIM(PROPER(Before_Tbl[[#This Row],[Last_Name]]))</f>
        <v>Brown</v>
      </c>
      <c r="S324" s="25">
        <f t="shared" si="5"/>
        <v>35</v>
      </c>
      <c r="T324" t="str">
        <f>LEFT(Before_Tbl[[#This Row],[Department_Region]],FIND("-",Before_Tbl[[#This Row],[Department_Region]])-1)</f>
        <v>Finance</v>
      </c>
      <c r="U324" t="str">
        <f>RIGHT(Before_Tbl[[#This Row],[Department_Region]],LEN(Before_Tbl[[#This Row],[Department_Region]])-FIND("-",Before_Tbl[[#This Row],[Department_Region]]))</f>
        <v>Texas</v>
      </c>
      <c r="V324" t="str">
        <f>TRIM(PROPER(Before_Tbl[[#This Row],[Status]]))</f>
        <v>Pending</v>
      </c>
      <c r="W324" s="26">
        <v>45393</v>
      </c>
      <c r="X324" s="4">
        <v>65489.19</v>
      </c>
      <c r="Y324" t="str">
        <f>TRIM(LOWER(Before_Tbl[[#This Row],[Email]]))</f>
        <v>frank.brown@example.com</v>
      </c>
      <c r="Z324" s="2" t="str">
        <f>SUBSTITUTE(Before_Tbl[[#This Row],[Phone]],"-","")</f>
        <v>1990970050</v>
      </c>
      <c r="AA324" t="str">
        <f>TRIM(PROPER(Before_Tbl[[#This Row],[Performance_Score]]))</f>
        <v>Average</v>
      </c>
      <c r="AB324" s="2" t="str">
        <f>TRIM(UPPER(Before_Tbl[[#This Row],[Remote_Work]]))</f>
        <v>TRUE</v>
      </c>
    </row>
    <row r="325" spans="1:28" x14ac:dyDescent="0.35">
      <c r="A325" t="s">
        <v>642</v>
      </c>
      <c r="B325" t="s">
        <v>32</v>
      </c>
      <c r="C325" t="s">
        <v>55</v>
      </c>
      <c r="E325" t="s">
        <v>98</v>
      </c>
      <c r="F325" t="s">
        <v>28</v>
      </c>
      <c r="G325" s="1">
        <v>44686</v>
      </c>
      <c r="H325">
        <v>70663.460000000006</v>
      </c>
      <c r="I325" t="s">
        <v>323</v>
      </c>
      <c r="J325">
        <v>-4054683564</v>
      </c>
      <c r="K325" t="s">
        <v>23</v>
      </c>
      <c r="L325" t="b">
        <v>0</v>
      </c>
      <c r="P325" t="str">
        <f>TRIM(Before_Tbl[[#This Row],[Employee_ID]])</f>
        <v>EMP1323</v>
      </c>
      <c r="Q325" t="str">
        <f>TRIM(PROPER(Before_Tbl[[#This Row],[First_Name]]))</f>
        <v>Eva</v>
      </c>
      <c r="R325" t="str">
        <f>TRIM(PROPER(Before_Tbl[[#This Row],[Last_Name]]))</f>
        <v>Johnson</v>
      </c>
      <c r="S325" s="25">
        <f t="shared" si="5"/>
        <v>30</v>
      </c>
      <c r="T325" t="str">
        <f>LEFT(Before_Tbl[[#This Row],[Department_Region]],FIND("-",Before_Tbl[[#This Row],[Department_Region]])-1)</f>
        <v>Sales</v>
      </c>
      <c r="U325" t="str">
        <f>RIGHT(Before_Tbl[[#This Row],[Department_Region]],LEN(Before_Tbl[[#This Row],[Department_Region]])-FIND("-",Before_Tbl[[#This Row],[Department_Region]]))</f>
        <v>Illinois</v>
      </c>
      <c r="V325" t="str">
        <f>TRIM(PROPER(Before_Tbl[[#This Row],[Status]]))</f>
        <v>Pending</v>
      </c>
      <c r="W325" s="26">
        <v>44686</v>
      </c>
      <c r="X325" s="4">
        <v>70663.460000000006</v>
      </c>
      <c r="Y325" t="str">
        <f>TRIM(LOWER(Before_Tbl[[#This Row],[Email]]))</f>
        <v>eva.johnson@example.com</v>
      </c>
      <c r="Z325" s="2" t="str">
        <f>SUBSTITUTE(Before_Tbl[[#This Row],[Phone]],"-","")</f>
        <v>4054683564</v>
      </c>
      <c r="AA325" t="str">
        <f>TRIM(PROPER(Before_Tbl[[#This Row],[Performance_Score]]))</f>
        <v>Excellent</v>
      </c>
      <c r="AB325" s="2" t="str">
        <f>TRIM(UPPER(Before_Tbl[[#This Row],[Remote_Work]]))</f>
        <v>FALSE</v>
      </c>
    </row>
    <row r="326" spans="1:28" x14ac:dyDescent="0.35">
      <c r="A326" t="s">
        <v>643</v>
      </c>
      <c r="B326" t="s">
        <v>59</v>
      </c>
      <c r="C326" t="s">
        <v>92</v>
      </c>
      <c r="D326">
        <v>40</v>
      </c>
      <c r="E326" t="s">
        <v>109</v>
      </c>
      <c r="F326" t="s">
        <v>33</v>
      </c>
      <c r="G326" s="1">
        <v>44928</v>
      </c>
      <c r="H326">
        <v>95822.56</v>
      </c>
      <c r="I326" t="s">
        <v>107</v>
      </c>
      <c r="J326">
        <v>-2156818208</v>
      </c>
      <c r="K326" t="s">
        <v>18</v>
      </c>
      <c r="L326" t="b">
        <v>0</v>
      </c>
      <c r="P326" t="str">
        <f>TRIM(Before_Tbl[[#This Row],[Employee_ID]])</f>
        <v>EMP1324</v>
      </c>
      <c r="Q326" t="str">
        <f>TRIM(PROPER(Before_Tbl[[#This Row],[First_Name]]))</f>
        <v>David</v>
      </c>
      <c r="R326" t="str">
        <f>TRIM(PROPER(Before_Tbl[[#This Row],[Last_Name]]))</f>
        <v>Miller</v>
      </c>
      <c r="S326" s="25">
        <f t="shared" si="5"/>
        <v>40</v>
      </c>
      <c r="T326" t="str">
        <f>LEFT(Before_Tbl[[#This Row],[Department_Region]],FIND("-",Before_Tbl[[#This Row],[Department_Region]])-1)</f>
        <v>Sales</v>
      </c>
      <c r="U326" t="str">
        <f>RIGHT(Before_Tbl[[#This Row],[Department_Region]],LEN(Before_Tbl[[#This Row],[Department_Region]])-FIND("-",Before_Tbl[[#This Row],[Department_Region]]))</f>
        <v>New York</v>
      </c>
      <c r="V326" t="str">
        <f>TRIM(PROPER(Before_Tbl[[#This Row],[Status]]))</f>
        <v>Inactive</v>
      </c>
      <c r="W326" s="26">
        <v>44928</v>
      </c>
      <c r="X326" s="4">
        <v>95822.56</v>
      </c>
      <c r="Y326" t="str">
        <f>TRIM(LOWER(Before_Tbl[[#This Row],[Email]]))</f>
        <v>david.miller@example.com</v>
      </c>
      <c r="Z326" s="2" t="str">
        <f>SUBSTITUTE(Before_Tbl[[#This Row],[Phone]],"-","")</f>
        <v>2156818208</v>
      </c>
      <c r="AA326" t="str">
        <f>TRIM(PROPER(Before_Tbl[[#This Row],[Performance_Score]]))</f>
        <v>Average</v>
      </c>
      <c r="AB326" s="2" t="str">
        <f>TRIM(UPPER(Before_Tbl[[#This Row],[Remote_Work]]))</f>
        <v>FALSE</v>
      </c>
    </row>
    <row r="327" spans="1:28" x14ac:dyDescent="0.35">
      <c r="A327" t="s">
        <v>644</v>
      </c>
      <c r="B327" t="s">
        <v>32</v>
      </c>
      <c r="C327" t="s">
        <v>92</v>
      </c>
      <c r="D327">
        <v>40</v>
      </c>
      <c r="E327" t="s">
        <v>329</v>
      </c>
      <c r="F327" t="s">
        <v>28</v>
      </c>
      <c r="G327" s="1">
        <v>44571</v>
      </c>
      <c r="H327">
        <v>82258.03</v>
      </c>
      <c r="I327" t="s">
        <v>263</v>
      </c>
      <c r="J327">
        <v>-6790422710</v>
      </c>
      <c r="K327" t="s">
        <v>18</v>
      </c>
      <c r="L327" t="b">
        <v>1</v>
      </c>
      <c r="P327" t="str">
        <f>TRIM(Before_Tbl[[#This Row],[Employee_ID]])</f>
        <v>EMP1325</v>
      </c>
      <c r="Q327" t="str">
        <f>TRIM(PROPER(Before_Tbl[[#This Row],[First_Name]]))</f>
        <v>Eva</v>
      </c>
      <c r="R327" t="str">
        <f>TRIM(PROPER(Before_Tbl[[#This Row],[Last_Name]]))</f>
        <v>Miller</v>
      </c>
      <c r="S327" s="25">
        <f t="shared" si="5"/>
        <v>40</v>
      </c>
      <c r="T327" t="str">
        <f>LEFT(Before_Tbl[[#This Row],[Department_Region]],FIND("-",Before_Tbl[[#This Row],[Department_Region]])-1)</f>
        <v>DevOps</v>
      </c>
      <c r="U327" t="str">
        <f>RIGHT(Before_Tbl[[#This Row],[Department_Region]],LEN(Before_Tbl[[#This Row],[Department_Region]])-FIND("-",Before_Tbl[[#This Row],[Department_Region]]))</f>
        <v>Nevada</v>
      </c>
      <c r="V327" t="str">
        <f>TRIM(PROPER(Before_Tbl[[#This Row],[Status]]))</f>
        <v>Pending</v>
      </c>
      <c r="W327" s="26">
        <v>44571</v>
      </c>
      <c r="X327" s="4">
        <v>82258.03</v>
      </c>
      <c r="Y327" t="str">
        <f>TRIM(LOWER(Before_Tbl[[#This Row],[Email]]))</f>
        <v>eva.miller@example.com</v>
      </c>
      <c r="Z327" s="2" t="str">
        <f>SUBSTITUTE(Before_Tbl[[#This Row],[Phone]],"-","")</f>
        <v>6790422710</v>
      </c>
      <c r="AA327" t="str">
        <f>TRIM(PROPER(Before_Tbl[[#This Row],[Performance_Score]]))</f>
        <v>Average</v>
      </c>
      <c r="AB327" s="2" t="str">
        <f>TRIM(UPPER(Before_Tbl[[#This Row],[Remote_Work]]))</f>
        <v>TRUE</v>
      </c>
    </row>
    <row r="328" spans="1:28" x14ac:dyDescent="0.35">
      <c r="A328" t="s">
        <v>645</v>
      </c>
      <c r="B328" t="s">
        <v>37</v>
      </c>
      <c r="C328" t="s">
        <v>38</v>
      </c>
      <c r="D328">
        <v>30</v>
      </c>
      <c r="E328" t="s">
        <v>27</v>
      </c>
      <c r="F328" t="s">
        <v>28</v>
      </c>
      <c r="G328" t="s">
        <v>646</v>
      </c>
      <c r="H328">
        <v>62883.34</v>
      </c>
      <c r="I328" t="s">
        <v>40</v>
      </c>
      <c r="J328">
        <v>-3322889856</v>
      </c>
      <c r="K328" t="s">
        <v>18</v>
      </c>
      <c r="L328" t="b">
        <v>0</v>
      </c>
      <c r="P328" t="str">
        <f>TRIM(Before_Tbl[[#This Row],[Employee_ID]])</f>
        <v>EMP1326</v>
      </c>
      <c r="Q328" t="str">
        <f>TRIM(PROPER(Before_Tbl[[#This Row],[First_Name]]))</f>
        <v>Frank</v>
      </c>
      <c r="R328" t="str">
        <f>TRIM(PROPER(Before_Tbl[[#This Row],[Last_Name]]))</f>
        <v>Williams</v>
      </c>
      <c r="S328" s="25">
        <f t="shared" si="5"/>
        <v>30</v>
      </c>
      <c r="T328" t="str">
        <f>LEFT(Before_Tbl[[#This Row],[Department_Region]],FIND("-",Before_Tbl[[#This Row],[Department_Region]])-1)</f>
        <v>Admin</v>
      </c>
      <c r="U328" t="str">
        <f>RIGHT(Before_Tbl[[#This Row],[Department_Region]],LEN(Before_Tbl[[#This Row],[Department_Region]])-FIND("-",Before_Tbl[[#This Row],[Department_Region]]))</f>
        <v>Nevada</v>
      </c>
      <c r="V328" t="str">
        <f>TRIM(PROPER(Before_Tbl[[#This Row],[Status]]))</f>
        <v>Pending</v>
      </c>
      <c r="W328" s="26">
        <v>44831</v>
      </c>
      <c r="X328" s="4">
        <v>62883.34</v>
      </c>
      <c r="Y328" t="str">
        <f>TRIM(LOWER(Before_Tbl[[#This Row],[Email]]))</f>
        <v>frank.williams@example.com</v>
      </c>
      <c r="Z328" s="2" t="str">
        <f>SUBSTITUTE(Before_Tbl[[#This Row],[Phone]],"-","")</f>
        <v>3322889856</v>
      </c>
      <c r="AA328" t="str">
        <f>TRIM(PROPER(Before_Tbl[[#This Row],[Performance_Score]]))</f>
        <v>Average</v>
      </c>
      <c r="AB328" s="2" t="str">
        <f>TRIM(UPPER(Before_Tbl[[#This Row],[Remote_Work]]))</f>
        <v>FALSE</v>
      </c>
    </row>
    <row r="329" spans="1:28" x14ac:dyDescent="0.35">
      <c r="A329" t="s">
        <v>647</v>
      </c>
      <c r="B329" t="s">
        <v>25</v>
      </c>
      <c r="C329" t="s">
        <v>14</v>
      </c>
      <c r="E329" t="s">
        <v>159</v>
      </c>
      <c r="F329" t="s">
        <v>28</v>
      </c>
      <c r="G329" s="1">
        <v>44078</v>
      </c>
      <c r="H329">
        <v>103503.72</v>
      </c>
      <c r="I329" t="s">
        <v>163</v>
      </c>
      <c r="J329">
        <v>-2545960632</v>
      </c>
      <c r="K329" t="s">
        <v>18</v>
      </c>
      <c r="L329" t="b">
        <v>1</v>
      </c>
      <c r="P329" t="str">
        <f>TRIM(Before_Tbl[[#This Row],[Employee_ID]])</f>
        <v>EMP1327</v>
      </c>
      <c r="Q329" t="str">
        <f>TRIM(PROPER(Before_Tbl[[#This Row],[First_Name]]))</f>
        <v>Alice</v>
      </c>
      <c r="R329" t="str">
        <f>TRIM(PROPER(Before_Tbl[[#This Row],[Last_Name]]))</f>
        <v>Davis</v>
      </c>
      <c r="S329" s="25">
        <f t="shared" si="5"/>
        <v>30</v>
      </c>
      <c r="T329" t="str">
        <f>LEFT(Before_Tbl[[#This Row],[Department_Region]],FIND("-",Before_Tbl[[#This Row],[Department_Region]])-1)</f>
        <v>Cloud Tech</v>
      </c>
      <c r="U329" t="str">
        <f>RIGHT(Before_Tbl[[#This Row],[Department_Region]],LEN(Before_Tbl[[#This Row],[Department_Region]])-FIND("-",Before_Tbl[[#This Row],[Department_Region]]))</f>
        <v>Texas</v>
      </c>
      <c r="V329" t="str">
        <f>TRIM(PROPER(Before_Tbl[[#This Row],[Status]]))</f>
        <v>Pending</v>
      </c>
      <c r="W329" s="26">
        <v>44078</v>
      </c>
      <c r="X329" s="4">
        <v>103503.72</v>
      </c>
      <c r="Y329" t="str">
        <f>TRIM(LOWER(Before_Tbl[[#This Row],[Email]]))</f>
        <v>alice.davis@example.com</v>
      </c>
      <c r="Z329" s="2" t="str">
        <f>SUBSTITUTE(Before_Tbl[[#This Row],[Phone]],"-","")</f>
        <v>2545960632</v>
      </c>
      <c r="AA329" t="str">
        <f>TRIM(PROPER(Before_Tbl[[#This Row],[Performance_Score]]))</f>
        <v>Average</v>
      </c>
      <c r="AB329" s="2" t="str">
        <f>TRIM(UPPER(Before_Tbl[[#This Row],[Remote_Work]]))</f>
        <v>TRUE</v>
      </c>
    </row>
    <row r="330" spans="1:28" x14ac:dyDescent="0.35">
      <c r="A330" t="s">
        <v>648</v>
      </c>
      <c r="B330" t="s">
        <v>59</v>
      </c>
      <c r="C330" t="s">
        <v>43</v>
      </c>
      <c r="D330">
        <v>25</v>
      </c>
      <c r="E330" t="s">
        <v>56</v>
      </c>
      <c r="F330" t="s">
        <v>16</v>
      </c>
      <c r="G330" t="s">
        <v>649</v>
      </c>
      <c r="H330">
        <v>85401.3</v>
      </c>
      <c r="I330" t="s">
        <v>101</v>
      </c>
      <c r="J330">
        <v>-9912971023</v>
      </c>
      <c r="K330" t="s">
        <v>41</v>
      </c>
      <c r="L330" t="b">
        <v>1</v>
      </c>
      <c r="P330" t="str">
        <f>TRIM(Before_Tbl[[#This Row],[Employee_ID]])</f>
        <v>EMP1328</v>
      </c>
      <c r="Q330" t="str">
        <f>TRIM(PROPER(Before_Tbl[[#This Row],[First_Name]]))</f>
        <v>David</v>
      </c>
      <c r="R330" t="str">
        <f>TRIM(PROPER(Before_Tbl[[#This Row],[Last_Name]]))</f>
        <v>Garcia</v>
      </c>
      <c r="S330" s="25">
        <f t="shared" si="5"/>
        <v>25</v>
      </c>
      <c r="T330" t="str">
        <f>LEFT(Before_Tbl[[#This Row],[Department_Region]],FIND("-",Before_Tbl[[#This Row],[Department_Region]])-1)</f>
        <v>DevOps</v>
      </c>
      <c r="U330" t="str">
        <f>RIGHT(Before_Tbl[[#This Row],[Department_Region]],LEN(Before_Tbl[[#This Row],[Department_Region]])-FIND("-",Before_Tbl[[#This Row],[Department_Region]]))</f>
        <v>New York</v>
      </c>
      <c r="V330" t="str">
        <f>TRIM(PROPER(Before_Tbl[[#This Row],[Status]]))</f>
        <v>Active</v>
      </c>
      <c r="W330" s="26">
        <v>44278</v>
      </c>
      <c r="X330" s="4">
        <v>85401.3</v>
      </c>
      <c r="Y330" t="str">
        <f>TRIM(LOWER(Before_Tbl[[#This Row],[Email]]))</f>
        <v>david.garcia@example.com</v>
      </c>
      <c r="Z330" s="2" t="str">
        <f>SUBSTITUTE(Before_Tbl[[#This Row],[Phone]],"-","")</f>
        <v>9912971023</v>
      </c>
      <c r="AA330" t="str">
        <f>TRIM(PROPER(Before_Tbl[[#This Row],[Performance_Score]]))</f>
        <v>Poor</v>
      </c>
      <c r="AB330" s="2" t="str">
        <f>TRIM(UPPER(Before_Tbl[[#This Row],[Remote_Work]]))</f>
        <v>TRUE</v>
      </c>
    </row>
    <row r="331" spans="1:28" x14ac:dyDescent="0.35">
      <c r="A331" t="s">
        <v>650</v>
      </c>
      <c r="B331" t="s">
        <v>65</v>
      </c>
      <c r="C331" t="s">
        <v>43</v>
      </c>
      <c r="D331">
        <v>40</v>
      </c>
      <c r="E331" t="s">
        <v>159</v>
      </c>
      <c r="F331" t="s">
        <v>28</v>
      </c>
      <c r="G331" s="1">
        <v>44987</v>
      </c>
      <c r="H331" t="s">
        <v>277</v>
      </c>
      <c r="I331" t="s">
        <v>257</v>
      </c>
      <c r="J331">
        <v>-8171752420</v>
      </c>
      <c r="K331" t="s">
        <v>23</v>
      </c>
      <c r="L331" t="b">
        <v>0</v>
      </c>
      <c r="P331" t="str">
        <f>TRIM(Before_Tbl[[#This Row],[Employee_ID]])</f>
        <v>EMP1329</v>
      </c>
      <c r="Q331" t="str">
        <f>TRIM(PROPER(Before_Tbl[[#This Row],[First_Name]]))</f>
        <v>Heidi</v>
      </c>
      <c r="R331" t="str">
        <f>TRIM(PROPER(Before_Tbl[[#This Row],[Last_Name]]))</f>
        <v>Garcia</v>
      </c>
      <c r="S331" s="25">
        <f t="shared" si="5"/>
        <v>40</v>
      </c>
      <c r="T331" t="str">
        <f>LEFT(Before_Tbl[[#This Row],[Department_Region]],FIND("-",Before_Tbl[[#This Row],[Department_Region]])-1)</f>
        <v>Cloud Tech</v>
      </c>
      <c r="U331" t="str">
        <f>RIGHT(Before_Tbl[[#This Row],[Department_Region]],LEN(Before_Tbl[[#This Row],[Department_Region]])-FIND("-",Before_Tbl[[#This Row],[Department_Region]]))</f>
        <v>Texas</v>
      </c>
      <c r="V331" t="str">
        <f>TRIM(PROPER(Before_Tbl[[#This Row],[Status]]))</f>
        <v>Pending</v>
      </c>
      <c r="W331" s="26">
        <v>44987</v>
      </c>
      <c r="X331" s="4"/>
      <c r="Y331" t="str">
        <f>TRIM(LOWER(Before_Tbl[[#This Row],[Email]]))</f>
        <v>heidi.garcia@example.com</v>
      </c>
      <c r="Z331" s="2" t="str">
        <f>SUBSTITUTE(Before_Tbl[[#This Row],[Phone]],"-","")</f>
        <v>8171752420</v>
      </c>
      <c r="AA331" t="str">
        <f>TRIM(PROPER(Before_Tbl[[#This Row],[Performance_Score]]))</f>
        <v>Excellent</v>
      </c>
      <c r="AB331" s="2" t="str">
        <f>TRIM(UPPER(Before_Tbl[[#This Row],[Remote_Work]]))</f>
        <v>FALSE</v>
      </c>
    </row>
    <row r="332" spans="1:28" x14ac:dyDescent="0.35">
      <c r="A332" t="s">
        <v>651</v>
      </c>
      <c r="B332" t="s">
        <v>32</v>
      </c>
      <c r="C332" t="s">
        <v>122</v>
      </c>
      <c r="E332" t="s">
        <v>139</v>
      </c>
      <c r="F332" t="s">
        <v>28</v>
      </c>
      <c r="G332" t="s">
        <v>652</v>
      </c>
      <c r="H332">
        <v>98850.14</v>
      </c>
      <c r="I332" t="s">
        <v>522</v>
      </c>
      <c r="J332">
        <v>-4955112746</v>
      </c>
      <c r="K332" t="s">
        <v>41</v>
      </c>
      <c r="L332" t="b">
        <v>0</v>
      </c>
      <c r="P332" t="str">
        <f>TRIM(Before_Tbl[[#This Row],[Employee_ID]])</f>
        <v>EMP1330</v>
      </c>
      <c r="Q332" t="str">
        <f>TRIM(PROPER(Before_Tbl[[#This Row],[First_Name]]))</f>
        <v>Eva</v>
      </c>
      <c r="R332" t="str">
        <f>TRIM(PROPER(Before_Tbl[[#This Row],[Last_Name]]))</f>
        <v>Smith</v>
      </c>
      <c r="S332" s="25">
        <f t="shared" si="5"/>
        <v>30</v>
      </c>
      <c r="T332" t="str">
        <f>LEFT(Before_Tbl[[#This Row],[Department_Region]],FIND("-",Before_Tbl[[#This Row],[Department_Region]])-1)</f>
        <v>HR</v>
      </c>
      <c r="U332" t="str">
        <f>RIGHT(Before_Tbl[[#This Row],[Department_Region]],LEN(Before_Tbl[[#This Row],[Department_Region]])-FIND("-",Before_Tbl[[#This Row],[Department_Region]]))</f>
        <v>Texas</v>
      </c>
      <c r="V332" t="str">
        <f>TRIM(PROPER(Before_Tbl[[#This Row],[Status]]))</f>
        <v>Pending</v>
      </c>
      <c r="W332" s="26">
        <v>45496</v>
      </c>
      <c r="X332" s="4">
        <v>98850.14</v>
      </c>
      <c r="Y332" t="str">
        <f>TRIM(LOWER(Before_Tbl[[#This Row],[Email]]))</f>
        <v>eva.smith@example.com</v>
      </c>
      <c r="Z332" s="2" t="str">
        <f>SUBSTITUTE(Before_Tbl[[#This Row],[Phone]],"-","")</f>
        <v>4955112746</v>
      </c>
      <c r="AA332" t="str">
        <f>TRIM(PROPER(Before_Tbl[[#This Row],[Performance_Score]]))</f>
        <v>Poor</v>
      </c>
      <c r="AB332" s="2" t="str">
        <f>TRIM(UPPER(Before_Tbl[[#This Row],[Remote_Work]]))</f>
        <v>FALSE</v>
      </c>
    </row>
    <row r="333" spans="1:28" x14ac:dyDescent="0.35">
      <c r="A333" t="s">
        <v>653</v>
      </c>
      <c r="B333" t="s">
        <v>54</v>
      </c>
      <c r="C333" t="s">
        <v>122</v>
      </c>
      <c r="D333">
        <v>25</v>
      </c>
      <c r="E333" t="s">
        <v>95</v>
      </c>
      <c r="F333" t="s">
        <v>16</v>
      </c>
      <c r="G333" s="1">
        <v>44413</v>
      </c>
      <c r="H333">
        <v>63435.24</v>
      </c>
      <c r="I333" t="s">
        <v>194</v>
      </c>
      <c r="J333">
        <v>-4721970545</v>
      </c>
      <c r="K333" t="s">
        <v>41</v>
      </c>
      <c r="L333" t="b">
        <v>0</v>
      </c>
      <c r="P333" t="str">
        <f>TRIM(Before_Tbl[[#This Row],[Employee_ID]])</f>
        <v>EMP1331</v>
      </c>
      <c r="Q333" t="str">
        <f>TRIM(PROPER(Before_Tbl[[#This Row],[First_Name]]))</f>
        <v>Charlie</v>
      </c>
      <c r="R333" t="str">
        <f>TRIM(PROPER(Before_Tbl[[#This Row],[Last_Name]]))</f>
        <v>Smith</v>
      </c>
      <c r="S333" s="25">
        <f t="shared" si="5"/>
        <v>25</v>
      </c>
      <c r="T333" t="str">
        <f>LEFT(Before_Tbl[[#This Row],[Department_Region]],FIND("-",Before_Tbl[[#This Row],[Department_Region]])-1)</f>
        <v>Cloud Tech</v>
      </c>
      <c r="U333" t="str">
        <f>RIGHT(Before_Tbl[[#This Row],[Department_Region]],LEN(Before_Tbl[[#This Row],[Department_Region]])-FIND("-",Before_Tbl[[#This Row],[Department_Region]]))</f>
        <v>Illinois</v>
      </c>
      <c r="V333" t="str">
        <f>TRIM(PROPER(Before_Tbl[[#This Row],[Status]]))</f>
        <v>Active</v>
      </c>
      <c r="W333" s="26">
        <v>44413</v>
      </c>
      <c r="X333" s="4">
        <v>63435.24</v>
      </c>
      <c r="Y333" t="str">
        <f>TRIM(LOWER(Before_Tbl[[#This Row],[Email]]))</f>
        <v>charlie.smith@example.com</v>
      </c>
      <c r="Z333" s="2" t="str">
        <f>SUBSTITUTE(Before_Tbl[[#This Row],[Phone]],"-","")</f>
        <v>4721970545</v>
      </c>
      <c r="AA333" t="str">
        <f>TRIM(PROPER(Before_Tbl[[#This Row],[Performance_Score]]))</f>
        <v>Poor</v>
      </c>
      <c r="AB333" s="2" t="str">
        <f>TRIM(UPPER(Before_Tbl[[#This Row],[Remote_Work]]))</f>
        <v>FALSE</v>
      </c>
    </row>
    <row r="334" spans="1:28" x14ac:dyDescent="0.35">
      <c r="A334" t="s">
        <v>654</v>
      </c>
      <c r="B334" t="s">
        <v>37</v>
      </c>
      <c r="C334" t="s">
        <v>20</v>
      </c>
      <c r="D334">
        <v>35</v>
      </c>
      <c r="E334" t="s">
        <v>21</v>
      </c>
      <c r="F334" t="s">
        <v>33</v>
      </c>
      <c r="G334" s="1">
        <v>44869</v>
      </c>
      <c r="H334">
        <v>82129.84</v>
      </c>
      <c r="I334" t="s">
        <v>239</v>
      </c>
      <c r="J334">
        <v>-6927589550</v>
      </c>
      <c r="K334" t="s">
        <v>18</v>
      </c>
      <c r="L334" t="b">
        <v>0</v>
      </c>
      <c r="P334" t="str">
        <f>TRIM(Before_Tbl[[#This Row],[Employee_ID]])</f>
        <v>EMP1332</v>
      </c>
      <c r="Q334" t="str">
        <f>TRIM(PROPER(Before_Tbl[[#This Row],[First_Name]]))</f>
        <v>Frank</v>
      </c>
      <c r="R334" t="str">
        <f>TRIM(PROPER(Before_Tbl[[#This Row],[Last_Name]]))</f>
        <v>Brown</v>
      </c>
      <c r="S334" s="25">
        <f t="shared" si="5"/>
        <v>35</v>
      </c>
      <c r="T334" t="str">
        <f>LEFT(Before_Tbl[[#This Row],[Department_Region]],FIND("-",Before_Tbl[[#This Row],[Department_Region]])-1)</f>
        <v>Finance</v>
      </c>
      <c r="U334" t="str">
        <f>RIGHT(Before_Tbl[[#This Row],[Department_Region]],LEN(Before_Tbl[[#This Row],[Department_Region]])-FIND("-",Before_Tbl[[#This Row],[Department_Region]]))</f>
        <v>Texas</v>
      </c>
      <c r="V334" t="str">
        <f>TRIM(PROPER(Before_Tbl[[#This Row],[Status]]))</f>
        <v>Inactive</v>
      </c>
      <c r="W334" s="26">
        <v>44869</v>
      </c>
      <c r="X334" s="4">
        <v>82129.84</v>
      </c>
      <c r="Y334" t="str">
        <f>TRIM(LOWER(Before_Tbl[[#This Row],[Email]]))</f>
        <v>frank.brown@example.com</v>
      </c>
      <c r="Z334" s="2" t="str">
        <f>SUBSTITUTE(Before_Tbl[[#This Row],[Phone]],"-","")</f>
        <v>6927589550</v>
      </c>
      <c r="AA334" t="str">
        <f>TRIM(PROPER(Before_Tbl[[#This Row],[Performance_Score]]))</f>
        <v>Average</v>
      </c>
      <c r="AB334" s="2" t="str">
        <f>TRIM(UPPER(Before_Tbl[[#This Row],[Remote_Work]]))</f>
        <v>FALSE</v>
      </c>
    </row>
    <row r="335" spans="1:28" x14ac:dyDescent="0.35">
      <c r="A335" t="s">
        <v>655</v>
      </c>
      <c r="B335" t="s">
        <v>59</v>
      </c>
      <c r="C335" t="s">
        <v>38</v>
      </c>
      <c r="D335">
        <v>35</v>
      </c>
      <c r="E335" t="s">
        <v>237</v>
      </c>
      <c r="F335" t="s">
        <v>28</v>
      </c>
      <c r="G335" t="s">
        <v>656</v>
      </c>
      <c r="H335">
        <v>95492.61</v>
      </c>
      <c r="I335" t="s">
        <v>61</v>
      </c>
      <c r="J335">
        <v>-6874090379</v>
      </c>
      <c r="K335" t="s">
        <v>30</v>
      </c>
      <c r="L335" t="b">
        <v>0</v>
      </c>
      <c r="P335" t="str">
        <f>TRIM(Before_Tbl[[#This Row],[Employee_ID]])</f>
        <v>EMP1333</v>
      </c>
      <c r="Q335" t="str">
        <f>TRIM(PROPER(Before_Tbl[[#This Row],[First_Name]]))</f>
        <v>David</v>
      </c>
      <c r="R335" t="str">
        <f>TRIM(PROPER(Before_Tbl[[#This Row],[Last_Name]]))</f>
        <v>Williams</v>
      </c>
      <c r="S335" s="25">
        <f t="shared" si="5"/>
        <v>35</v>
      </c>
      <c r="T335" t="str">
        <f>LEFT(Before_Tbl[[#This Row],[Department_Region]],FIND("-",Before_Tbl[[#This Row],[Department_Region]])-1)</f>
        <v>DevOps</v>
      </c>
      <c r="U335" t="str">
        <f>RIGHT(Before_Tbl[[#This Row],[Department_Region]],LEN(Before_Tbl[[#This Row],[Department_Region]])-FIND("-",Before_Tbl[[#This Row],[Department_Region]]))</f>
        <v>Texas</v>
      </c>
      <c r="V335" t="str">
        <f>TRIM(PROPER(Before_Tbl[[#This Row],[Status]]))</f>
        <v>Pending</v>
      </c>
      <c r="W335" s="26">
        <v>45588</v>
      </c>
      <c r="X335" s="4">
        <v>95492.61</v>
      </c>
      <c r="Y335" t="str">
        <f>TRIM(LOWER(Before_Tbl[[#This Row],[Email]]))</f>
        <v>david.williams@example.com</v>
      </c>
      <c r="Z335" s="2" t="str">
        <f>SUBSTITUTE(Before_Tbl[[#This Row],[Phone]],"-","")</f>
        <v>6874090379</v>
      </c>
      <c r="AA335" t="str">
        <f>TRIM(PROPER(Before_Tbl[[#This Row],[Performance_Score]]))</f>
        <v>Good</v>
      </c>
      <c r="AB335" s="2" t="str">
        <f>TRIM(UPPER(Before_Tbl[[#This Row],[Remote_Work]]))</f>
        <v>FALSE</v>
      </c>
    </row>
    <row r="336" spans="1:28" x14ac:dyDescent="0.35">
      <c r="A336" t="s">
        <v>657</v>
      </c>
      <c r="B336" t="s">
        <v>69</v>
      </c>
      <c r="C336" t="s">
        <v>92</v>
      </c>
      <c r="D336">
        <v>40</v>
      </c>
      <c r="E336" t="s">
        <v>265</v>
      </c>
      <c r="F336" t="s">
        <v>33</v>
      </c>
      <c r="G336" t="s">
        <v>658</v>
      </c>
      <c r="H336">
        <v>94572.37</v>
      </c>
      <c r="I336" t="s">
        <v>168</v>
      </c>
      <c r="J336">
        <v>-2146296135</v>
      </c>
      <c r="K336" t="s">
        <v>30</v>
      </c>
      <c r="L336" t="b">
        <v>0</v>
      </c>
      <c r="P336" t="str">
        <f>TRIM(Before_Tbl[[#This Row],[Employee_ID]])</f>
        <v>EMP1334</v>
      </c>
      <c r="Q336" t="str">
        <f>TRIM(PROPER(Before_Tbl[[#This Row],[First_Name]]))</f>
        <v>Grace</v>
      </c>
      <c r="R336" t="str">
        <f>TRIM(PROPER(Before_Tbl[[#This Row],[Last_Name]]))</f>
        <v>Miller</v>
      </c>
      <c r="S336" s="25">
        <f t="shared" si="5"/>
        <v>40</v>
      </c>
      <c r="T336" t="str">
        <f>LEFT(Before_Tbl[[#This Row],[Department_Region]],FIND("-",Before_Tbl[[#This Row],[Department_Region]])-1)</f>
        <v>Finance</v>
      </c>
      <c r="U336" t="str">
        <f>RIGHT(Before_Tbl[[#This Row],[Department_Region]],LEN(Before_Tbl[[#This Row],[Department_Region]])-FIND("-",Before_Tbl[[#This Row],[Department_Region]]))</f>
        <v>Illinois</v>
      </c>
      <c r="V336" t="str">
        <f>TRIM(PROPER(Before_Tbl[[#This Row],[Status]]))</f>
        <v>Inactive</v>
      </c>
      <c r="W336" s="26">
        <v>43945</v>
      </c>
      <c r="X336" s="4">
        <v>94572.37</v>
      </c>
      <c r="Y336" t="str">
        <f>TRIM(LOWER(Before_Tbl[[#This Row],[Email]]))</f>
        <v>grace.miller@example.com</v>
      </c>
      <c r="Z336" s="2" t="str">
        <f>SUBSTITUTE(Before_Tbl[[#This Row],[Phone]],"-","")</f>
        <v>2146296135</v>
      </c>
      <c r="AA336" t="str">
        <f>TRIM(PROPER(Before_Tbl[[#This Row],[Performance_Score]]))</f>
        <v>Good</v>
      </c>
      <c r="AB336" s="2" t="str">
        <f>TRIM(UPPER(Before_Tbl[[#This Row],[Remote_Work]]))</f>
        <v>FALSE</v>
      </c>
    </row>
    <row r="337" spans="1:28" x14ac:dyDescent="0.35">
      <c r="A337" t="s">
        <v>659</v>
      </c>
      <c r="B337" t="s">
        <v>13</v>
      </c>
      <c r="C337" t="s">
        <v>43</v>
      </c>
      <c r="D337">
        <v>40</v>
      </c>
      <c r="E337" t="s">
        <v>100</v>
      </c>
      <c r="F337" t="s">
        <v>33</v>
      </c>
      <c r="G337" s="1">
        <v>45019</v>
      </c>
      <c r="H337">
        <v>118413.05</v>
      </c>
      <c r="I337" t="s">
        <v>153</v>
      </c>
      <c r="J337">
        <v>-7157787111</v>
      </c>
      <c r="K337" t="s">
        <v>41</v>
      </c>
      <c r="L337" t="b">
        <v>0</v>
      </c>
      <c r="P337" t="str">
        <f>TRIM(Before_Tbl[[#This Row],[Employee_ID]])</f>
        <v>EMP1335</v>
      </c>
      <c r="Q337" t="str">
        <f>TRIM(PROPER(Before_Tbl[[#This Row],[First_Name]]))</f>
        <v>Bob</v>
      </c>
      <c r="R337" t="str">
        <f>TRIM(PROPER(Before_Tbl[[#This Row],[Last_Name]]))</f>
        <v>Garcia</v>
      </c>
      <c r="S337" s="25">
        <f t="shared" si="5"/>
        <v>40</v>
      </c>
      <c r="T337" t="str">
        <f>LEFT(Before_Tbl[[#This Row],[Department_Region]],FIND("-",Before_Tbl[[#This Row],[Department_Region]])-1)</f>
        <v>Finance</v>
      </c>
      <c r="U337" t="str">
        <f>RIGHT(Before_Tbl[[#This Row],[Department_Region]],LEN(Before_Tbl[[#This Row],[Department_Region]])-FIND("-",Before_Tbl[[#This Row],[Department_Region]]))</f>
        <v>Nevada</v>
      </c>
      <c r="V337" t="str">
        <f>TRIM(PROPER(Before_Tbl[[#This Row],[Status]]))</f>
        <v>Inactive</v>
      </c>
      <c r="W337" s="26">
        <v>45019</v>
      </c>
      <c r="X337" s="4">
        <v>118413.05</v>
      </c>
      <c r="Y337" t="str">
        <f>TRIM(LOWER(Before_Tbl[[#This Row],[Email]]))</f>
        <v>bob.garcia@example.com</v>
      </c>
      <c r="Z337" s="2" t="str">
        <f>SUBSTITUTE(Before_Tbl[[#This Row],[Phone]],"-","")</f>
        <v>7157787111</v>
      </c>
      <c r="AA337" t="str">
        <f>TRIM(PROPER(Before_Tbl[[#This Row],[Performance_Score]]))</f>
        <v>Poor</v>
      </c>
      <c r="AB337" s="2" t="str">
        <f>TRIM(UPPER(Before_Tbl[[#This Row],[Remote_Work]]))</f>
        <v>FALSE</v>
      </c>
    </row>
    <row r="338" spans="1:28" x14ac:dyDescent="0.35">
      <c r="A338" t="s">
        <v>660</v>
      </c>
      <c r="B338" t="s">
        <v>25</v>
      </c>
      <c r="C338" t="s">
        <v>26</v>
      </c>
      <c r="D338">
        <v>30</v>
      </c>
      <c r="E338" t="s">
        <v>27</v>
      </c>
      <c r="F338" t="s">
        <v>28</v>
      </c>
      <c r="G338" t="s">
        <v>661</v>
      </c>
      <c r="H338">
        <v>68976.649999999994</v>
      </c>
      <c r="I338" t="s">
        <v>29</v>
      </c>
      <c r="J338">
        <v>-1663651558</v>
      </c>
      <c r="K338" t="s">
        <v>41</v>
      </c>
      <c r="L338" t="b">
        <v>1</v>
      </c>
      <c r="P338" t="str">
        <f>TRIM(Before_Tbl[[#This Row],[Employee_ID]])</f>
        <v>EMP1336</v>
      </c>
      <c r="Q338" t="str">
        <f>TRIM(PROPER(Before_Tbl[[#This Row],[First_Name]]))</f>
        <v>Alice</v>
      </c>
      <c r="R338" t="str">
        <f>TRIM(PROPER(Before_Tbl[[#This Row],[Last_Name]]))</f>
        <v>Jones</v>
      </c>
      <c r="S338" s="25">
        <f t="shared" si="5"/>
        <v>30</v>
      </c>
      <c r="T338" t="str">
        <f>LEFT(Before_Tbl[[#This Row],[Department_Region]],FIND("-",Before_Tbl[[#This Row],[Department_Region]])-1)</f>
        <v>Admin</v>
      </c>
      <c r="U338" t="str">
        <f>RIGHT(Before_Tbl[[#This Row],[Department_Region]],LEN(Before_Tbl[[#This Row],[Department_Region]])-FIND("-",Before_Tbl[[#This Row],[Department_Region]]))</f>
        <v>Nevada</v>
      </c>
      <c r="V338" t="str">
        <f>TRIM(PROPER(Before_Tbl[[#This Row],[Status]]))</f>
        <v>Pending</v>
      </c>
      <c r="W338" s="26">
        <v>44804</v>
      </c>
      <c r="X338" s="4">
        <v>68976.649999999994</v>
      </c>
      <c r="Y338" t="str">
        <f>TRIM(LOWER(Before_Tbl[[#This Row],[Email]]))</f>
        <v>alice.jones@example.com</v>
      </c>
      <c r="Z338" s="2" t="str">
        <f>SUBSTITUTE(Before_Tbl[[#This Row],[Phone]],"-","")</f>
        <v>1663651558</v>
      </c>
      <c r="AA338" t="str">
        <f>TRIM(PROPER(Before_Tbl[[#This Row],[Performance_Score]]))</f>
        <v>Poor</v>
      </c>
      <c r="AB338" s="2" t="str">
        <f>TRIM(UPPER(Before_Tbl[[#This Row],[Remote_Work]]))</f>
        <v>TRUE</v>
      </c>
    </row>
    <row r="339" spans="1:28" x14ac:dyDescent="0.35">
      <c r="A339" t="s">
        <v>662</v>
      </c>
      <c r="B339" t="s">
        <v>32</v>
      </c>
      <c r="C339" t="s">
        <v>38</v>
      </c>
      <c r="E339" t="s">
        <v>219</v>
      </c>
      <c r="F339" t="s">
        <v>16</v>
      </c>
      <c r="G339" s="1">
        <v>44228</v>
      </c>
      <c r="H339">
        <v>115013.65</v>
      </c>
      <c r="I339" t="s">
        <v>141</v>
      </c>
      <c r="J339">
        <v>-7371470826</v>
      </c>
      <c r="K339" t="s">
        <v>18</v>
      </c>
      <c r="L339" t="b">
        <v>0</v>
      </c>
      <c r="P339" t="str">
        <f>TRIM(Before_Tbl[[#This Row],[Employee_ID]])</f>
        <v>EMP1337</v>
      </c>
      <c r="Q339" t="str">
        <f>TRIM(PROPER(Before_Tbl[[#This Row],[First_Name]]))</f>
        <v>Eva</v>
      </c>
      <c r="R339" t="str">
        <f>TRIM(PROPER(Before_Tbl[[#This Row],[Last_Name]]))</f>
        <v>Williams</v>
      </c>
      <c r="S339" s="25">
        <f t="shared" si="5"/>
        <v>30</v>
      </c>
      <c r="T339" t="str">
        <f>LEFT(Before_Tbl[[#This Row],[Department_Region]],FIND("-",Before_Tbl[[#This Row],[Department_Region]])-1)</f>
        <v>Sales</v>
      </c>
      <c r="U339" t="str">
        <f>RIGHT(Before_Tbl[[#This Row],[Department_Region]],LEN(Before_Tbl[[#This Row],[Department_Region]])-FIND("-",Before_Tbl[[#This Row],[Department_Region]]))</f>
        <v>Nevada</v>
      </c>
      <c r="V339" t="str">
        <f>TRIM(PROPER(Before_Tbl[[#This Row],[Status]]))</f>
        <v>Active</v>
      </c>
      <c r="W339" s="26">
        <v>44228</v>
      </c>
      <c r="X339" s="4">
        <v>115013.65</v>
      </c>
      <c r="Y339" t="str">
        <f>TRIM(LOWER(Before_Tbl[[#This Row],[Email]]))</f>
        <v>eva.williams@example.com</v>
      </c>
      <c r="Z339" s="2" t="str">
        <f>SUBSTITUTE(Before_Tbl[[#This Row],[Phone]],"-","")</f>
        <v>7371470826</v>
      </c>
      <c r="AA339" t="str">
        <f>TRIM(PROPER(Before_Tbl[[#This Row],[Performance_Score]]))</f>
        <v>Average</v>
      </c>
      <c r="AB339" s="2" t="str">
        <f>TRIM(UPPER(Before_Tbl[[#This Row],[Remote_Work]]))</f>
        <v>FALSE</v>
      </c>
    </row>
    <row r="340" spans="1:28" x14ac:dyDescent="0.35">
      <c r="A340" t="s">
        <v>663</v>
      </c>
      <c r="B340" t="s">
        <v>59</v>
      </c>
      <c r="C340" t="s">
        <v>20</v>
      </c>
      <c r="E340" t="s">
        <v>27</v>
      </c>
      <c r="F340" t="s">
        <v>33</v>
      </c>
      <c r="G340" s="1">
        <v>43988</v>
      </c>
      <c r="H340">
        <v>70949.38</v>
      </c>
      <c r="I340" t="s">
        <v>225</v>
      </c>
      <c r="J340">
        <v>-2359096055</v>
      </c>
      <c r="K340" t="s">
        <v>41</v>
      </c>
      <c r="L340" t="b">
        <v>1</v>
      </c>
      <c r="P340" t="str">
        <f>TRIM(Before_Tbl[[#This Row],[Employee_ID]])</f>
        <v>EMP1338</v>
      </c>
      <c r="Q340" t="str">
        <f>TRIM(PROPER(Before_Tbl[[#This Row],[First_Name]]))</f>
        <v>David</v>
      </c>
      <c r="R340" t="str">
        <f>TRIM(PROPER(Before_Tbl[[#This Row],[Last_Name]]))</f>
        <v>Brown</v>
      </c>
      <c r="S340" s="25">
        <f t="shared" si="5"/>
        <v>30</v>
      </c>
      <c r="T340" t="str">
        <f>LEFT(Before_Tbl[[#This Row],[Department_Region]],FIND("-",Before_Tbl[[#This Row],[Department_Region]])-1)</f>
        <v>Admin</v>
      </c>
      <c r="U340" t="str">
        <f>RIGHT(Before_Tbl[[#This Row],[Department_Region]],LEN(Before_Tbl[[#This Row],[Department_Region]])-FIND("-",Before_Tbl[[#This Row],[Department_Region]]))</f>
        <v>Nevada</v>
      </c>
      <c r="V340" t="str">
        <f>TRIM(PROPER(Before_Tbl[[#This Row],[Status]]))</f>
        <v>Inactive</v>
      </c>
      <c r="W340" s="26">
        <v>43988</v>
      </c>
      <c r="X340" s="4">
        <v>70949.38</v>
      </c>
      <c r="Y340" t="str">
        <f>TRIM(LOWER(Before_Tbl[[#This Row],[Email]]))</f>
        <v>david.brown@example.com</v>
      </c>
      <c r="Z340" s="2" t="str">
        <f>SUBSTITUTE(Before_Tbl[[#This Row],[Phone]],"-","")</f>
        <v>2359096055</v>
      </c>
      <c r="AA340" t="str">
        <f>TRIM(PROPER(Before_Tbl[[#This Row],[Performance_Score]]))</f>
        <v>Poor</v>
      </c>
      <c r="AB340" s="2" t="str">
        <f>TRIM(UPPER(Before_Tbl[[#This Row],[Remote_Work]]))</f>
        <v>TRUE</v>
      </c>
    </row>
    <row r="341" spans="1:28" x14ac:dyDescent="0.35">
      <c r="A341" t="s">
        <v>664</v>
      </c>
      <c r="B341" t="s">
        <v>69</v>
      </c>
      <c r="C341" t="s">
        <v>20</v>
      </c>
      <c r="E341" t="s">
        <v>212</v>
      </c>
      <c r="F341" t="s">
        <v>28</v>
      </c>
      <c r="G341" t="s">
        <v>365</v>
      </c>
      <c r="H341">
        <v>105334.87</v>
      </c>
      <c r="I341" t="s">
        <v>201</v>
      </c>
      <c r="J341">
        <v>-7303064420</v>
      </c>
      <c r="K341" t="s">
        <v>18</v>
      </c>
      <c r="L341" t="b">
        <v>0</v>
      </c>
      <c r="P341" t="str">
        <f>TRIM(Before_Tbl[[#This Row],[Employee_ID]])</f>
        <v>EMP1339</v>
      </c>
      <c r="Q341" t="str">
        <f>TRIM(PROPER(Before_Tbl[[#This Row],[First_Name]]))</f>
        <v>Grace</v>
      </c>
      <c r="R341" t="str">
        <f>TRIM(PROPER(Before_Tbl[[#This Row],[Last_Name]]))</f>
        <v>Brown</v>
      </c>
      <c r="S341" s="25">
        <f t="shared" si="5"/>
        <v>30</v>
      </c>
      <c r="T341" t="str">
        <f>LEFT(Before_Tbl[[#This Row],[Department_Region]],FIND("-",Before_Tbl[[#This Row],[Department_Region]])-1)</f>
        <v>HR</v>
      </c>
      <c r="U341" t="str">
        <f>RIGHT(Before_Tbl[[#This Row],[Department_Region]],LEN(Before_Tbl[[#This Row],[Department_Region]])-FIND("-",Before_Tbl[[#This Row],[Department_Region]]))</f>
        <v>Florida</v>
      </c>
      <c r="V341" t="str">
        <f>TRIM(PROPER(Before_Tbl[[#This Row],[Status]]))</f>
        <v>Pending</v>
      </c>
      <c r="W341" s="26">
        <v>44117</v>
      </c>
      <c r="X341" s="4">
        <v>105334.87</v>
      </c>
      <c r="Y341" t="str">
        <f>TRIM(LOWER(Before_Tbl[[#This Row],[Email]]))</f>
        <v>grace.brown@example.com</v>
      </c>
      <c r="Z341" s="2" t="str">
        <f>SUBSTITUTE(Before_Tbl[[#This Row],[Phone]],"-","")</f>
        <v>7303064420</v>
      </c>
      <c r="AA341" t="str">
        <f>TRIM(PROPER(Before_Tbl[[#This Row],[Performance_Score]]))</f>
        <v>Average</v>
      </c>
      <c r="AB341" s="2" t="str">
        <f>TRIM(UPPER(Before_Tbl[[#This Row],[Remote_Work]]))</f>
        <v>FALSE</v>
      </c>
    </row>
    <row r="342" spans="1:28" x14ac:dyDescent="0.35">
      <c r="A342" t="s">
        <v>665</v>
      </c>
      <c r="B342" t="s">
        <v>13</v>
      </c>
      <c r="C342" t="s">
        <v>38</v>
      </c>
      <c r="E342" t="s">
        <v>15</v>
      </c>
      <c r="F342" t="s">
        <v>16</v>
      </c>
      <c r="G342" t="s">
        <v>666</v>
      </c>
      <c r="H342">
        <v>80596.179999999993</v>
      </c>
      <c r="I342" t="s">
        <v>144</v>
      </c>
      <c r="J342">
        <v>-2146147682</v>
      </c>
      <c r="K342" t="s">
        <v>30</v>
      </c>
      <c r="L342" t="b">
        <v>0</v>
      </c>
      <c r="P342" t="str">
        <f>TRIM(Before_Tbl[[#This Row],[Employee_ID]])</f>
        <v>EMP1340</v>
      </c>
      <c r="Q342" t="str">
        <f>TRIM(PROPER(Before_Tbl[[#This Row],[First_Name]]))</f>
        <v>Bob</v>
      </c>
      <c r="R342" t="str">
        <f>TRIM(PROPER(Before_Tbl[[#This Row],[Last_Name]]))</f>
        <v>Williams</v>
      </c>
      <c r="S342" s="25">
        <f t="shared" si="5"/>
        <v>30</v>
      </c>
      <c r="T342" t="str">
        <f>LEFT(Before_Tbl[[#This Row],[Department_Region]],FIND("-",Before_Tbl[[#This Row],[Department_Region]])-1)</f>
        <v>DevOps</v>
      </c>
      <c r="U342" t="str">
        <f>RIGHT(Before_Tbl[[#This Row],[Department_Region]],LEN(Before_Tbl[[#This Row],[Department_Region]])-FIND("-",Before_Tbl[[#This Row],[Department_Region]]))</f>
        <v>California</v>
      </c>
      <c r="V342" t="str">
        <f>TRIM(PROPER(Before_Tbl[[#This Row],[Status]]))</f>
        <v>Active</v>
      </c>
      <c r="W342" s="26">
        <v>44031</v>
      </c>
      <c r="X342" s="4">
        <v>80596.179999999993</v>
      </c>
      <c r="Y342" t="str">
        <f>TRIM(LOWER(Before_Tbl[[#This Row],[Email]]))</f>
        <v>bob.williams@example.com</v>
      </c>
      <c r="Z342" s="2" t="str">
        <f>SUBSTITUTE(Before_Tbl[[#This Row],[Phone]],"-","")</f>
        <v>2146147682</v>
      </c>
      <c r="AA342" t="str">
        <f>TRIM(PROPER(Before_Tbl[[#This Row],[Performance_Score]]))</f>
        <v>Good</v>
      </c>
      <c r="AB342" s="2" t="str">
        <f>TRIM(UPPER(Before_Tbl[[#This Row],[Remote_Work]]))</f>
        <v>FALSE</v>
      </c>
    </row>
    <row r="343" spans="1:28" x14ac:dyDescent="0.35">
      <c r="A343" t="s">
        <v>667</v>
      </c>
      <c r="B343" t="s">
        <v>37</v>
      </c>
      <c r="C343" t="s">
        <v>20</v>
      </c>
      <c r="E343" t="s">
        <v>98</v>
      </c>
      <c r="F343" t="s">
        <v>33</v>
      </c>
      <c r="G343" s="1">
        <v>45356</v>
      </c>
      <c r="H343">
        <v>72846.37</v>
      </c>
      <c r="I343" t="s">
        <v>239</v>
      </c>
      <c r="J343">
        <v>-4201654234</v>
      </c>
      <c r="K343" t="s">
        <v>30</v>
      </c>
      <c r="L343" t="b">
        <v>1</v>
      </c>
      <c r="P343" t="str">
        <f>TRIM(Before_Tbl[[#This Row],[Employee_ID]])</f>
        <v>EMP1341</v>
      </c>
      <c r="Q343" t="str">
        <f>TRIM(PROPER(Before_Tbl[[#This Row],[First_Name]]))</f>
        <v>Frank</v>
      </c>
      <c r="R343" t="str">
        <f>TRIM(PROPER(Before_Tbl[[#This Row],[Last_Name]]))</f>
        <v>Brown</v>
      </c>
      <c r="S343" s="25">
        <f t="shared" si="5"/>
        <v>30</v>
      </c>
      <c r="T343" t="str">
        <f>LEFT(Before_Tbl[[#This Row],[Department_Region]],FIND("-",Before_Tbl[[#This Row],[Department_Region]])-1)</f>
        <v>Sales</v>
      </c>
      <c r="U343" t="str">
        <f>RIGHT(Before_Tbl[[#This Row],[Department_Region]],LEN(Before_Tbl[[#This Row],[Department_Region]])-FIND("-",Before_Tbl[[#This Row],[Department_Region]]))</f>
        <v>Illinois</v>
      </c>
      <c r="V343" t="str">
        <f>TRIM(PROPER(Before_Tbl[[#This Row],[Status]]))</f>
        <v>Inactive</v>
      </c>
      <c r="W343" s="26">
        <v>45356</v>
      </c>
      <c r="X343" s="4">
        <v>72846.37</v>
      </c>
      <c r="Y343" t="str">
        <f>TRIM(LOWER(Before_Tbl[[#This Row],[Email]]))</f>
        <v>frank.brown@example.com</v>
      </c>
      <c r="Z343" s="2" t="str">
        <f>SUBSTITUTE(Before_Tbl[[#This Row],[Phone]],"-","")</f>
        <v>4201654234</v>
      </c>
      <c r="AA343" t="str">
        <f>TRIM(PROPER(Before_Tbl[[#This Row],[Performance_Score]]))</f>
        <v>Good</v>
      </c>
      <c r="AB343" s="2" t="str">
        <f>TRIM(UPPER(Before_Tbl[[#This Row],[Remote_Work]]))</f>
        <v>TRUE</v>
      </c>
    </row>
    <row r="344" spans="1:28" x14ac:dyDescent="0.35">
      <c r="A344" t="s">
        <v>668</v>
      </c>
      <c r="B344" t="s">
        <v>65</v>
      </c>
      <c r="C344" t="s">
        <v>38</v>
      </c>
      <c r="D344">
        <v>40</v>
      </c>
      <c r="E344" t="s">
        <v>118</v>
      </c>
      <c r="F344" t="s">
        <v>28</v>
      </c>
      <c r="G344" s="1">
        <v>44744</v>
      </c>
      <c r="H344">
        <v>80229.36</v>
      </c>
      <c r="I344" t="s">
        <v>67</v>
      </c>
      <c r="J344">
        <v>-6778265959</v>
      </c>
      <c r="K344" t="s">
        <v>23</v>
      </c>
      <c r="L344" t="b">
        <v>0</v>
      </c>
      <c r="P344" t="str">
        <f>TRIM(Before_Tbl[[#This Row],[Employee_ID]])</f>
        <v>EMP1342</v>
      </c>
      <c r="Q344" t="str">
        <f>TRIM(PROPER(Before_Tbl[[#This Row],[First_Name]]))</f>
        <v>Heidi</v>
      </c>
      <c r="R344" t="str">
        <f>TRIM(PROPER(Before_Tbl[[#This Row],[Last_Name]]))</f>
        <v>Williams</v>
      </c>
      <c r="S344" s="25">
        <f t="shared" si="5"/>
        <v>40</v>
      </c>
      <c r="T344" t="str">
        <f>LEFT(Before_Tbl[[#This Row],[Department_Region]],FIND("-",Before_Tbl[[#This Row],[Department_Region]])-1)</f>
        <v>Admin</v>
      </c>
      <c r="U344" t="str">
        <f>RIGHT(Before_Tbl[[#This Row],[Department_Region]],LEN(Before_Tbl[[#This Row],[Department_Region]])-FIND("-",Before_Tbl[[#This Row],[Department_Region]]))</f>
        <v>California</v>
      </c>
      <c r="V344" t="str">
        <f>TRIM(PROPER(Before_Tbl[[#This Row],[Status]]))</f>
        <v>Pending</v>
      </c>
      <c r="W344" s="26">
        <v>44744</v>
      </c>
      <c r="X344" s="4">
        <v>80229.36</v>
      </c>
      <c r="Y344" t="str">
        <f>TRIM(LOWER(Before_Tbl[[#This Row],[Email]]))</f>
        <v>heidi.williams@example.com</v>
      </c>
      <c r="Z344" s="2" t="str">
        <f>SUBSTITUTE(Before_Tbl[[#This Row],[Phone]],"-","")</f>
        <v>6778265959</v>
      </c>
      <c r="AA344" t="str">
        <f>TRIM(PROPER(Before_Tbl[[#This Row],[Performance_Score]]))</f>
        <v>Excellent</v>
      </c>
      <c r="AB344" s="2" t="str">
        <f>TRIM(UPPER(Before_Tbl[[#This Row],[Remote_Work]]))</f>
        <v>FALSE</v>
      </c>
    </row>
    <row r="345" spans="1:28" x14ac:dyDescent="0.35">
      <c r="A345" t="s">
        <v>669</v>
      </c>
      <c r="B345" t="s">
        <v>69</v>
      </c>
      <c r="C345" t="s">
        <v>55</v>
      </c>
      <c r="D345">
        <v>25</v>
      </c>
      <c r="E345" t="s">
        <v>177</v>
      </c>
      <c r="F345" t="s">
        <v>16</v>
      </c>
      <c r="G345" t="s">
        <v>670</v>
      </c>
      <c r="H345">
        <v>55145.47</v>
      </c>
      <c r="I345" t="s">
        <v>127</v>
      </c>
      <c r="J345">
        <v>-8931992549</v>
      </c>
      <c r="K345" t="s">
        <v>30</v>
      </c>
      <c r="L345" t="b">
        <v>0</v>
      </c>
      <c r="P345" t="str">
        <f>TRIM(Before_Tbl[[#This Row],[Employee_ID]])</f>
        <v>EMP1343</v>
      </c>
      <c r="Q345" t="str">
        <f>TRIM(PROPER(Before_Tbl[[#This Row],[First_Name]]))</f>
        <v>Grace</v>
      </c>
      <c r="R345" t="str">
        <f>TRIM(PROPER(Before_Tbl[[#This Row],[Last_Name]]))</f>
        <v>Johnson</v>
      </c>
      <c r="S345" s="25">
        <f t="shared" si="5"/>
        <v>25</v>
      </c>
      <c r="T345" t="str">
        <f>LEFT(Before_Tbl[[#This Row],[Department_Region]],FIND("-",Before_Tbl[[#This Row],[Department_Region]])-1)</f>
        <v>Sales</v>
      </c>
      <c r="U345" t="str">
        <f>RIGHT(Before_Tbl[[#This Row],[Department_Region]],LEN(Before_Tbl[[#This Row],[Department_Region]])-FIND("-",Before_Tbl[[#This Row],[Department_Region]]))</f>
        <v>California</v>
      </c>
      <c r="V345" t="str">
        <f>TRIM(PROPER(Before_Tbl[[#This Row],[Status]]))</f>
        <v>Active</v>
      </c>
      <c r="W345" s="26">
        <v>45291</v>
      </c>
      <c r="X345" s="4">
        <v>55145.47</v>
      </c>
      <c r="Y345" t="str">
        <f>TRIM(LOWER(Before_Tbl[[#This Row],[Email]]))</f>
        <v>grace.johnson@example.com</v>
      </c>
      <c r="Z345" s="2" t="str">
        <f>SUBSTITUTE(Before_Tbl[[#This Row],[Phone]],"-","")</f>
        <v>8931992549</v>
      </c>
      <c r="AA345" t="str">
        <f>TRIM(PROPER(Before_Tbl[[#This Row],[Performance_Score]]))</f>
        <v>Good</v>
      </c>
      <c r="AB345" s="2" t="str">
        <f>TRIM(UPPER(Before_Tbl[[#This Row],[Remote_Work]]))</f>
        <v>FALSE</v>
      </c>
    </row>
    <row r="346" spans="1:28" x14ac:dyDescent="0.35">
      <c r="A346" t="s">
        <v>671</v>
      </c>
      <c r="B346" t="s">
        <v>69</v>
      </c>
      <c r="C346" t="s">
        <v>38</v>
      </c>
      <c r="D346">
        <v>30</v>
      </c>
      <c r="E346" t="s">
        <v>230</v>
      </c>
      <c r="F346" t="s">
        <v>33</v>
      </c>
      <c r="G346" s="1">
        <v>44774</v>
      </c>
      <c r="H346" t="s">
        <v>277</v>
      </c>
      <c r="I346" t="s">
        <v>71</v>
      </c>
      <c r="J346">
        <v>-2727516479</v>
      </c>
      <c r="K346" t="s">
        <v>41</v>
      </c>
      <c r="L346" t="b">
        <v>1</v>
      </c>
      <c r="P346" t="str">
        <f>TRIM(Before_Tbl[[#This Row],[Employee_ID]])</f>
        <v>EMP1344</v>
      </c>
      <c r="Q346" t="str">
        <f>TRIM(PROPER(Before_Tbl[[#This Row],[First_Name]]))</f>
        <v>Grace</v>
      </c>
      <c r="R346" t="str">
        <f>TRIM(PROPER(Before_Tbl[[#This Row],[Last_Name]]))</f>
        <v>Williams</v>
      </c>
      <c r="S346" s="25">
        <f t="shared" si="5"/>
        <v>30</v>
      </c>
      <c r="T346" t="str">
        <f>LEFT(Before_Tbl[[#This Row],[Department_Region]],FIND("-",Before_Tbl[[#This Row],[Department_Region]])-1)</f>
        <v>DevOps</v>
      </c>
      <c r="U346" t="str">
        <f>RIGHT(Before_Tbl[[#This Row],[Department_Region]],LEN(Before_Tbl[[#This Row],[Department_Region]])-FIND("-",Before_Tbl[[#This Row],[Department_Region]]))</f>
        <v>Florida</v>
      </c>
      <c r="V346" t="str">
        <f>TRIM(PROPER(Before_Tbl[[#This Row],[Status]]))</f>
        <v>Inactive</v>
      </c>
      <c r="W346" s="26">
        <v>44774</v>
      </c>
      <c r="X346" s="4"/>
      <c r="Y346" t="str">
        <f>TRIM(LOWER(Before_Tbl[[#This Row],[Email]]))</f>
        <v>grace.williams@example.com</v>
      </c>
      <c r="Z346" s="2" t="str">
        <f>SUBSTITUTE(Before_Tbl[[#This Row],[Phone]],"-","")</f>
        <v>2727516479</v>
      </c>
      <c r="AA346" t="str">
        <f>TRIM(PROPER(Before_Tbl[[#This Row],[Performance_Score]]))</f>
        <v>Poor</v>
      </c>
      <c r="AB346" s="2" t="str">
        <f>TRIM(UPPER(Before_Tbl[[#This Row],[Remote_Work]]))</f>
        <v>TRUE</v>
      </c>
    </row>
    <row r="347" spans="1:28" x14ac:dyDescent="0.35">
      <c r="A347" t="s">
        <v>672</v>
      </c>
      <c r="B347" t="s">
        <v>32</v>
      </c>
      <c r="C347" t="s">
        <v>14</v>
      </c>
      <c r="D347">
        <v>40</v>
      </c>
      <c r="E347" t="s">
        <v>146</v>
      </c>
      <c r="F347" t="s">
        <v>16</v>
      </c>
      <c r="G347" t="s">
        <v>673</v>
      </c>
      <c r="H347">
        <v>56110.81</v>
      </c>
      <c r="I347" t="s">
        <v>35</v>
      </c>
      <c r="J347">
        <v>-7279103367</v>
      </c>
      <c r="K347" t="s">
        <v>30</v>
      </c>
      <c r="L347" t="b">
        <v>0</v>
      </c>
      <c r="P347" t="str">
        <f>TRIM(Before_Tbl[[#This Row],[Employee_ID]])</f>
        <v>EMP1345</v>
      </c>
      <c r="Q347" t="str">
        <f>TRIM(PROPER(Before_Tbl[[#This Row],[First_Name]]))</f>
        <v>Eva</v>
      </c>
      <c r="R347" t="str">
        <f>TRIM(PROPER(Before_Tbl[[#This Row],[Last_Name]]))</f>
        <v>Davis</v>
      </c>
      <c r="S347" s="25">
        <f t="shared" si="5"/>
        <v>40</v>
      </c>
      <c r="T347" t="str">
        <f>LEFT(Before_Tbl[[#This Row],[Department_Region]],FIND("-",Before_Tbl[[#This Row],[Department_Region]])-1)</f>
        <v>HR</v>
      </c>
      <c r="U347" t="str">
        <f>RIGHT(Before_Tbl[[#This Row],[Department_Region]],LEN(Before_Tbl[[#This Row],[Department_Region]])-FIND("-",Before_Tbl[[#This Row],[Department_Region]]))</f>
        <v>California</v>
      </c>
      <c r="V347" t="str">
        <f>TRIM(PROPER(Before_Tbl[[#This Row],[Status]]))</f>
        <v>Active</v>
      </c>
      <c r="W347" s="26">
        <v>44102</v>
      </c>
      <c r="X347" s="4">
        <v>56110.81</v>
      </c>
      <c r="Y347" t="str">
        <f>TRIM(LOWER(Before_Tbl[[#This Row],[Email]]))</f>
        <v>eva.davis@example.com</v>
      </c>
      <c r="Z347" s="2" t="str">
        <f>SUBSTITUTE(Before_Tbl[[#This Row],[Phone]],"-","")</f>
        <v>7279103367</v>
      </c>
      <c r="AA347" t="str">
        <f>TRIM(PROPER(Before_Tbl[[#This Row],[Performance_Score]]))</f>
        <v>Good</v>
      </c>
      <c r="AB347" s="2" t="str">
        <f>TRIM(UPPER(Before_Tbl[[#This Row],[Remote_Work]]))</f>
        <v>FALSE</v>
      </c>
    </row>
    <row r="348" spans="1:28" x14ac:dyDescent="0.35">
      <c r="A348" t="s">
        <v>674</v>
      </c>
      <c r="B348" t="s">
        <v>69</v>
      </c>
      <c r="C348" t="s">
        <v>38</v>
      </c>
      <c r="D348">
        <v>25</v>
      </c>
      <c r="E348" t="s">
        <v>159</v>
      </c>
      <c r="F348" t="s">
        <v>33</v>
      </c>
      <c r="G348" s="1">
        <v>45171</v>
      </c>
      <c r="H348">
        <v>56514.5</v>
      </c>
      <c r="I348" t="s">
        <v>71</v>
      </c>
      <c r="J348">
        <v>-2963533904</v>
      </c>
      <c r="K348" t="s">
        <v>18</v>
      </c>
      <c r="L348" t="b">
        <v>0</v>
      </c>
      <c r="P348" t="str">
        <f>TRIM(Before_Tbl[[#This Row],[Employee_ID]])</f>
        <v>EMP1346</v>
      </c>
      <c r="Q348" t="str">
        <f>TRIM(PROPER(Before_Tbl[[#This Row],[First_Name]]))</f>
        <v>Grace</v>
      </c>
      <c r="R348" t="str">
        <f>TRIM(PROPER(Before_Tbl[[#This Row],[Last_Name]]))</f>
        <v>Williams</v>
      </c>
      <c r="S348" s="25">
        <f t="shared" si="5"/>
        <v>25</v>
      </c>
      <c r="T348" t="str">
        <f>LEFT(Before_Tbl[[#This Row],[Department_Region]],FIND("-",Before_Tbl[[#This Row],[Department_Region]])-1)</f>
        <v>Cloud Tech</v>
      </c>
      <c r="U348" t="str">
        <f>RIGHT(Before_Tbl[[#This Row],[Department_Region]],LEN(Before_Tbl[[#This Row],[Department_Region]])-FIND("-",Before_Tbl[[#This Row],[Department_Region]]))</f>
        <v>Texas</v>
      </c>
      <c r="V348" t="str">
        <f>TRIM(PROPER(Before_Tbl[[#This Row],[Status]]))</f>
        <v>Inactive</v>
      </c>
      <c r="W348" s="26">
        <v>45171</v>
      </c>
      <c r="X348" s="4">
        <v>56514.5</v>
      </c>
      <c r="Y348" t="str">
        <f>TRIM(LOWER(Before_Tbl[[#This Row],[Email]]))</f>
        <v>grace.williams@example.com</v>
      </c>
      <c r="Z348" s="2" t="str">
        <f>SUBSTITUTE(Before_Tbl[[#This Row],[Phone]],"-","")</f>
        <v>2963533904</v>
      </c>
      <c r="AA348" t="str">
        <f>TRIM(PROPER(Before_Tbl[[#This Row],[Performance_Score]]))</f>
        <v>Average</v>
      </c>
      <c r="AB348" s="2" t="str">
        <f>TRIM(UPPER(Before_Tbl[[#This Row],[Remote_Work]]))</f>
        <v>FALSE</v>
      </c>
    </row>
    <row r="349" spans="1:28" x14ac:dyDescent="0.35">
      <c r="A349" t="s">
        <v>675</v>
      </c>
      <c r="B349" t="s">
        <v>37</v>
      </c>
      <c r="C349" t="s">
        <v>20</v>
      </c>
      <c r="D349">
        <v>40</v>
      </c>
      <c r="E349" t="s">
        <v>268</v>
      </c>
      <c r="F349" t="s">
        <v>33</v>
      </c>
      <c r="G349" s="1">
        <v>44684</v>
      </c>
      <c r="H349">
        <v>104541.84</v>
      </c>
      <c r="I349" t="s">
        <v>239</v>
      </c>
      <c r="J349">
        <v>-5044817765</v>
      </c>
      <c r="K349" t="s">
        <v>30</v>
      </c>
      <c r="L349" t="b">
        <v>0</v>
      </c>
      <c r="P349" t="str">
        <f>TRIM(Before_Tbl[[#This Row],[Employee_ID]])</f>
        <v>EMP1347</v>
      </c>
      <c r="Q349" t="str">
        <f>TRIM(PROPER(Before_Tbl[[#This Row],[First_Name]]))</f>
        <v>Frank</v>
      </c>
      <c r="R349" t="str">
        <f>TRIM(PROPER(Before_Tbl[[#This Row],[Last_Name]]))</f>
        <v>Brown</v>
      </c>
      <c r="S349" s="25">
        <f t="shared" si="5"/>
        <v>40</v>
      </c>
      <c r="T349" t="str">
        <f>LEFT(Before_Tbl[[#This Row],[Department_Region]],FIND("-",Before_Tbl[[#This Row],[Department_Region]])-1)</f>
        <v>Cloud Tech</v>
      </c>
      <c r="U349" t="str">
        <f>RIGHT(Before_Tbl[[#This Row],[Department_Region]],LEN(Before_Tbl[[#This Row],[Department_Region]])-FIND("-",Before_Tbl[[#This Row],[Department_Region]]))</f>
        <v>California</v>
      </c>
      <c r="V349" t="str">
        <f>TRIM(PROPER(Before_Tbl[[#This Row],[Status]]))</f>
        <v>Inactive</v>
      </c>
      <c r="W349" s="26">
        <v>44684</v>
      </c>
      <c r="X349" s="4">
        <v>104541.84</v>
      </c>
      <c r="Y349" t="str">
        <f>TRIM(LOWER(Before_Tbl[[#This Row],[Email]]))</f>
        <v>frank.brown@example.com</v>
      </c>
      <c r="Z349" s="2" t="str">
        <f>SUBSTITUTE(Before_Tbl[[#This Row],[Phone]],"-","")</f>
        <v>5044817765</v>
      </c>
      <c r="AA349" t="str">
        <f>TRIM(PROPER(Before_Tbl[[#This Row],[Performance_Score]]))</f>
        <v>Good</v>
      </c>
      <c r="AB349" s="2" t="str">
        <f>TRIM(UPPER(Before_Tbl[[#This Row],[Remote_Work]]))</f>
        <v>FALSE</v>
      </c>
    </row>
    <row r="350" spans="1:28" x14ac:dyDescent="0.35">
      <c r="A350" t="s">
        <v>676</v>
      </c>
      <c r="B350" t="s">
        <v>59</v>
      </c>
      <c r="C350" t="s">
        <v>43</v>
      </c>
      <c r="E350" t="s">
        <v>109</v>
      </c>
      <c r="F350" t="s">
        <v>28</v>
      </c>
      <c r="G350" t="s">
        <v>677</v>
      </c>
      <c r="H350">
        <v>61865.120000000003</v>
      </c>
      <c r="I350" t="s">
        <v>101</v>
      </c>
      <c r="J350">
        <v>-5586851275</v>
      </c>
      <c r="K350" t="s">
        <v>23</v>
      </c>
      <c r="L350" t="b">
        <v>1</v>
      </c>
      <c r="P350" t="str">
        <f>TRIM(Before_Tbl[[#This Row],[Employee_ID]])</f>
        <v>EMP1348</v>
      </c>
      <c r="Q350" t="str">
        <f>TRIM(PROPER(Before_Tbl[[#This Row],[First_Name]]))</f>
        <v>David</v>
      </c>
      <c r="R350" t="str">
        <f>TRIM(PROPER(Before_Tbl[[#This Row],[Last_Name]]))</f>
        <v>Garcia</v>
      </c>
      <c r="S350" s="25">
        <f t="shared" si="5"/>
        <v>30</v>
      </c>
      <c r="T350" t="str">
        <f>LEFT(Before_Tbl[[#This Row],[Department_Region]],FIND("-",Before_Tbl[[#This Row],[Department_Region]])-1)</f>
        <v>Sales</v>
      </c>
      <c r="U350" t="str">
        <f>RIGHT(Before_Tbl[[#This Row],[Department_Region]],LEN(Before_Tbl[[#This Row],[Department_Region]])-FIND("-",Before_Tbl[[#This Row],[Department_Region]]))</f>
        <v>New York</v>
      </c>
      <c r="V350" t="str">
        <f>TRIM(PROPER(Before_Tbl[[#This Row],[Status]]))</f>
        <v>Pending</v>
      </c>
      <c r="W350" s="26">
        <v>44610</v>
      </c>
      <c r="X350" s="4">
        <v>61865.120000000003</v>
      </c>
      <c r="Y350" t="str">
        <f>TRIM(LOWER(Before_Tbl[[#This Row],[Email]]))</f>
        <v>david.garcia@example.com</v>
      </c>
      <c r="Z350" s="2" t="str">
        <f>SUBSTITUTE(Before_Tbl[[#This Row],[Phone]],"-","")</f>
        <v>5586851275</v>
      </c>
      <c r="AA350" t="str">
        <f>TRIM(PROPER(Before_Tbl[[#This Row],[Performance_Score]]))</f>
        <v>Excellent</v>
      </c>
      <c r="AB350" s="2" t="str">
        <f>TRIM(UPPER(Before_Tbl[[#This Row],[Remote_Work]]))</f>
        <v>TRUE</v>
      </c>
    </row>
    <row r="351" spans="1:28" x14ac:dyDescent="0.35">
      <c r="A351" t="s">
        <v>678</v>
      </c>
      <c r="B351" t="s">
        <v>32</v>
      </c>
      <c r="C351" t="s">
        <v>14</v>
      </c>
      <c r="D351">
        <v>40</v>
      </c>
      <c r="E351" t="s">
        <v>103</v>
      </c>
      <c r="F351" t="s">
        <v>16</v>
      </c>
      <c r="G351" s="1">
        <v>44810</v>
      </c>
      <c r="H351">
        <v>69317.33</v>
      </c>
      <c r="I351" t="s">
        <v>35</v>
      </c>
      <c r="J351">
        <v>-5289286645</v>
      </c>
      <c r="K351" t="s">
        <v>30</v>
      </c>
      <c r="L351" t="b">
        <v>0</v>
      </c>
      <c r="P351" t="str">
        <f>TRIM(Before_Tbl[[#This Row],[Employee_ID]])</f>
        <v>EMP1349</v>
      </c>
      <c r="Q351" t="str">
        <f>TRIM(PROPER(Before_Tbl[[#This Row],[First_Name]]))</f>
        <v>Eva</v>
      </c>
      <c r="R351" t="str">
        <f>TRIM(PROPER(Before_Tbl[[#This Row],[Last_Name]]))</f>
        <v>Davis</v>
      </c>
      <c r="S351" s="25">
        <f t="shared" si="5"/>
        <v>40</v>
      </c>
      <c r="T351" t="str">
        <f>LEFT(Before_Tbl[[#This Row],[Department_Region]],FIND("-",Before_Tbl[[#This Row],[Department_Region]])-1)</f>
        <v>Admin</v>
      </c>
      <c r="U351" t="str">
        <f>RIGHT(Before_Tbl[[#This Row],[Department_Region]],LEN(Before_Tbl[[#This Row],[Department_Region]])-FIND("-",Before_Tbl[[#This Row],[Department_Region]]))</f>
        <v>Texas</v>
      </c>
      <c r="V351" t="str">
        <f>TRIM(PROPER(Before_Tbl[[#This Row],[Status]]))</f>
        <v>Active</v>
      </c>
      <c r="W351" s="26">
        <v>44810</v>
      </c>
      <c r="X351" s="4">
        <v>69317.33</v>
      </c>
      <c r="Y351" t="str">
        <f>TRIM(LOWER(Before_Tbl[[#This Row],[Email]]))</f>
        <v>eva.davis@example.com</v>
      </c>
      <c r="Z351" s="2" t="str">
        <f>SUBSTITUTE(Before_Tbl[[#This Row],[Phone]],"-","")</f>
        <v>5289286645</v>
      </c>
      <c r="AA351" t="str">
        <f>TRIM(PROPER(Before_Tbl[[#This Row],[Performance_Score]]))</f>
        <v>Good</v>
      </c>
      <c r="AB351" s="2" t="str">
        <f>TRIM(UPPER(Before_Tbl[[#This Row],[Remote_Work]]))</f>
        <v>FALSE</v>
      </c>
    </row>
    <row r="352" spans="1:28" x14ac:dyDescent="0.35">
      <c r="A352" t="s">
        <v>679</v>
      </c>
      <c r="B352" t="s">
        <v>13</v>
      </c>
      <c r="C352" t="s">
        <v>20</v>
      </c>
      <c r="D352">
        <v>35</v>
      </c>
      <c r="E352" t="s">
        <v>66</v>
      </c>
      <c r="F352" t="s">
        <v>28</v>
      </c>
      <c r="G352" s="1">
        <v>45023</v>
      </c>
      <c r="H352">
        <v>84706.17</v>
      </c>
      <c r="I352" t="s">
        <v>22</v>
      </c>
      <c r="J352">
        <v>-4911110960</v>
      </c>
      <c r="K352" t="s">
        <v>18</v>
      </c>
      <c r="L352" t="b">
        <v>0</v>
      </c>
      <c r="P352" t="str">
        <f>TRIM(Before_Tbl[[#This Row],[Employee_ID]])</f>
        <v>EMP1350</v>
      </c>
      <c r="Q352" t="str">
        <f>TRIM(PROPER(Before_Tbl[[#This Row],[First_Name]]))</f>
        <v>Bob</v>
      </c>
      <c r="R352" t="str">
        <f>TRIM(PROPER(Before_Tbl[[#This Row],[Last_Name]]))</f>
        <v>Brown</v>
      </c>
      <c r="S352" s="25">
        <f t="shared" si="5"/>
        <v>35</v>
      </c>
      <c r="T352" t="str">
        <f>LEFT(Before_Tbl[[#This Row],[Department_Region]],FIND("-",Before_Tbl[[#This Row],[Department_Region]])-1)</f>
        <v>HR</v>
      </c>
      <c r="U352" t="str">
        <f>RIGHT(Before_Tbl[[#This Row],[Department_Region]],LEN(Before_Tbl[[#This Row],[Department_Region]])-FIND("-",Before_Tbl[[#This Row],[Department_Region]]))</f>
        <v>New York</v>
      </c>
      <c r="V352" t="str">
        <f>TRIM(PROPER(Before_Tbl[[#This Row],[Status]]))</f>
        <v>Pending</v>
      </c>
      <c r="W352" s="26">
        <v>45023</v>
      </c>
      <c r="X352" s="4">
        <v>84706.17</v>
      </c>
      <c r="Y352" t="str">
        <f>TRIM(LOWER(Before_Tbl[[#This Row],[Email]]))</f>
        <v>bob.brown@example.com</v>
      </c>
      <c r="Z352" s="2" t="str">
        <f>SUBSTITUTE(Before_Tbl[[#This Row],[Phone]],"-","")</f>
        <v>4911110960</v>
      </c>
      <c r="AA352" t="str">
        <f>TRIM(PROPER(Before_Tbl[[#This Row],[Performance_Score]]))</f>
        <v>Average</v>
      </c>
      <c r="AB352" s="2" t="str">
        <f>TRIM(UPPER(Before_Tbl[[#This Row],[Remote_Work]]))</f>
        <v>FALSE</v>
      </c>
    </row>
    <row r="353" spans="1:28" x14ac:dyDescent="0.35">
      <c r="A353" t="s">
        <v>680</v>
      </c>
      <c r="B353" t="s">
        <v>65</v>
      </c>
      <c r="C353" t="s">
        <v>122</v>
      </c>
      <c r="D353">
        <v>25</v>
      </c>
      <c r="E353" t="s">
        <v>118</v>
      </c>
      <c r="F353" t="s">
        <v>16</v>
      </c>
      <c r="G353" t="s">
        <v>681</v>
      </c>
      <c r="H353">
        <v>73255.210000000006</v>
      </c>
      <c r="I353" t="s">
        <v>367</v>
      </c>
      <c r="J353">
        <v>-7981789045</v>
      </c>
      <c r="K353" t="s">
        <v>18</v>
      </c>
      <c r="L353" t="b">
        <v>0</v>
      </c>
      <c r="P353" t="str">
        <f>TRIM(Before_Tbl[[#This Row],[Employee_ID]])</f>
        <v>EMP1351</v>
      </c>
      <c r="Q353" t="str">
        <f>TRIM(PROPER(Before_Tbl[[#This Row],[First_Name]]))</f>
        <v>Heidi</v>
      </c>
      <c r="R353" t="str">
        <f>TRIM(PROPER(Before_Tbl[[#This Row],[Last_Name]]))</f>
        <v>Smith</v>
      </c>
      <c r="S353" s="25">
        <f t="shared" si="5"/>
        <v>25</v>
      </c>
      <c r="T353" t="str">
        <f>LEFT(Before_Tbl[[#This Row],[Department_Region]],FIND("-",Before_Tbl[[#This Row],[Department_Region]])-1)</f>
        <v>Admin</v>
      </c>
      <c r="U353" t="str">
        <f>RIGHT(Before_Tbl[[#This Row],[Department_Region]],LEN(Before_Tbl[[#This Row],[Department_Region]])-FIND("-",Before_Tbl[[#This Row],[Department_Region]]))</f>
        <v>California</v>
      </c>
      <c r="V353" t="str">
        <f>TRIM(PROPER(Before_Tbl[[#This Row],[Status]]))</f>
        <v>Active</v>
      </c>
      <c r="W353" s="26">
        <v>44641</v>
      </c>
      <c r="X353" s="4">
        <v>73255.210000000006</v>
      </c>
      <c r="Y353" t="str">
        <f>TRIM(LOWER(Before_Tbl[[#This Row],[Email]]))</f>
        <v>heidi.smith@example.com</v>
      </c>
      <c r="Z353" s="2" t="str">
        <f>SUBSTITUTE(Before_Tbl[[#This Row],[Phone]],"-","")</f>
        <v>7981789045</v>
      </c>
      <c r="AA353" t="str">
        <f>TRIM(PROPER(Before_Tbl[[#This Row],[Performance_Score]]))</f>
        <v>Average</v>
      </c>
      <c r="AB353" s="2" t="str">
        <f>TRIM(UPPER(Before_Tbl[[#This Row],[Remote_Work]]))</f>
        <v>FALSE</v>
      </c>
    </row>
    <row r="354" spans="1:28" x14ac:dyDescent="0.35">
      <c r="A354" t="s">
        <v>682</v>
      </c>
      <c r="B354" t="s">
        <v>37</v>
      </c>
      <c r="C354" t="s">
        <v>122</v>
      </c>
      <c r="D354">
        <v>40</v>
      </c>
      <c r="E354" t="s">
        <v>212</v>
      </c>
      <c r="F354" t="s">
        <v>28</v>
      </c>
      <c r="G354" s="1">
        <v>44962</v>
      </c>
      <c r="H354">
        <v>59528.71</v>
      </c>
      <c r="I354" t="s">
        <v>137</v>
      </c>
      <c r="J354">
        <v>-3378613714</v>
      </c>
      <c r="K354" t="s">
        <v>41</v>
      </c>
      <c r="L354" t="b">
        <v>0</v>
      </c>
      <c r="P354" t="str">
        <f>TRIM(Before_Tbl[[#This Row],[Employee_ID]])</f>
        <v>EMP1352</v>
      </c>
      <c r="Q354" t="str">
        <f>TRIM(PROPER(Before_Tbl[[#This Row],[First_Name]]))</f>
        <v>Frank</v>
      </c>
      <c r="R354" t="str">
        <f>TRIM(PROPER(Before_Tbl[[#This Row],[Last_Name]]))</f>
        <v>Smith</v>
      </c>
      <c r="S354" s="25">
        <f t="shared" si="5"/>
        <v>40</v>
      </c>
      <c r="T354" t="str">
        <f>LEFT(Before_Tbl[[#This Row],[Department_Region]],FIND("-",Before_Tbl[[#This Row],[Department_Region]])-1)</f>
        <v>HR</v>
      </c>
      <c r="U354" t="str">
        <f>RIGHT(Before_Tbl[[#This Row],[Department_Region]],LEN(Before_Tbl[[#This Row],[Department_Region]])-FIND("-",Before_Tbl[[#This Row],[Department_Region]]))</f>
        <v>Florida</v>
      </c>
      <c r="V354" t="str">
        <f>TRIM(PROPER(Before_Tbl[[#This Row],[Status]]))</f>
        <v>Pending</v>
      </c>
      <c r="W354" s="26">
        <v>44962</v>
      </c>
      <c r="X354" s="4">
        <v>59528.71</v>
      </c>
      <c r="Y354" t="str">
        <f>TRIM(LOWER(Before_Tbl[[#This Row],[Email]]))</f>
        <v>frank.smith@example.com</v>
      </c>
      <c r="Z354" s="2" t="str">
        <f>SUBSTITUTE(Before_Tbl[[#This Row],[Phone]],"-","")</f>
        <v>3378613714</v>
      </c>
      <c r="AA354" t="str">
        <f>TRIM(PROPER(Before_Tbl[[#This Row],[Performance_Score]]))</f>
        <v>Poor</v>
      </c>
      <c r="AB354" s="2" t="str">
        <f>TRIM(UPPER(Before_Tbl[[#This Row],[Remote_Work]]))</f>
        <v>FALSE</v>
      </c>
    </row>
    <row r="355" spans="1:28" x14ac:dyDescent="0.35">
      <c r="A355" t="s">
        <v>683</v>
      </c>
      <c r="B355" t="s">
        <v>59</v>
      </c>
      <c r="C355" t="s">
        <v>43</v>
      </c>
      <c r="D355">
        <v>40</v>
      </c>
      <c r="E355" t="s">
        <v>66</v>
      </c>
      <c r="F355" t="s">
        <v>33</v>
      </c>
      <c r="G355" t="s">
        <v>684</v>
      </c>
      <c r="H355">
        <v>70401.37</v>
      </c>
      <c r="I355" t="s">
        <v>101</v>
      </c>
      <c r="J355">
        <v>-7660538443</v>
      </c>
      <c r="K355" t="s">
        <v>30</v>
      </c>
      <c r="L355" t="b">
        <v>1</v>
      </c>
      <c r="P355" t="str">
        <f>TRIM(Before_Tbl[[#This Row],[Employee_ID]])</f>
        <v>EMP1353</v>
      </c>
      <c r="Q355" t="str">
        <f>TRIM(PROPER(Before_Tbl[[#This Row],[First_Name]]))</f>
        <v>David</v>
      </c>
      <c r="R355" t="str">
        <f>TRIM(PROPER(Before_Tbl[[#This Row],[Last_Name]]))</f>
        <v>Garcia</v>
      </c>
      <c r="S355" s="25">
        <f t="shared" si="5"/>
        <v>40</v>
      </c>
      <c r="T355" t="str">
        <f>LEFT(Before_Tbl[[#This Row],[Department_Region]],FIND("-",Before_Tbl[[#This Row],[Department_Region]])-1)</f>
        <v>HR</v>
      </c>
      <c r="U355" t="str">
        <f>RIGHT(Before_Tbl[[#This Row],[Department_Region]],LEN(Before_Tbl[[#This Row],[Department_Region]])-FIND("-",Before_Tbl[[#This Row],[Department_Region]]))</f>
        <v>New York</v>
      </c>
      <c r="V355" t="str">
        <f>TRIM(PROPER(Before_Tbl[[#This Row],[Status]]))</f>
        <v>Inactive</v>
      </c>
      <c r="W355" s="26">
        <v>44484</v>
      </c>
      <c r="X355" s="4">
        <v>70401.37</v>
      </c>
      <c r="Y355" t="str">
        <f>TRIM(LOWER(Before_Tbl[[#This Row],[Email]]))</f>
        <v>david.garcia@example.com</v>
      </c>
      <c r="Z355" s="2" t="str">
        <f>SUBSTITUTE(Before_Tbl[[#This Row],[Phone]],"-","")</f>
        <v>7660538443</v>
      </c>
      <c r="AA355" t="str">
        <f>TRIM(PROPER(Before_Tbl[[#This Row],[Performance_Score]]))</f>
        <v>Good</v>
      </c>
      <c r="AB355" s="2" t="str">
        <f>TRIM(UPPER(Before_Tbl[[#This Row],[Remote_Work]]))</f>
        <v>TRUE</v>
      </c>
    </row>
    <row r="356" spans="1:28" x14ac:dyDescent="0.35">
      <c r="A356" t="s">
        <v>685</v>
      </c>
      <c r="B356" t="s">
        <v>65</v>
      </c>
      <c r="C356" t="s">
        <v>43</v>
      </c>
      <c r="E356" t="s">
        <v>118</v>
      </c>
      <c r="F356" t="s">
        <v>33</v>
      </c>
      <c r="G356" t="s">
        <v>686</v>
      </c>
      <c r="H356">
        <v>107154.62</v>
      </c>
      <c r="I356" t="s">
        <v>257</v>
      </c>
      <c r="J356">
        <v>-4630600024</v>
      </c>
      <c r="K356" t="s">
        <v>18</v>
      </c>
      <c r="L356" t="b">
        <v>1</v>
      </c>
      <c r="P356" t="str">
        <f>TRIM(Before_Tbl[[#This Row],[Employee_ID]])</f>
        <v>EMP1354</v>
      </c>
      <c r="Q356" t="str">
        <f>TRIM(PROPER(Before_Tbl[[#This Row],[First_Name]]))</f>
        <v>Heidi</v>
      </c>
      <c r="R356" t="str">
        <f>TRIM(PROPER(Before_Tbl[[#This Row],[Last_Name]]))</f>
        <v>Garcia</v>
      </c>
      <c r="S356" s="25">
        <f t="shared" si="5"/>
        <v>30</v>
      </c>
      <c r="T356" t="str">
        <f>LEFT(Before_Tbl[[#This Row],[Department_Region]],FIND("-",Before_Tbl[[#This Row],[Department_Region]])-1)</f>
        <v>Admin</v>
      </c>
      <c r="U356" t="str">
        <f>RIGHT(Before_Tbl[[#This Row],[Department_Region]],LEN(Before_Tbl[[#This Row],[Department_Region]])-FIND("-",Before_Tbl[[#This Row],[Department_Region]]))</f>
        <v>California</v>
      </c>
      <c r="V356" t="str">
        <f>TRIM(PROPER(Before_Tbl[[#This Row],[Status]]))</f>
        <v>Inactive</v>
      </c>
      <c r="W356" s="26">
        <v>44405</v>
      </c>
      <c r="X356" s="4">
        <v>107154.62</v>
      </c>
      <c r="Y356" t="str">
        <f>TRIM(LOWER(Before_Tbl[[#This Row],[Email]]))</f>
        <v>heidi.garcia@example.com</v>
      </c>
      <c r="Z356" s="2" t="str">
        <f>SUBSTITUTE(Before_Tbl[[#This Row],[Phone]],"-","")</f>
        <v>4630600024</v>
      </c>
      <c r="AA356" t="str">
        <f>TRIM(PROPER(Before_Tbl[[#This Row],[Performance_Score]]))</f>
        <v>Average</v>
      </c>
      <c r="AB356" s="2" t="str">
        <f>TRIM(UPPER(Before_Tbl[[#This Row],[Remote_Work]]))</f>
        <v>TRUE</v>
      </c>
    </row>
    <row r="357" spans="1:28" x14ac:dyDescent="0.35">
      <c r="A357" t="s">
        <v>687</v>
      </c>
      <c r="B357" t="s">
        <v>13</v>
      </c>
      <c r="C357" t="s">
        <v>14</v>
      </c>
      <c r="E357" t="s">
        <v>89</v>
      </c>
      <c r="F357" t="s">
        <v>28</v>
      </c>
      <c r="G357" s="1">
        <v>44256</v>
      </c>
      <c r="H357">
        <v>97719.88</v>
      </c>
      <c r="I357" t="s">
        <v>17</v>
      </c>
      <c r="J357">
        <v>-8955296385</v>
      </c>
      <c r="K357" t="s">
        <v>23</v>
      </c>
      <c r="L357" t="b">
        <v>0</v>
      </c>
      <c r="P357" t="str">
        <f>TRIM(Before_Tbl[[#This Row],[Employee_ID]])</f>
        <v>EMP1355</v>
      </c>
      <c r="Q357" t="str">
        <f>TRIM(PROPER(Before_Tbl[[#This Row],[First_Name]]))</f>
        <v>Bob</v>
      </c>
      <c r="R357" t="str">
        <f>TRIM(PROPER(Before_Tbl[[#This Row],[Last_Name]]))</f>
        <v>Davis</v>
      </c>
      <c r="S357" s="25">
        <f t="shared" si="5"/>
        <v>30</v>
      </c>
      <c r="T357" t="str">
        <f>LEFT(Before_Tbl[[#This Row],[Department_Region]],FIND("-",Before_Tbl[[#This Row],[Department_Region]])-1)</f>
        <v>Admin</v>
      </c>
      <c r="U357" t="str">
        <f>RIGHT(Before_Tbl[[#This Row],[Department_Region]],LEN(Before_Tbl[[#This Row],[Department_Region]])-FIND("-",Before_Tbl[[#This Row],[Department_Region]]))</f>
        <v>Illinois</v>
      </c>
      <c r="V357" t="str">
        <f>TRIM(PROPER(Before_Tbl[[#This Row],[Status]]))</f>
        <v>Pending</v>
      </c>
      <c r="W357" s="26">
        <v>44256</v>
      </c>
      <c r="X357" s="4">
        <v>97719.88</v>
      </c>
      <c r="Y357" t="str">
        <f>TRIM(LOWER(Before_Tbl[[#This Row],[Email]]))</f>
        <v>bob.davis@example.com</v>
      </c>
      <c r="Z357" s="2" t="str">
        <f>SUBSTITUTE(Before_Tbl[[#This Row],[Phone]],"-","")</f>
        <v>8955296385</v>
      </c>
      <c r="AA357" t="str">
        <f>TRIM(PROPER(Before_Tbl[[#This Row],[Performance_Score]]))</f>
        <v>Excellent</v>
      </c>
      <c r="AB357" s="2" t="str">
        <f>TRIM(UPPER(Before_Tbl[[#This Row],[Remote_Work]]))</f>
        <v>FALSE</v>
      </c>
    </row>
    <row r="358" spans="1:28" x14ac:dyDescent="0.35">
      <c r="A358" t="s">
        <v>688</v>
      </c>
      <c r="B358" t="s">
        <v>65</v>
      </c>
      <c r="C358" t="s">
        <v>55</v>
      </c>
      <c r="D358">
        <v>30</v>
      </c>
      <c r="E358" t="s">
        <v>70</v>
      </c>
      <c r="F358" t="s">
        <v>28</v>
      </c>
      <c r="G358" t="s">
        <v>251</v>
      </c>
      <c r="H358">
        <v>107327.59</v>
      </c>
      <c r="I358" t="s">
        <v>113</v>
      </c>
      <c r="J358">
        <v>-3960962625</v>
      </c>
      <c r="K358" t="s">
        <v>41</v>
      </c>
      <c r="L358" t="b">
        <v>0</v>
      </c>
      <c r="P358" t="str">
        <f>TRIM(Before_Tbl[[#This Row],[Employee_ID]])</f>
        <v>EMP1356</v>
      </c>
      <c r="Q358" t="str">
        <f>TRIM(PROPER(Before_Tbl[[#This Row],[First_Name]]))</f>
        <v>Heidi</v>
      </c>
      <c r="R358" t="str">
        <f>TRIM(PROPER(Before_Tbl[[#This Row],[Last_Name]]))</f>
        <v>Johnson</v>
      </c>
      <c r="S358" s="25">
        <f t="shared" si="5"/>
        <v>30</v>
      </c>
      <c r="T358" t="str">
        <f>LEFT(Before_Tbl[[#This Row],[Department_Region]],FIND("-",Before_Tbl[[#This Row],[Department_Region]])-1)</f>
        <v>Finance</v>
      </c>
      <c r="U358" t="str">
        <f>RIGHT(Before_Tbl[[#This Row],[Department_Region]],LEN(Before_Tbl[[#This Row],[Department_Region]])-FIND("-",Before_Tbl[[#This Row],[Department_Region]]))</f>
        <v>California</v>
      </c>
      <c r="V358" t="str">
        <f>TRIM(PROPER(Before_Tbl[[#This Row],[Status]]))</f>
        <v>Pending</v>
      </c>
      <c r="W358" s="26">
        <v>43972</v>
      </c>
      <c r="X358" s="4">
        <v>107327.59</v>
      </c>
      <c r="Y358" t="str">
        <f>TRIM(LOWER(Before_Tbl[[#This Row],[Email]]))</f>
        <v>heidi.johnson@example.com</v>
      </c>
      <c r="Z358" s="2" t="str">
        <f>SUBSTITUTE(Before_Tbl[[#This Row],[Phone]],"-","")</f>
        <v>3960962625</v>
      </c>
      <c r="AA358" t="str">
        <f>TRIM(PROPER(Before_Tbl[[#This Row],[Performance_Score]]))</f>
        <v>Poor</v>
      </c>
      <c r="AB358" s="2" t="str">
        <f>TRIM(UPPER(Before_Tbl[[#This Row],[Remote_Work]]))</f>
        <v>FALSE</v>
      </c>
    </row>
    <row r="359" spans="1:28" x14ac:dyDescent="0.35">
      <c r="A359" t="s">
        <v>689</v>
      </c>
      <c r="B359" t="s">
        <v>69</v>
      </c>
      <c r="C359" t="s">
        <v>43</v>
      </c>
      <c r="D359">
        <v>40</v>
      </c>
      <c r="E359" t="s">
        <v>27</v>
      </c>
      <c r="F359" t="s">
        <v>33</v>
      </c>
      <c r="G359" s="1">
        <v>44474</v>
      </c>
      <c r="H359">
        <v>67687.72</v>
      </c>
      <c r="I359" t="s">
        <v>83</v>
      </c>
      <c r="J359">
        <v>-5826312818</v>
      </c>
      <c r="K359" t="s">
        <v>23</v>
      </c>
      <c r="L359" t="b">
        <v>1</v>
      </c>
      <c r="P359" t="str">
        <f>TRIM(Before_Tbl[[#This Row],[Employee_ID]])</f>
        <v>EMP1357</v>
      </c>
      <c r="Q359" t="str">
        <f>TRIM(PROPER(Before_Tbl[[#This Row],[First_Name]]))</f>
        <v>Grace</v>
      </c>
      <c r="R359" t="str">
        <f>TRIM(PROPER(Before_Tbl[[#This Row],[Last_Name]]))</f>
        <v>Garcia</v>
      </c>
      <c r="S359" s="25">
        <f t="shared" si="5"/>
        <v>40</v>
      </c>
      <c r="T359" t="str">
        <f>LEFT(Before_Tbl[[#This Row],[Department_Region]],FIND("-",Before_Tbl[[#This Row],[Department_Region]])-1)</f>
        <v>Admin</v>
      </c>
      <c r="U359" t="str">
        <f>RIGHT(Before_Tbl[[#This Row],[Department_Region]],LEN(Before_Tbl[[#This Row],[Department_Region]])-FIND("-",Before_Tbl[[#This Row],[Department_Region]]))</f>
        <v>Nevada</v>
      </c>
      <c r="V359" t="str">
        <f>TRIM(PROPER(Before_Tbl[[#This Row],[Status]]))</f>
        <v>Inactive</v>
      </c>
      <c r="W359" s="26">
        <v>44474</v>
      </c>
      <c r="X359" s="4">
        <v>67687.72</v>
      </c>
      <c r="Y359" t="str">
        <f>TRIM(LOWER(Before_Tbl[[#This Row],[Email]]))</f>
        <v>grace.garcia@example.com</v>
      </c>
      <c r="Z359" s="2" t="str">
        <f>SUBSTITUTE(Before_Tbl[[#This Row],[Phone]],"-","")</f>
        <v>5826312818</v>
      </c>
      <c r="AA359" t="str">
        <f>TRIM(PROPER(Before_Tbl[[#This Row],[Performance_Score]]))</f>
        <v>Excellent</v>
      </c>
      <c r="AB359" s="2" t="str">
        <f>TRIM(UPPER(Before_Tbl[[#This Row],[Remote_Work]]))</f>
        <v>TRUE</v>
      </c>
    </row>
    <row r="360" spans="1:28" x14ac:dyDescent="0.35">
      <c r="A360" t="s">
        <v>690</v>
      </c>
      <c r="B360" t="s">
        <v>69</v>
      </c>
      <c r="C360" t="s">
        <v>122</v>
      </c>
      <c r="D360">
        <v>40</v>
      </c>
      <c r="E360" t="s">
        <v>39</v>
      </c>
      <c r="F360" t="s">
        <v>28</v>
      </c>
      <c r="G360" s="1">
        <v>44782</v>
      </c>
      <c r="H360">
        <v>90757.08</v>
      </c>
      <c r="I360" t="s">
        <v>135</v>
      </c>
      <c r="J360">
        <v>-6482531105</v>
      </c>
      <c r="K360" t="s">
        <v>30</v>
      </c>
      <c r="L360" t="b">
        <v>1</v>
      </c>
      <c r="P360" t="str">
        <f>TRIM(Before_Tbl[[#This Row],[Employee_ID]])</f>
        <v>EMP1358</v>
      </c>
      <c r="Q360" t="str">
        <f>TRIM(PROPER(Before_Tbl[[#This Row],[First_Name]]))</f>
        <v>Grace</v>
      </c>
      <c r="R360" t="str">
        <f>TRIM(PROPER(Before_Tbl[[#This Row],[Last_Name]]))</f>
        <v>Smith</v>
      </c>
      <c r="S360" s="25">
        <f t="shared" si="5"/>
        <v>40</v>
      </c>
      <c r="T360" t="str">
        <f>LEFT(Before_Tbl[[#This Row],[Department_Region]],FIND("-",Before_Tbl[[#This Row],[Department_Region]])-1)</f>
        <v>Cloud Tech</v>
      </c>
      <c r="U360" t="str">
        <f>RIGHT(Before_Tbl[[#This Row],[Department_Region]],LEN(Before_Tbl[[#This Row],[Department_Region]])-FIND("-",Before_Tbl[[#This Row],[Department_Region]]))</f>
        <v>Florida</v>
      </c>
      <c r="V360" t="str">
        <f>TRIM(PROPER(Before_Tbl[[#This Row],[Status]]))</f>
        <v>Pending</v>
      </c>
      <c r="W360" s="26">
        <v>44782</v>
      </c>
      <c r="X360" s="4">
        <v>90757.08</v>
      </c>
      <c r="Y360" t="str">
        <f>TRIM(LOWER(Before_Tbl[[#This Row],[Email]]))</f>
        <v>grace.smith@example.com</v>
      </c>
      <c r="Z360" s="2" t="str">
        <f>SUBSTITUTE(Before_Tbl[[#This Row],[Phone]],"-","")</f>
        <v>6482531105</v>
      </c>
      <c r="AA360" t="str">
        <f>TRIM(PROPER(Before_Tbl[[#This Row],[Performance_Score]]))</f>
        <v>Good</v>
      </c>
      <c r="AB360" s="2" t="str">
        <f>TRIM(UPPER(Before_Tbl[[#This Row],[Remote_Work]]))</f>
        <v>TRUE</v>
      </c>
    </row>
    <row r="361" spans="1:28" x14ac:dyDescent="0.35">
      <c r="A361" t="s">
        <v>691</v>
      </c>
      <c r="B361" t="s">
        <v>69</v>
      </c>
      <c r="C361" t="s">
        <v>38</v>
      </c>
      <c r="E361" t="s">
        <v>268</v>
      </c>
      <c r="F361" t="s">
        <v>28</v>
      </c>
      <c r="G361" t="s">
        <v>692</v>
      </c>
      <c r="H361">
        <v>87583.42</v>
      </c>
      <c r="I361" t="s">
        <v>71</v>
      </c>
      <c r="J361">
        <v>-920981959</v>
      </c>
      <c r="K361" t="s">
        <v>30</v>
      </c>
      <c r="L361" t="b">
        <v>0</v>
      </c>
      <c r="P361" t="str">
        <f>TRIM(Before_Tbl[[#This Row],[Employee_ID]])</f>
        <v>EMP1359</v>
      </c>
      <c r="Q361" t="str">
        <f>TRIM(PROPER(Before_Tbl[[#This Row],[First_Name]]))</f>
        <v>Grace</v>
      </c>
      <c r="R361" t="str">
        <f>TRIM(PROPER(Before_Tbl[[#This Row],[Last_Name]]))</f>
        <v>Williams</v>
      </c>
      <c r="S361" s="25">
        <f t="shared" si="5"/>
        <v>30</v>
      </c>
      <c r="T361" t="str">
        <f>LEFT(Before_Tbl[[#This Row],[Department_Region]],FIND("-",Before_Tbl[[#This Row],[Department_Region]])-1)</f>
        <v>Cloud Tech</v>
      </c>
      <c r="U361" t="str">
        <f>RIGHT(Before_Tbl[[#This Row],[Department_Region]],LEN(Before_Tbl[[#This Row],[Department_Region]])-FIND("-",Before_Tbl[[#This Row],[Department_Region]]))</f>
        <v>California</v>
      </c>
      <c r="V361" t="str">
        <f>TRIM(PROPER(Before_Tbl[[#This Row],[Status]]))</f>
        <v>Pending</v>
      </c>
      <c r="W361" s="26">
        <v>45494</v>
      </c>
      <c r="X361" s="4">
        <v>87583.42</v>
      </c>
      <c r="Y361" t="str">
        <f>TRIM(LOWER(Before_Tbl[[#This Row],[Email]]))</f>
        <v>grace.williams@example.com</v>
      </c>
      <c r="Z361" s="2" t="str">
        <f>SUBSTITUTE(Before_Tbl[[#This Row],[Phone]],"-","")</f>
        <v>920981959</v>
      </c>
      <c r="AA361" t="str">
        <f>TRIM(PROPER(Before_Tbl[[#This Row],[Performance_Score]]))</f>
        <v>Good</v>
      </c>
      <c r="AB361" s="2" t="str">
        <f>TRIM(UPPER(Before_Tbl[[#This Row],[Remote_Work]]))</f>
        <v>FALSE</v>
      </c>
    </row>
    <row r="362" spans="1:28" x14ac:dyDescent="0.35">
      <c r="A362" t="s">
        <v>693</v>
      </c>
      <c r="B362" t="s">
        <v>13</v>
      </c>
      <c r="C362" t="s">
        <v>20</v>
      </c>
      <c r="D362">
        <v>25</v>
      </c>
      <c r="E362" t="s">
        <v>27</v>
      </c>
      <c r="F362" t="s">
        <v>28</v>
      </c>
      <c r="G362" t="s">
        <v>694</v>
      </c>
      <c r="H362">
        <v>61643.69</v>
      </c>
      <c r="I362" t="s">
        <v>22</v>
      </c>
      <c r="J362">
        <v>-2752334382</v>
      </c>
      <c r="K362" t="s">
        <v>30</v>
      </c>
      <c r="L362" t="b">
        <v>1</v>
      </c>
      <c r="P362" t="str">
        <f>TRIM(Before_Tbl[[#This Row],[Employee_ID]])</f>
        <v>EMP1360</v>
      </c>
      <c r="Q362" t="str">
        <f>TRIM(PROPER(Before_Tbl[[#This Row],[First_Name]]))</f>
        <v>Bob</v>
      </c>
      <c r="R362" t="str">
        <f>TRIM(PROPER(Before_Tbl[[#This Row],[Last_Name]]))</f>
        <v>Brown</v>
      </c>
      <c r="S362" s="25">
        <f t="shared" si="5"/>
        <v>25</v>
      </c>
      <c r="T362" t="str">
        <f>LEFT(Before_Tbl[[#This Row],[Department_Region]],FIND("-",Before_Tbl[[#This Row],[Department_Region]])-1)</f>
        <v>Admin</v>
      </c>
      <c r="U362" t="str">
        <f>RIGHT(Before_Tbl[[#This Row],[Department_Region]],LEN(Before_Tbl[[#This Row],[Department_Region]])-FIND("-",Before_Tbl[[#This Row],[Department_Region]]))</f>
        <v>Nevada</v>
      </c>
      <c r="V362" t="str">
        <f>TRIM(PROPER(Before_Tbl[[#This Row],[Status]]))</f>
        <v>Pending</v>
      </c>
      <c r="W362" s="26">
        <v>44558</v>
      </c>
      <c r="X362" s="4">
        <v>61643.69</v>
      </c>
      <c r="Y362" t="str">
        <f>TRIM(LOWER(Before_Tbl[[#This Row],[Email]]))</f>
        <v>bob.brown@example.com</v>
      </c>
      <c r="Z362" s="2" t="str">
        <f>SUBSTITUTE(Before_Tbl[[#This Row],[Phone]],"-","")</f>
        <v>2752334382</v>
      </c>
      <c r="AA362" t="str">
        <f>TRIM(PROPER(Before_Tbl[[#This Row],[Performance_Score]]))</f>
        <v>Good</v>
      </c>
      <c r="AB362" s="2" t="str">
        <f>TRIM(UPPER(Before_Tbl[[#This Row],[Remote_Work]]))</f>
        <v>TRUE</v>
      </c>
    </row>
    <row r="363" spans="1:28" x14ac:dyDescent="0.35">
      <c r="A363" t="s">
        <v>695</v>
      </c>
      <c r="B363" t="s">
        <v>69</v>
      </c>
      <c r="C363" t="s">
        <v>122</v>
      </c>
      <c r="D363">
        <v>35</v>
      </c>
      <c r="E363" t="s">
        <v>21</v>
      </c>
      <c r="F363" t="s">
        <v>16</v>
      </c>
      <c r="G363" t="s">
        <v>696</v>
      </c>
      <c r="H363">
        <v>68111.69</v>
      </c>
      <c r="I363" t="s">
        <v>135</v>
      </c>
      <c r="J363">
        <v>-6404120910</v>
      </c>
      <c r="K363" t="s">
        <v>41</v>
      </c>
      <c r="L363" t="b">
        <v>0</v>
      </c>
      <c r="P363" t="str">
        <f>TRIM(Before_Tbl[[#This Row],[Employee_ID]])</f>
        <v>EMP1361</v>
      </c>
      <c r="Q363" t="str">
        <f>TRIM(PROPER(Before_Tbl[[#This Row],[First_Name]]))</f>
        <v>Grace</v>
      </c>
      <c r="R363" t="str">
        <f>TRIM(PROPER(Before_Tbl[[#This Row],[Last_Name]]))</f>
        <v>Smith</v>
      </c>
      <c r="S363" s="25">
        <f t="shared" si="5"/>
        <v>35</v>
      </c>
      <c r="T363" t="str">
        <f>LEFT(Before_Tbl[[#This Row],[Department_Region]],FIND("-",Before_Tbl[[#This Row],[Department_Region]])-1)</f>
        <v>Finance</v>
      </c>
      <c r="U363" t="str">
        <f>RIGHT(Before_Tbl[[#This Row],[Department_Region]],LEN(Before_Tbl[[#This Row],[Department_Region]])-FIND("-",Before_Tbl[[#This Row],[Department_Region]]))</f>
        <v>Texas</v>
      </c>
      <c r="V363" t="str">
        <f>TRIM(PROPER(Before_Tbl[[#This Row],[Status]]))</f>
        <v>Active</v>
      </c>
      <c r="W363" s="26">
        <v>44032</v>
      </c>
      <c r="X363" s="4">
        <v>68111.69</v>
      </c>
      <c r="Y363" t="str">
        <f>TRIM(LOWER(Before_Tbl[[#This Row],[Email]]))</f>
        <v>grace.smith@example.com</v>
      </c>
      <c r="Z363" s="2" t="str">
        <f>SUBSTITUTE(Before_Tbl[[#This Row],[Phone]],"-","")</f>
        <v>6404120910</v>
      </c>
      <c r="AA363" t="str">
        <f>TRIM(PROPER(Before_Tbl[[#This Row],[Performance_Score]]))</f>
        <v>Poor</v>
      </c>
      <c r="AB363" s="2" t="str">
        <f>TRIM(UPPER(Before_Tbl[[#This Row],[Remote_Work]]))</f>
        <v>FALSE</v>
      </c>
    </row>
    <row r="364" spans="1:28" x14ac:dyDescent="0.35">
      <c r="A364" t="s">
        <v>697</v>
      </c>
      <c r="B364" t="s">
        <v>59</v>
      </c>
      <c r="C364" t="s">
        <v>122</v>
      </c>
      <c r="D364">
        <v>40</v>
      </c>
      <c r="E364" t="s">
        <v>212</v>
      </c>
      <c r="F364" t="s">
        <v>33</v>
      </c>
      <c r="G364" t="s">
        <v>698</v>
      </c>
      <c r="H364">
        <v>97568.88</v>
      </c>
      <c r="I364" t="s">
        <v>341</v>
      </c>
      <c r="J364">
        <v>-7911244210</v>
      </c>
      <c r="K364" t="s">
        <v>18</v>
      </c>
      <c r="L364" t="b">
        <v>1</v>
      </c>
      <c r="P364" t="str">
        <f>TRIM(Before_Tbl[[#This Row],[Employee_ID]])</f>
        <v>EMP1362</v>
      </c>
      <c r="Q364" t="str">
        <f>TRIM(PROPER(Before_Tbl[[#This Row],[First_Name]]))</f>
        <v>David</v>
      </c>
      <c r="R364" t="str">
        <f>TRIM(PROPER(Before_Tbl[[#This Row],[Last_Name]]))</f>
        <v>Smith</v>
      </c>
      <c r="S364" s="25">
        <f t="shared" si="5"/>
        <v>40</v>
      </c>
      <c r="T364" t="str">
        <f>LEFT(Before_Tbl[[#This Row],[Department_Region]],FIND("-",Before_Tbl[[#This Row],[Department_Region]])-1)</f>
        <v>HR</v>
      </c>
      <c r="U364" t="str">
        <f>RIGHT(Before_Tbl[[#This Row],[Department_Region]],LEN(Before_Tbl[[#This Row],[Department_Region]])-FIND("-",Before_Tbl[[#This Row],[Department_Region]]))</f>
        <v>Florida</v>
      </c>
      <c r="V364" t="str">
        <f>TRIM(PROPER(Before_Tbl[[#This Row],[Status]]))</f>
        <v>Inactive</v>
      </c>
      <c r="W364" s="26">
        <v>45412</v>
      </c>
      <c r="X364" s="4">
        <v>97568.88</v>
      </c>
      <c r="Y364" t="str">
        <f>TRIM(LOWER(Before_Tbl[[#This Row],[Email]]))</f>
        <v>david.smith@example.com</v>
      </c>
      <c r="Z364" s="2" t="str">
        <f>SUBSTITUTE(Before_Tbl[[#This Row],[Phone]],"-","")</f>
        <v>7911244210</v>
      </c>
      <c r="AA364" t="str">
        <f>TRIM(PROPER(Before_Tbl[[#This Row],[Performance_Score]]))</f>
        <v>Average</v>
      </c>
      <c r="AB364" s="2" t="str">
        <f>TRIM(UPPER(Before_Tbl[[#This Row],[Remote_Work]]))</f>
        <v>TRUE</v>
      </c>
    </row>
    <row r="365" spans="1:28" x14ac:dyDescent="0.35">
      <c r="A365" t="s">
        <v>699</v>
      </c>
      <c r="B365" t="s">
        <v>54</v>
      </c>
      <c r="C365" t="s">
        <v>55</v>
      </c>
      <c r="D365">
        <v>35</v>
      </c>
      <c r="E365" t="s">
        <v>39</v>
      </c>
      <c r="F365" t="s">
        <v>16</v>
      </c>
      <c r="G365" t="s">
        <v>700</v>
      </c>
      <c r="H365">
        <v>79118.28</v>
      </c>
      <c r="I365" t="s">
        <v>57</v>
      </c>
      <c r="J365">
        <v>-7536170616</v>
      </c>
      <c r="K365" t="s">
        <v>41</v>
      </c>
      <c r="L365" t="b">
        <v>1</v>
      </c>
      <c r="P365" t="str">
        <f>TRIM(Before_Tbl[[#This Row],[Employee_ID]])</f>
        <v>EMP1363</v>
      </c>
      <c r="Q365" t="str">
        <f>TRIM(PROPER(Before_Tbl[[#This Row],[First_Name]]))</f>
        <v>Charlie</v>
      </c>
      <c r="R365" t="str">
        <f>TRIM(PROPER(Before_Tbl[[#This Row],[Last_Name]]))</f>
        <v>Johnson</v>
      </c>
      <c r="S365" s="25">
        <f t="shared" si="5"/>
        <v>35</v>
      </c>
      <c r="T365" t="str">
        <f>LEFT(Before_Tbl[[#This Row],[Department_Region]],FIND("-",Before_Tbl[[#This Row],[Department_Region]])-1)</f>
        <v>Cloud Tech</v>
      </c>
      <c r="U365" t="str">
        <f>RIGHT(Before_Tbl[[#This Row],[Department_Region]],LEN(Before_Tbl[[#This Row],[Department_Region]])-FIND("-",Before_Tbl[[#This Row],[Department_Region]]))</f>
        <v>Florida</v>
      </c>
      <c r="V365" t="str">
        <f>TRIM(PROPER(Before_Tbl[[#This Row],[Status]]))</f>
        <v>Active</v>
      </c>
      <c r="W365" s="26">
        <v>44436</v>
      </c>
      <c r="X365" s="4">
        <v>79118.28</v>
      </c>
      <c r="Y365" t="str">
        <f>TRIM(LOWER(Before_Tbl[[#This Row],[Email]]))</f>
        <v>charlie.johnson@example.com</v>
      </c>
      <c r="Z365" s="2" t="str">
        <f>SUBSTITUTE(Before_Tbl[[#This Row],[Phone]],"-","")</f>
        <v>7536170616</v>
      </c>
      <c r="AA365" t="str">
        <f>TRIM(PROPER(Before_Tbl[[#This Row],[Performance_Score]]))</f>
        <v>Poor</v>
      </c>
      <c r="AB365" s="2" t="str">
        <f>TRIM(UPPER(Before_Tbl[[#This Row],[Remote_Work]]))</f>
        <v>TRUE</v>
      </c>
    </row>
    <row r="366" spans="1:28" x14ac:dyDescent="0.35">
      <c r="A366" t="s">
        <v>701</v>
      </c>
      <c r="B366" t="s">
        <v>13</v>
      </c>
      <c r="C366" t="s">
        <v>14</v>
      </c>
      <c r="D366">
        <v>30</v>
      </c>
      <c r="E366" t="s">
        <v>146</v>
      </c>
      <c r="F366" t="s">
        <v>33</v>
      </c>
      <c r="G366" t="s">
        <v>325</v>
      </c>
      <c r="H366">
        <v>104898.9</v>
      </c>
      <c r="I366" t="s">
        <v>17</v>
      </c>
      <c r="J366">
        <v>-1366572239</v>
      </c>
      <c r="K366" t="s">
        <v>23</v>
      </c>
      <c r="L366" t="b">
        <v>1</v>
      </c>
      <c r="P366" t="str">
        <f>TRIM(Before_Tbl[[#This Row],[Employee_ID]])</f>
        <v>EMP1364</v>
      </c>
      <c r="Q366" t="str">
        <f>TRIM(PROPER(Before_Tbl[[#This Row],[First_Name]]))</f>
        <v>Bob</v>
      </c>
      <c r="R366" t="str">
        <f>TRIM(PROPER(Before_Tbl[[#This Row],[Last_Name]]))</f>
        <v>Davis</v>
      </c>
      <c r="S366" s="25">
        <f t="shared" si="5"/>
        <v>30</v>
      </c>
      <c r="T366" t="str">
        <f>LEFT(Before_Tbl[[#This Row],[Department_Region]],FIND("-",Before_Tbl[[#This Row],[Department_Region]])-1)</f>
        <v>HR</v>
      </c>
      <c r="U366" t="str">
        <f>RIGHT(Before_Tbl[[#This Row],[Department_Region]],LEN(Before_Tbl[[#This Row],[Department_Region]])-FIND("-",Before_Tbl[[#This Row],[Department_Region]]))</f>
        <v>California</v>
      </c>
      <c r="V366" t="str">
        <f>TRIM(PROPER(Before_Tbl[[#This Row],[Status]]))</f>
        <v>Inactive</v>
      </c>
      <c r="W366" s="26">
        <v>44763</v>
      </c>
      <c r="X366" s="4">
        <v>104898.9</v>
      </c>
      <c r="Y366" t="str">
        <f>TRIM(LOWER(Before_Tbl[[#This Row],[Email]]))</f>
        <v>bob.davis@example.com</v>
      </c>
      <c r="Z366" s="2" t="str">
        <f>SUBSTITUTE(Before_Tbl[[#This Row],[Phone]],"-","")</f>
        <v>1366572239</v>
      </c>
      <c r="AA366" t="str">
        <f>TRIM(PROPER(Before_Tbl[[#This Row],[Performance_Score]]))</f>
        <v>Excellent</v>
      </c>
      <c r="AB366" s="2" t="str">
        <f>TRIM(UPPER(Before_Tbl[[#This Row],[Remote_Work]]))</f>
        <v>TRUE</v>
      </c>
    </row>
    <row r="367" spans="1:28" x14ac:dyDescent="0.35">
      <c r="A367" t="s">
        <v>702</v>
      </c>
      <c r="B367" t="s">
        <v>37</v>
      </c>
      <c r="C367" t="s">
        <v>14</v>
      </c>
      <c r="D367">
        <v>40</v>
      </c>
      <c r="E367" t="s">
        <v>39</v>
      </c>
      <c r="F367" t="s">
        <v>28</v>
      </c>
      <c r="G367" t="s">
        <v>703</v>
      </c>
      <c r="H367">
        <v>81671.3</v>
      </c>
      <c r="I367" t="s">
        <v>52</v>
      </c>
      <c r="J367">
        <v>-2990155798</v>
      </c>
      <c r="K367" t="s">
        <v>41</v>
      </c>
      <c r="L367" t="b">
        <v>1</v>
      </c>
      <c r="P367" t="str">
        <f>TRIM(Before_Tbl[[#This Row],[Employee_ID]])</f>
        <v>EMP1365</v>
      </c>
      <c r="Q367" t="str">
        <f>TRIM(PROPER(Before_Tbl[[#This Row],[First_Name]]))</f>
        <v>Frank</v>
      </c>
      <c r="R367" t="str">
        <f>TRIM(PROPER(Before_Tbl[[#This Row],[Last_Name]]))</f>
        <v>Davis</v>
      </c>
      <c r="S367" s="25">
        <f t="shared" si="5"/>
        <v>40</v>
      </c>
      <c r="T367" t="str">
        <f>LEFT(Before_Tbl[[#This Row],[Department_Region]],FIND("-",Before_Tbl[[#This Row],[Department_Region]])-1)</f>
        <v>Cloud Tech</v>
      </c>
      <c r="U367" t="str">
        <f>RIGHT(Before_Tbl[[#This Row],[Department_Region]],LEN(Before_Tbl[[#This Row],[Department_Region]])-FIND("-",Before_Tbl[[#This Row],[Department_Region]]))</f>
        <v>Florida</v>
      </c>
      <c r="V367" t="str">
        <f>TRIM(PROPER(Before_Tbl[[#This Row],[Status]]))</f>
        <v>Pending</v>
      </c>
      <c r="W367" s="26">
        <v>45257</v>
      </c>
      <c r="X367" s="4">
        <v>81671.3</v>
      </c>
      <c r="Y367" t="str">
        <f>TRIM(LOWER(Before_Tbl[[#This Row],[Email]]))</f>
        <v>frank.davis@example.com</v>
      </c>
      <c r="Z367" s="2" t="str">
        <f>SUBSTITUTE(Before_Tbl[[#This Row],[Phone]],"-","")</f>
        <v>2990155798</v>
      </c>
      <c r="AA367" t="str">
        <f>TRIM(PROPER(Before_Tbl[[#This Row],[Performance_Score]]))</f>
        <v>Poor</v>
      </c>
      <c r="AB367" s="2" t="str">
        <f>TRIM(UPPER(Before_Tbl[[#This Row],[Remote_Work]]))</f>
        <v>TRUE</v>
      </c>
    </row>
    <row r="368" spans="1:28" x14ac:dyDescent="0.35">
      <c r="A368" t="s">
        <v>704</v>
      </c>
      <c r="B368" t="s">
        <v>25</v>
      </c>
      <c r="C368" t="s">
        <v>92</v>
      </c>
      <c r="D368">
        <v>25</v>
      </c>
      <c r="E368" t="s">
        <v>268</v>
      </c>
      <c r="F368" t="s">
        <v>28</v>
      </c>
      <c r="G368" s="1">
        <v>44143</v>
      </c>
      <c r="H368">
        <v>97399.75</v>
      </c>
      <c r="I368" t="s">
        <v>166</v>
      </c>
      <c r="J368">
        <v>-8028413907</v>
      </c>
      <c r="K368" t="s">
        <v>23</v>
      </c>
      <c r="L368" t="b">
        <v>0</v>
      </c>
      <c r="P368" t="str">
        <f>TRIM(Before_Tbl[[#This Row],[Employee_ID]])</f>
        <v>EMP1366</v>
      </c>
      <c r="Q368" t="str">
        <f>TRIM(PROPER(Before_Tbl[[#This Row],[First_Name]]))</f>
        <v>Alice</v>
      </c>
      <c r="R368" t="str">
        <f>TRIM(PROPER(Before_Tbl[[#This Row],[Last_Name]]))</f>
        <v>Miller</v>
      </c>
      <c r="S368" s="25">
        <f t="shared" si="5"/>
        <v>25</v>
      </c>
      <c r="T368" t="str">
        <f>LEFT(Before_Tbl[[#This Row],[Department_Region]],FIND("-",Before_Tbl[[#This Row],[Department_Region]])-1)</f>
        <v>Cloud Tech</v>
      </c>
      <c r="U368" t="str">
        <f>RIGHT(Before_Tbl[[#This Row],[Department_Region]],LEN(Before_Tbl[[#This Row],[Department_Region]])-FIND("-",Before_Tbl[[#This Row],[Department_Region]]))</f>
        <v>California</v>
      </c>
      <c r="V368" t="str">
        <f>TRIM(PROPER(Before_Tbl[[#This Row],[Status]]))</f>
        <v>Pending</v>
      </c>
      <c r="W368" s="26">
        <v>44143</v>
      </c>
      <c r="X368" s="4">
        <v>97399.75</v>
      </c>
      <c r="Y368" t="str">
        <f>TRIM(LOWER(Before_Tbl[[#This Row],[Email]]))</f>
        <v>alice.miller@example.com</v>
      </c>
      <c r="Z368" s="2" t="str">
        <f>SUBSTITUTE(Before_Tbl[[#This Row],[Phone]],"-","")</f>
        <v>8028413907</v>
      </c>
      <c r="AA368" t="str">
        <f>TRIM(PROPER(Before_Tbl[[#This Row],[Performance_Score]]))</f>
        <v>Excellent</v>
      </c>
      <c r="AB368" s="2" t="str">
        <f>TRIM(UPPER(Before_Tbl[[#This Row],[Remote_Work]]))</f>
        <v>FALSE</v>
      </c>
    </row>
    <row r="369" spans="1:28" x14ac:dyDescent="0.35">
      <c r="A369" t="s">
        <v>705</v>
      </c>
      <c r="B369" t="s">
        <v>59</v>
      </c>
      <c r="C369" t="s">
        <v>55</v>
      </c>
      <c r="E369" t="s">
        <v>89</v>
      </c>
      <c r="F369" t="s">
        <v>16</v>
      </c>
      <c r="G369" s="1">
        <v>44419</v>
      </c>
      <c r="H369">
        <v>89189.43</v>
      </c>
      <c r="I369" t="s">
        <v>217</v>
      </c>
      <c r="J369">
        <v>-882351304</v>
      </c>
      <c r="K369" t="s">
        <v>41</v>
      </c>
      <c r="L369" t="b">
        <v>1</v>
      </c>
      <c r="P369" t="str">
        <f>TRIM(Before_Tbl[[#This Row],[Employee_ID]])</f>
        <v>EMP1367</v>
      </c>
      <c r="Q369" t="str">
        <f>TRIM(PROPER(Before_Tbl[[#This Row],[First_Name]]))</f>
        <v>David</v>
      </c>
      <c r="R369" t="str">
        <f>TRIM(PROPER(Before_Tbl[[#This Row],[Last_Name]]))</f>
        <v>Johnson</v>
      </c>
      <c r="S369" s="25">
        <f t="shared" si="5"/>
        <v>30</v>
      </c>
      <c r="T369" t="str">
        <f>LEFT(Before_Tbl[[#This Row],[Department_Region]],FIND("-",Before_Tbl[[#This Row],[Department_Region]])-1)</f>
        <v>Admin</v>
      </c>
      <c r="U369" t="str">
        <f>RIGHT(Before_Tbl[[#This Row],[Department_Region]],LEN(Before_Tbl[[#This Row],[Department_Region]])-FIND("-",Before_Tbl[[#This Row],[Department_Region]]))</f>
        <v>Illinois</v>
      </c>
      <c r="V369" t="str">
        <f>TRIM(PROPER(Before_Tbl[[#This Row],[Status]]))</f>
        <v>Active</v>
      </c>
      <c r="W369" s="26">
        <v>44419</v>
      </c>
      <c r="X369" s="4">
        <v>89189.43</v>
      </c>
      <c r="Y369" t="str">
        <f>TRIM(LOWER(Before_Tbl[[#This Row],[Email]]))</f>
        <v>david.johnson@example.com</v>
      </c>
      <c r="Z369" s="2" t="str">
        <f>SUBSTITUTE(Before_Tbl[[#This Row],[Phone]],"-","")</f>
        <v>882351304</v>
      </c>
      <c r="AA369" t="str">
        <f>TRIM(PROPER(Before_Tbl[[#This Row],[Performance_Score]]))</f>
        <v>Poor</v>
      </c>
      <c r="AB369" s="2" t="str">
        <f>TRIM(UPPER(Before_Tbl[[#This Row],[Remote_Work]]))</f>
        <v>TRUE</v>
      </c>
    </row>
    <row r="370" spans="1:28" x14ac:dyDescent="0.35">
      <c r="A370" t="s">
        <v>706</v>
      </c>
      <c r="B370" t="s">
        <v>59</v>
      </c>
      <c r="C370" t="s">
        <v>38</v>
      </c>
      <c r="D370">
        <v>40</v>
      </c>
      <c r="E370" t="s">
        <v>56</v>
      </c>
      <c r="F370" t="s">
        <v>16</v>
      </c>
      <c r="G370" s="1">
        <v>45024</v>
      </c>
      <c r="H370">
        <v>96011.55</v>
      </c>
      <c r="I370" t="s">
        <v>61</v>
      </c>
      <c r="J370">
        <v>-2312447314</v>
      </c>
      <c r="K370" t="s">
        <v>18</v>
      </c>
      <c r="L370" t="b">
        <v>1</v>
      </c>
      <c r="P370" t="str">
        <f>TRIM(Before_Tbl[[#This Row],[Employee_ID]])</f>
        <v>EMP1368</v>
      </c>
      <c r="Q370" t="str">
        <f>TRIM(PROPER(Before_Tbl[[#This Row],[First_Name]]))</f>
        <v>David</v>
      </c>
      <c r="R370" t="str">
        <f>TRIM(PROPER(Before_Tbl[[#This Row],[Last_Name]]))</f>
        <v>Williams</v>
      </c>
      <c r="S370" s="25">
        <f t="shared" si="5"/>
        <v>40</v>
      </c>
      <c r="T370" t="str">
        <f>LEFT(Before_Tbl[[#This Row],[Department_Region]],FIND("-",Before_Tbl[[#This Row],[Department_Region]])-1)</f>
        <v>DevOps</v>
      </c>
      <c r="U370" t="str">
        <f>RIGHT(Before_Tbl[[#This Row],[Department_Region]],LEN(Before_Tbl[[#This Row],[Department_Region]])-FIND("-",Before_Tbl[[#This Row],[Department_Region]]))</f>
        <v>New York</v>
      </c>
      <c r="V370" t="str">
        <f>TRIM(PROPER(Before_Tbl[[#This Row],[Status]]))</f>
        <v>Active</v>
      </c>
      <c r="W370" s="26">
        <v>45024</v>
      </c>
      <c r="X370" s="4">
        <v>96011.55</v>
      </c>
      <c r="Y370" t="str">
        <f>TRIM(LOWER(Before_Tbl[[#This Row],[Email]]))</f>
        <v>david.williams@example.com</v>
      </c>
      <c r="Z370" s="2" t="str">
        <f>SUBSTITUTE(Before_Tbl[[#This Row],[Phone]],"-","")</f>
        <v>2312447314</v>
      </c>
      <c r="AA370" t="str">
        <f>TRIM(PROPER(Before_Tbl[[#This Row],[Performance_Score]]))</f>
        <v>Average</v>
      </c>
      <c r="AB370" s="2" t="str">
        <f>TRIM(UPPER(Before_Tbl[[#This Row],[Remote_Work]]))</f>
        <v>TRUE</v>
      </c>
    </row>
    <row r="371" spans="1:28" x14ac:dyDescent="0.35">
      <c r="A371" t="s">
        <v>707</v>
      </c>
      <c r="B371" t="s">
        <v>59</v>
      </c>
      <c r="C371" t="s">
        <v>14</v>
      </c>
      <c r="D371">
        <v>40</v>
      </c>
      <c r="E371" t="s">
        <v>74</v>
      </c>
      <c r="F371" t="s">
        <v>33</v>
      </c>
      <c r="G371" s="1">
        <v>44105</v>
      </c>
      <c r="H371">
        <v>99331.49</v>
      </c>
      <c r="I371" t="s">
        <v>63</v>
      </c>
      <c r="J371">
        <v>-8477686341</v>
      </c>
      <c r="K371" t="s">
        <v>23</v>
      </c>
      <c r="L371" t="b">
        <v>0</v>
      </c>
      <c r="P371" t="str">
        <f>TRIM(Before_Tbl[[#This Row],[Employee_ID]])</f>
        <v>EMP1369</v>
      </c>
      <c r="Q371" t="str">
        <f>TRIM(PROPER(Before_Tbl[[#This Row],[First_Name]]))</f>
        <v>David</v>
      </c>
      <c r="R371" t="str">
        <f>TRIM(PROPER(Before_Tbl[[#This Row],[Last_Name]]))</f>
        <v>Davis</v>
      </c>
      <c r="S371" s="25">
        <f t="shared" si="5"/>
        <v>40</v>
      </c>
      <c r="T371" t="str">
        <f>LEFT(Before_Tbl[[#This Row],[Department_Region]],FIND("-",Before_Tbl[[#This Row],[Department_Region]])-1)</f>
        <v>Sales</v>
      </c>
      <c r="U371" t="str">
        <f>RIGHT(Before_Tbl[[#This Row],[Department_Region]],LEN(Before_Tbl[[#This Row],[Department_Region]])-FIND("-",Before_Tbl[[#This Row],[Department_Region]]))</f>
        <v>Florida</v>
      </c>
      <c r="V371" t="str">
        <f>TRIM(PROPER(Before_Tbl[[#This Row],[Status]]))</f>
        <v>Inactive</v>
      </c>
      <c r="W371" s="26">
        <v>44105</v>
      </c>
      <c r="X371" s="4">
        <v>99331.49</v>
      </c>
      <c r="Y371" t="str">
        <f>TRIM(LOWER(Before_Tbl[[#This Row],[Email]]))</f>
        <v>david.davis@example.com</v>
      </c>
      <c r="Z371" s="2" t="str">
        <f>SUBSTITUTE(Before_Tbl[[#This Row],[Phone]],"-","")</f>
        <v>8477686341</v>
      </c>
      <c r="AA371" t="str">
        <f>TRIM(PROPER(Before_Tbl[[#This Row],[Performance_Score]]))</f>
        <v>Excellent</v>
      </c>
      <c r="AB371" s="2" t="str">
        <f>TRIM(UPPER(Before_Tbl[[#This Row],[Remote_Work]]))</f>
        <v>FALSE</v>
      </c>
    </row>
    <row r="372" spans="1:28" x14ac:dyDescent="0.35">
      <c r="A372" t="s">
        <v>708</v>
      </c>
      <c r="B372" t="s">
        <v>13</v>
      </c>
      <c r="C372" t="s">
        <v>20</v>
      </c>
      <c r="E372" t="s">
        <v>95</v>
      </c>
      <c r="F372" t="s">
        <v>16</v>
      </c>
      <c r="G372" t="s">
        <v>542</v>
      </c>
      <c r="H372">
        <v>72818.94</v>
      </c>
      <c r="I372" t="s">
        <v>22</v>
      </c>
      <c r="J372">
        <v>-3461994236</v>
      </c>
      <c r="K372" t="s">
        <v>30</v>
      </c>
      <c r="L372" t="b">
        <v>1</v>
      </c>
      <c r="P372" t="str">
        <f>TRIM(Before_Tbl[[#This Row],[Employee_ID]])</f>
        <v>EMP1370</v>
      </c>
      <c r="Q372" t="str">
        <f>TRIM(PROPER(Before_Tbl[[#This Row],[First_Name]]))</f>
        <v>Bob</v>
      </c>
      <c r="R372" t="str">
        <f>TRIM(PROPER(Before_Tbl[[#This Row],[Last_Name]]))</f>
        <v>Brown</v>
      </c>
      <c r="S372" s="25">
        <f t="shared" si="5"/>
        <v>30</v>
      </c>
      <c r="T372" t="str">
        <f>LEFT(Before_Tbl[[#This Row],[Department_Region]],FIND("-",Before_Tbl[[#This Row],[Department_Region]])-1)</f>
        <v>Cloud Tech</v>
      </c>
      <c r="U372" t="str">
        <f>RIGHT(Before_Tbl[[#This Row],[Department_Region]],LEN(Before_Tbl[[#This Row],[Department_Region]])-FIND("-",Before_Tbl[[#This Row],[Department_Region]]))</f>
        <v>Illinois</v>
      </c>
      <c r="V372" t="str">
        <f>TRIM(PROPER(Before_Tbl[[#This Row],[Status]]))</f>
        <v>Active</v>
      </c>
      <c r="W372" s="26">
        <v>44580</v>
      </c>
      <c r="X372" s="4">
        <v>72818.94</v>
      </c>
      <c r="Y372" t="str">
        <f>TRIM(LOWER(Before_Tbl[[#This Row],[Email]]))</f>
        <v>bob.brown@example.com</v>
      </c>
      <c r="Z372" s="2" t="str">
        <f>SUBSTITUTE(Before_Tbl[[#This Row],[Phone]],"-","")</f>
        <v>3461994236</v>
      </c>
      <c r="AA372" t="str">
        <f>TRIM(PROPER(Before_Tbl[[#This Row],[Performance_Score]]))</f>
        <v>Good</v>
      </c>
      <c r="AB372" s="2" t="str">
        <f>TRIM(UPPER(Before_Tbl[[#This Row],[Remote_Work]]))</f>
        <v>TRUE</v>
      </c>
    </row>
    <row r="373" spans="1:28" x14ac:dyDescent="0.35">
      <c r="A373" t="s">
        <v>709</v>
      </c>
      <c r="B373" t="s">
        <v>32</v>
      </c>
      <c r="C373" t="s">
        <v>43</v>
      </c>
      <c r="D373">
        <v>40</v>
      </c>
      <c r="E373" t="s">
        <v>219</v>
      </c>
      <c r="F373" t="s">
        <v>33</v>
      </c>
      <c r="G373" s="1">
        <v>45112</v>
      </c>
      <c r="H373">
        <v>77204.75</v>
      </c>
      <c r="I373" t="s">
        <v>297</v>
      </c>
      <c r="J373">
        <v>-6769459195</v>
      </c>
      <c r="K373" t="s">
        <v>30</v>
      </c>
      <c r="L373" t="b">
        <v>1</v>
      </c>
      <c r="P373" t="str">
        <f>TRIM(Before_Tbl[[#This Row],[Employee_ID]])</f>
        <v>EMP1371</v>
      </c>
      <c r="Q373" t="str">
        <f>TRIM(PROPER(Before_Tbl[[#This Row],[First_Name]]))</f>
        <v>Eva</v>
      </c>
      <c r="R373" t="str">
        <f>TRIM(PROPER(Before_Tbl[[#This Row],[Last_Name]]))</f>
        <v>Garcia</v>
      </c>
      <c r="S373" s="25">
        <f t="shared" si="5"/>
        <v>40</v>
      </c>
      <c r="T373" t="str">
        <f>LEFT(Before_Tbl[[#This Row],[Department_Region]],FIND("-",Before_Tbl[[#This Row],[Department_Region]])-1)</f>
        <v>Sales</v>
      </c>
      <c r="U373" t="str">
        <f>RIGHT(Before_Tbl[[#This Row],[Department_Region]],LEN(Before_Tbl[[#This Row],[Department_Region]])-FIND("-",Before_Tbl[[#This Row],[Department_Region]]))</f>
        <v>Nevada</v>
      </c>
      <c r="V373" t="str">
        <f>TRIM(PROPER(Before_Tbl[[#This Row],[Status]]))</f>
        <v>Inactive</v>
      </c>
      <c r="W373" s="26">
        <v>45112</v>
      </c>
      <c r="X373" s="4">
        <v>77204.75</v>
      </c>
      <c r="Y373" t="str">
        <f>TRIM(LOWER(Before_Tbl[[#This Row],[Email]]))</f>
        <v>eva.garcia@example.com</v>
      </c>
      <c r="Z373" s="2" t="str">
        <f>SUBSTITUTE(Before_Tbl[[#This Row],[Phone]],"-","")</f>
        <v>6769459195</v>
      </c>
      <c r="AA373" t="str">
        <f>TRIM(PROPER(Before_Tbl[[#This Row],[Performance_Score]]))</f>
        <v>Good</v>
      </c>
      <c r="AB373" s="2" t="str">
        <f>TRIM(UPPER(Before_Tbl[[#This Row],[Remote_Work]]))</f>
        <v>TRUE</v>
      </c>
    </row>
    <row r="374" spans="1:28" x14ac:dyDescent="0.35">
      <c r="A374" t="s">
        <v>710</v>
      </c>
      <c r="B374" t="s">
        <v>13</v>
      </c>
      <c r="C374" t="s">
        <v>55</v>
      </c>
      <c r="D374">
        <v>35</v>
      </c>
      <c r="E374" t="s">
        <v>212</v>
      </c>
      <c r="F374" t="s">
        <v>28</v>
      </c>
      <c r="G374" t="s">
        <v>711</v>
      </c>
      <c r="H374">
        <v>106961.68</v>
      </c>
      <c r="I374" t="s">
        <v>199</v>
      </c>
      <c r="J374">
        <v>-6395517207</v>
      </c>
      <c r="K374" t="s">
        <v>41</v>
      </c>
      <c r="L374" t="b">
        <v>0</v>
      </c>
      <c r="P374" t="str">
        <f>TRIM(Before_Tbl[[#This Row],[Employee_ID]])</f>
        <v>EMP1372</v>
      </c>
      <c r="Q374" t="str">
        <f>TRIM(PROPER(Before_Tbl[[#This Row],[First_Name]]))</f>
        <v>Bob</v>
      </c>
      <c r="R374" t="str">
        <f>TRIM(PROPER(Before_Tbl[[#This Row],[Last_Name]]))</f>
        <v>Johnson</v>
      </c>
      <c r="S374" s="25">
        <f t="shared" si="5"/>
        <v>35</v>
      </c>
      <c r="T374" t="str">
        <f>LEFT(Before_Tbl[[#This Row],[Department_Region]],FIND("-",Before_Tbl[[#This Row],[Department_Region]])-1)</f>
        <v>HR</v>
      </c>
      <c r="U374" t="str">
        <f>RIGHT(Before_Tbl[[#This Row],[Department_Region]],LEN(Before_Tbl[[#This Row],[Department_Region]])-FIND("-",Before_Tbl[[#This Row],[Department_Region]]))</f>
        <v>Florida</v>
      </c>
      <c r="V374" t="str">
        <f>TRIM(PROPER(Before_Tbl[[#This Row],[Status]]))</f>
        <v>Pending</v>
      </c>
      <c r="W374" s="26">
        <v>44184</v>
      </c>
      <c r="X374" s="4">
        <v>106961.68</v>
      </c>
      <c r="Y374" t="str">
        <f>TRIM(LOWER(Before_Tbl[[#This Row],[Email]]))</f>
        <v>bob.johnson@example.com</v>
      </c>
      <c r="Z374" s="2" t="str">
        <f>SUBSTITUTE(Before_Tbl[[#This Row],[Phone]],"-","")</f>
        <v>6395517207</v>
      </c>
      <c r="AA374" t="str">
        <f>TRIM(PROPER(Before_Tbl[[#This Row],[Performance_Score]]))</f>
        <v>Poor</v>
      </c>
      <c r="AB374" s="2" t="str">
        <f>TRIM(UPPER(Before_Tbl[[#This Row],[Remote_Work]]))</f>
        <v>FALSE</v>
      </c>
    </row>
    <row r="375" spans="1:28" x14ac:dyDescent="0.35">
      <c r="A375" t="s">
        <v>712</v>
      </c>
      <c r="B375" t="s">
        <v>32</v>
      </c>
      <c r="C375" t="s">
        <v>43</v>
      </c>
      <c r="E375" t="s">
        <v>44</v>
      </c>
      <c r="F375" t="s">
        <v>28</v>
      </c>
      <c r="G375" s="1">
        <v>43840</v>
      </c>
      <c r="H375">
        <v>71923</v>
      </c>
      <c r="I375" t="s">
        <v>297</v>
      </c>
      <c r="J375">
        <v>-4964985600</v>
      </c>
      <c r="K375" t="s">
        <v>30</v>
      </c>
      <c r="L375" t="b">
        <v>1</v>
      </c>
      <c r="P375" t="str">
        <f>TRIM(Before_Tbl[[#This Row],[Employee_ID]])</f>
        <v>EMP1373</v>
      </c>
      <c r="Q375" t="str">
        <f>TRIM(PROPER(Before_Tbl[[#This Row],[First_Name]]))</f>
        <v>Eva</v>
      </c>
      <c r="R375" t="str">
        <f>TRIM(PROPER(Before_Tbl[[#This Row],[Last_Name]]))</f>
        <v>Garcia</v>
      </c>
      <c r="S375" s="25">
        <f t="shared" si="5"/>
        <v>30</v>
      </c>
      <c r="T375" t="str">
        <f>LEFT(Before_Tbl[[#This Row],[Department_Region]],FIND("-",Before_Tbl[[#This Row],[Department_Region]])-1)</f>
        <v>Sales</v>
      </c>
      <c r="U375" t="str">
        <f>RIGHT(Before_Tbl[[#This Row],[Department_Region]],LEN(Before_Tbl[[#This Row],[Department_Region]])-FIND("-",Before_Tbl[[#This Row],[Department_Region]]))</f>
        <v>Texas</v>
      </c>
      <c r="V375" t="str">
        <f>TRIM(PROPER(Before_Tbl[[#This Row],[Status]]))</f>
        <v>Pending</v>
      </c>
      <c r="W375" s="26">
        <v>43840</v>
      </c>
      <c r="X375" s="4">
        <v>71923</v>
      </c>
      <c r="Y375" t="str">
        <f>TRIM(LOWER(Before_Tbl[[#This Row],[Email]]))</f>
        <v>eva.garcia@example.com</v>
      </c>
      <c r="Z375" s="2" t="str">
        <f>SUBSTITUTE(Before_Tbl[[#This Row],[Phone]],"-","")</f>
        <v>4964985600</v>
      </c>
      <c r="AA375" t="str">
        <f>TRIM(PROPER(Before_Tbl[[#This Row],[Performance_Score]]))</f>
        <v>Good</v>
      </c>
      <c r="AB375" s="2" t="str">
        <f>TRIM(UPPER(Before_Tbl[[#This Row],[Remote_Work]]))</f>
        <v>TRUE</v>
      </c>
    </row>
    <row r="376" spans="1:28" x14ac:dyDescent="0.35">
      <c r="A376" t="s">
        <v>713</v>
      </c>
      <c r="B376" t="s">
        <v>13</v>
      </c>
      <c r="C376" t="s">
        <v>122</v>
      </c>
      <c r="D376">
        <v>30</v>
      </c>
      <c r="E376" t="s">
        <v>149</v>
      </c>
      <c r="F376" t="s">
        <v>16</v>
      </c>
      <c r="G376" s="1">
        <v>44906</v>
      </c>
      <c r="H376">
        <v>77192.429999999993</v>
      </c>
      <c r="I376" t="s">
        <v>123</v>
      </c>
      <c r="J376">
        <v>-2562531354</v>
      </c>
      <c r="K376" t="s">
        <v>23</v>
      </c>
      <c r="L376" t="b">
        <v>0</v>
      </c>
      <c r="P376" t="str">
        <f>TRIM(Before_Tbl[[#This Row],[Employee_ID]])</f>
        <v>EMP1374</v>
      </c>
      <c r="Q376" t="str">
        <f>TRIM(PROPER(Before_Tbl[[#This Row],[First_Name]]))</f>
        <v>Bob</v>
      </c>
      <c r="R376" t="str">
        <f>TRIM(PROPER(Before_Tbl[[#This Row],[Last_Name]]))</f>
        <v>Smith</v>
      </c>
      <c r="S376" s="25">
        <f t="shared" si="5"/>
        <v>30</v>
      </c>
      <c r="T376" t="str">
        <f>LEFT(Before_Tbl[[#This Row],[Department_Region]],FIND("-",Before_Tbl[[#This Row],[Department_Region]])-1)</f>
        <v>HR</v>
      </c>
      <c r="U376" t="str">
        <f>RIGHT(Before_Tbl[[#This Row],[Department_Region]],LEN(Before_Tbl[[#This Row],[Department_Region]])-FIND("-",Before_Tbl[[#This Row],[Department_Region]]))</f>
        <v>Nevada</v>
      </c>
      <c r="V376" t="str">
        <f>TRIM(PROPER(Before_Tbl[[#This Row],[Status]]))</f>
        <v>Active</v>
      </c>
      <c r="W376" s="26">
        <v>44906</v>
      </c>
      <c r="X376" s="4">
        <v>77192.429999999993</v>
      </c>
      <c r="Y376" t="str">
        <f>TRIM(LOWER(Before_Tbl[[#This Row],[Email]]))</f>
        <v>bob.smith@example.com</v>
      </c>
      <c r="Z376" s="2" t="str">
        <f>SUBSTITUTE(Before_Tbl[[#This Row],[Phone]],"-","")</f>
        <v>2562531354</v>
      </c>
      <c r="AA376" t="str">
        <f>TRIM(PROPER(Before_Tbl[[#This Row],[Performance_Score]]))</f>
        <v>Excellent</v>
      </c>
      <c r="AB376" s="2" t="str">
        <f>TRIM(UPPER(Before_Tbl[[#This Row],[Remote_Work]]))</f>
        <v>FALSE</v>
      </c>
    </row>
    <row r="377" spans="1:28" x14ac:dyDescent="0.35">
      <c r="A377" t="s">
        <v>714</v>
      </c>
      <c r="B377" t="s">
        <v>69</v>
      </c>
      <c r="C377" t="s">
        <v>20</v>
      </c>
      <c r="D377">
        <v>40</v>
      </c>
      <c r="E377" t="s">
        <v>205</v>
      </c>
      <c r="F377" t="s">
        <v>28</v>
      </c>
      <c r="G377" s="1">
        <v>45047</v>
      </c>
      <c r="H377">
        <v>98540.3</v>
      </c>
      <c r="I377" t="s">
        <v>201</v>
      </c>
      <c r="J377">
        <v>-2510505378</v>
      </c>
      <c r="K377" t="s">
        <v>30</v>
      </c>
      <c r="L377" t="b">
        <v>0</v>
      </c>
      <c r="P377" t="str">
        <f>TRIM(Before_Tbl[[#This Row],[Employee_ID]])</f>
        <v>EMP1375</v>
      </c>
      <c r="Q377" t="str">
        <f>TRIM(PROPER(Before_Tbl[[#This Row],[First_Name]]))</f>
        <v>Grace</v>
      </c>
      <c r="R377" t="str">
        <f>TRIM(PROPER(Before_Tbl[[#This Row],[Last_Name]]))</f>
        <v>Brown</v>
      </c>
      <c r="S377" s="25">
        <f t="shared" si="5"/>
        <v>40</v>
      </c>
      <c r="T377" t="str">
        <f>LEFT(Before_Tbl[[#This Row],[Department_Region]],FIND("-",Before_Tbl[[#This Row],[Department_Region]])-1)</f>
        <v>Admin</v>
      </c>
      <c r="U377" t="str">
        <f>RIGHT(Before_Tbl[[#This Row],[Department_Region]],LEN(Before_Tbl[[#This Row],[Department_Region]])-FIND("-",Before_Tbl[[#This Row],[Department_Region]]))</f>
        <v>Florida</v>
      </c>
      <c r="V377" t="str">
        <f>TRIM(PROPER(Before_Tbl[[#This Row],[Status]]))</f>
        <v>Pending</v>
      </c>
      <c r="W377" s="26">
        <v>45047</v>
      </c>
      <c r="X377" s="4">
        <v>98540.3</v>
      </c>
      <c r="Y377" t="str">
        <f>TRIM(LOWER(Before_Tbl[[#This Row],[Email]]))</f>
        <v>grace.brown@example.com</v>
      </c>
      <c r="Z377" s="2" t="str">
        <f>SUBSTITUTE(Before_Tbl[[#This Row],[Phone]],"-","")</f>
        <v>2510505378</v>
      </c>
      <c r="AA377" t="str">
        <f>TRIM(PROPER(Before_Tbl[[#This Row],[Performance_Score]]))</f>
        <v>Good</v>
      </c>
      <c r="AB377" s="2" t="str">
        <f>TRIM(UPPER(Before_Tbl[[#This Row],[Remote_Work]]))</f>
        <v>FALSE</v>
      </c>
    </row>
    <row r="378" spans="1:28" x14ac:dyDescent="0.35">
      <c r="A378" t="s">
        <v>715</v>
      </c>
      <c r="B378" t="s">
        <v>54</v>
      </c>
      <c r="C378" t="s">
        <v>20</v>
      </c>
      <c r="E378" t="s">
        <v>205</v>
      </c>
      <c r="F378" t="s">
        <v>33</v>
      </c>
      <c r="G378" t="s">
        <v>716</v>
      </c>
      <c r="H378">
        <v>63096.9</v>
      </c>
      <c r="I378" t="s">
        <v>125</v>
      </c>
      <c r="J378">
        <v>-5381649382</v>
      </c>
      <c r="K378" t="s">
        <v>18</v>
      </c>
      <c r="L378" t="b">
        <v>0</v>
      </c>
      <c r="P378" t="str">
        <f>TRIM(Before_Tbl[[#This Row],[Employee_ID]])</f>
        <v>EMP1376</v>
      </c>
      <c r="Q378" t="str">
        <f>TRIM(PROPER(Before_Tbl[[#This Row],[First_Name]]))</f>
        <v>Charlie</v>
      </c>
      <c r="R378" t="str">
        <f>TRIM(PROPER(Before_Tbl[[#This Row],[Last_Name]]))</f>
        <v>Brown</v>
      </c>
      <c r="S378" s="25">
        <f t="shared" si="5"/>
        <v>30</v>
      </c>
      <c r="T378" t="str">
        <f>LEFT(Before_Tbl[[#This Row],[Department_Region]],FIND("-",Before_Tbl[[#This Row],[Department_Region]])-1)</f>
        <v>Admin</v>
      </c>
      <c r="U378" t="str">
        <f>RIGHT(Before_Tbl[[#This Row],[Department_Region]],LEN(Before_Tbl[[#This Row],[Department_Region]])-FIND("-",Before_Tbl[[#This Row],[Department_Region]]))</f>
        <v>Florida</v>
      </c>
      <c r="V378" t="str">
        <f>TRIM(PROPER(Before_Tbl[[#This Row],[Status]]))</f>
        <v>Inactive</v>
      </c>
      <c r="W378" s="26">
        <v>44118</v>
      </c>
      <c r="X378" s="4">
        <v>63096.9</v>
      </c>
      <c r="Y378" t="str">
        <f>TRIM(LOWER(Before_Tbl[[#This Row],[Email]]))</f>
        <v>charlie.brown@example.com</v>
      </c>
      <c r="Z378" s="2" t="str">
        <f>SUBSTITUTE(Before_Tbl[[#This Row],[Phone]],"-","")</f>
        <v>5381649382</v>
      </c>
      <c r="AA378" t="str">
        <f>TRIM(PROPER(Before_Tbl[[#This Row],[Performance_Score]]))</f>
        <v>Average</v>
      </c>
      <c r="AB378" s="2" t="str">
        <f>TRIM(UPPER(Before_Tbl[[#This Row],[Remote_Work]]))</f>
        <v>FALSE</v>
      </c>
    </row>
    <row r="379" spans="1:28" x14ac:dyDescent="0.35">
      <c r="A379" t="s">
        <v>717</v>
      </c>
      <c r="B379" t="s">
        <v>25</v>
      </c>
      <c r="C379" t="s">
        <v>122</v>
      </c>
      <c r="D379">
        <v>35</v>
      </c>
      <c r="E379" t="s">
        <v>39</v>
      </c>
      <c r="F379" t="s">
        <v>16</v>
      </c>
      <c r="G379" s="1">
        <v>44257</v>
      </c>
      <c r="H379">
        <v>107065.12</v>
      </c>
      <c r="I379" t="s">
        <v>182</v>
      </c>
      <c r="J379">
        <v>-1849196654</v>
      </c>
      <c r="K379" t="s">
        <v>18</v>
      </c>
      <c r="L379" t="b">
        <v>0</v>
      </c>
      <c r="P379" t="str">
        <f>TRIM(Before_Tbl[[#This Row],[Employee_ID]])</f>
        <v>EMP1377</v>
      </c>
      <c r="Q379" t="str">
        <f>TRIM(PROPER(Before_Tbl[[#This Row],[First_Name]]))</f>
        <v>Alice</v>
      </c>
      <c r="R379" t="str">
        <f>TRIM(PROPER(Before_Tbl[[#This Row],[Last_Name]]))</f>
        <v>Smith</v>
      </c>
      <c r="S379" s="25">
        <f t="shared" si="5"/>
        <v>35</v>
      </c>
      <c r="T379" t="str">
        <f>LEFT(Before_Tbl[[#This Row],[Department_Region]],FIND("-",Before_Tbl[[#This Row],[Department_Region]])-1)</f>
        <v>Cloud Tech</v>
      </c>
      <c r="U379" t="str">
        <f>RIGHT(Before_Tbl[[#This Row],[Department_Region]],LEN(Before_Tbl[[#This Row],[Department_Region]])-FIND("-",Before_Tbl[[#This Row],[Department_Region]]))</f>
        <v>Florida</v>
      </c>
      <c r="V379" t="str">
        <f>TRIM(PROPER(Before_Tbl[[#This Row],[Status]]))</f>
        <v>Active</v>
      </c>
      <c r="W379" s="26">
        <v>44257</v>
      </c>
      <c r="X379" s="4">
        <v>107065.12</v>
      </c>
      <c r="Y379" t="str">
        <f>TRIM(LOWER(Before_Tbl[[#This Row],[Email]]))</f>
        <v>alice.smith@example.com</v>
      </c>
      <c r="Z379" s="2" t="str">
        <f>SUBSTITUTE(Before_Tbl[[#This Row],[Phone]],"-","")</f>
        <v>1849196654</v>
      </c>
      <c r="AA379" t="str">
        <f>TRIM(PROPER(Before_Tbl[[#This Row],[Performance_Score]]))</f>
        <v>Average</v>
      </c>
      <c r="AB379" s="2" t="str">
        <f>TRIM(UPPER(Before_Tbl[[#This Row],[Remote_Work]]))</f>
        <v>FALSE</v>
      </c>
    </row>
    <row r="380" spans="1:28" x14ac:dyDescent="0.35">
      <c r="A380" t="s">
        <v>718</v>
      </c>
      <c r="B380" t="s">
        <v>65</v>
      </c>
      <c r="C380" t="s">
        <v>55</v>
      </c>
      <c r="D380">
        <v>40</v>
      </c>
      <c r="E380" t="s">
        <v>230</v>
      </c>
      <c r="F380" t="s">
        <v>33</v>
      </c>
      <c r="G380" t="s">
        <v>719</v>
      </c>
      <c r="H380">
        <v>108792.43</v>
      </c>
      <c r="I380" t="s">
        <v>113</v>
      </c>
      <c r="J380">
        <v>-3307704610</v>
      </c>
      <c r="K380" t="s">
        <v>41</v>
      </c>
      <c r="L380" t="b">
        <v>1</v>
      </c>
      <c r="P380" t="str">
        <f>TRIM(Before_Tbl[[#This Row],[Employee_ID]])</f>
        <v>EMP1378</v>
      </c>
      <c r="Q380" t="str">
        <f>TRIM(PROPER(Before_Tbl[[#This Row],[First_Name]]))</f>
        <v>Heidi</v>
      </c>
      <c r="R380" t="str">
        <f>TRIM(PROPER(Before_Tbl[[#This Row],[Last_Name]]))</f>
        <v>Johnson</v>
      </c>
      <c r="S380" s="25">
        <f t="shared" si="5"/>
        <v>40</v>
      </c>
      <c r="T380" t="str">
        <f>LEFT(Before_Tbl[[#This Row],[Department_Region]],FIND("-",Before_Tbl[[#This Row],[Department_Region]])-1)</f>
        <v>DevOps</v>
      </c>
      <c r="U380" t="str">
        <f>RIGHT(Before_Tbl[[#This Row],[Department_Region]],LEN(Before_Tbl[[#This Row],[Department_Region]])-FIND("-",Before_Tbl[[#This Row],[Department_Region]]))</f>
        <v>Florida</v>
      </c>
      <c r="V380" t="str">
        <f>TRIM(PROPER(Before_Tbl[[#This Row],[Status]]))</f>
        <v>Inactive</v>
      </c>
      <c r="W380" s="26">
        <v>45285</v>
      </c>
      <c r="X380" s="4">
        <v>108792.43</v>
      </c>
      <c r="Y380" t="str">
        <f>TRIM(LOWER(Before_Tbl[[#This Row],[Email]]))</f>
        <v>heidi.johnson@example.com</v>
      </c>
      <c r="Z380" s="2" t="str">
        <f>SUBSTITUTE(Before_Tbl[[#This Row],[Phone]],"-","")</f>
        <v>3307704610</v>
      </c>
      <c r="AA380" t="str">
        <f>TRIM(PROPER(Before_Tbl[[#This Row],[Performance_Score]]))</f>
        <v>Poor</v>
      </c>
      <c r="AB380" s="2" t="str">
        <f>TRIM(UPPER(Before_Tbl[[#This Row],[Remote_Work]]))</f>
        <v>TRUE</v>
      </c>
    </row>
    <row r="381" spans="1:28" x14ac:dyDescent="0.35">
      <c r="A381" t="s">
        <v>720</v>
      </c>
      <c r="B381" t="s">
        <v>13</v>
      </c>
      <c r="C381" t="s">
        <v>122</v>
      </c>
      <c r="E381" t="s">
        <v>60</v>
      </c>
      <c r="F381" t="s">
        <v>33</v>
      </c>
      <c r="G381" s="1">
        <v>44015</v>
      </c>
      <c r="H381">
        <v>69239.7</v>
      </c>
      <c r="I381" t="s">
        <v>123</v>
      </c>
      <c r="J381">
        <v>-7295963903</v>
      </c>
      <c r="K381" t="s">
        <v>23</v>
      </c>
      <c r="L381" t="b">
        <v>0</v>
      </c>
      <c r="P381" t="str">
        <f>TRIM(Before_Tbl[[#This Row],[Employee_ID]])</f>
        <v>EMP1379</v>
      </c>
      <c r="Q381" t="str">
        <f>TRIM(PROPER(Before_Tbl[[#This Row],[First_Name]]))</f>
        <v>Bob</v>
      </c>
      <c r="R381" t="str">
        <f>TRIM(PROPER(Before_Tbl[[#This Row],[Last_Name]]))</f>
        <v>Smith</v>
      </c>
      <c r="S381" s="25">
        <f t="shared" si="5"/>
        <v>30</v>
      </c>
      <c r="T381" t="str">
        <f>LEFT(Before_Tbl[[#This Row],[Department_Region]],FIND("-",Before_Tbl[[#This Row],[Department_Region]])-1)</f>
        <v>Cloud Tech</v>
      </c>
      <c r="U381" t="str">
        <f>RIGHT(Before_Tbl[[#This Row],[Department_Region]],LEN(Before_Tbl[[#This Row],[Department_Region]])-FIND("-",Before_Tbl[[#This Row],[Department_Region]]))</f>
        <v>New York</v>
      </c>
      <c r="V381" t="str">
        <f>TRIM(PROPER(Before_Tbl[[#This Row],[Status]]))</f>
        <v>Inactive</v>
      </c>
      <c r="W381" s="26">
        <v>44015</v>
      </c>
      <c r="X381" s="4">
        <v>69239.7</v>
      </c>
      <c r="Y381" t="str">
        <f>TRIM(LOWER(Before_Tbl[[#This Row],[Email]]))</f>
        <v>bob.smith@example.com</v>
      </c>
      <c r="Z381" s="2" t="str">
        <f>SUBSTITUTE(Before_Tbl[[#This Row],[Phone]],"-","")</f>
        <v>7295963903</v>
      </c>
      <c r="AA381" t="str">
        <f>TRIM(PROPER(Before_Tbl[[#This Row],[Performance_Score]]))</f>
        <v>Excellent</v>
      </c>
      <c r="AB381" s="2" t="str">
        <f>TRIM(UPPER(Before_Tbl[[#This Row],[Remote_Work]]))</f>
        <v>FALSE</v>
      </c>
    </row>
    <row r="382" spans="1:28" x14ac:dyDescent="0.35">
      <c r="A382" t="s">
        <v>721</v>
      </c>
      <c r="B382" t="s">
        <v>54</v>
      </c>
      <c r="C382" t="s">
        <v>43</v>
      </c>
      <c r="D382">
        <v>40</v>
      </c>
      <c r="E382" t="s">
        <v>219</v>
      </c>
      <c r="F382" t="s">
        <v>33</v>
      </c>
      <c r="G382" t="s">
        <v>722</v>
      </c>
      <c r="H382">
        <v>85756.42</v>
      </c>
      <c r="I382" t="s">
        <v>87</v>
      </c>
      <c r="J382">
        <v>-907426087</v>
      </c>
      <c r="K382" t="s">
        <v>18</v>
      </c>
      <c r="L382" t="b">
        <v>1</v>
      </c>
      <c r="P382" t="str">
        <f>TRIM(Before_Tbl[[#This Row],[Employee_ID]])</f>
        <v>EMP1380</v>
      </c>
      <c r="Q382" t="str">
        <f>TRIM(PROPER(Before_Tbl[[#This Row],[First_Name]]))</f>
        <v>Charlie</v>
      </c>
      <c r="R382" t="str">
        <f>TRIM(PROPER(Before_Tbl[[#This Row],[Last_Name]]))</f>
        <v>Garcia</v>
      </c>
      <c r="S382" s="25">
        <f t="shared" si="5"/>
        <v>40</v>
      </c>
      <c r="T382" t="str">
        <f>LEFT(Before_Tbl[[#This Row],[Department_Region]],FIND("-",Before_Tbl[[#This Row],[Department_Region]])-1)</f>
        <v>Sales</v>
      </c>
      <c r="U382" t="str">
        <f>RIGHT(Before_Tbl[[#This Row],[Department_Region]],LEN(Before_Tbl[[#This Row],[Department_Region]])-FIND("-",Before_Tbl[[#This Row],[Department_Region]]))</f>
        <v>Nevada</v>
      </c>
      <c r="V382" t="str">
        <f>TRIM(PROPER(Before_Tbl[[#This Row],[Status]]))</f>
        <v>Inactive</v>
      </c>
      <c r="W382" s="26">
        <v>44956</v>
      </c>
      <c r="X382" s="4">
        <v>85756.42</v>
      </c>
      <c r="Y382" t="str">
        <f>TRIM(LOWER(Before_Tbl[[#This Row],[Email]]))</f>
        <v>charlie.garcia@example.com</v>
      </c>
      <c r="Z382" s="2" t="str">
        <f>SUBSTITUTE(Before_Tbl[[#This Row],[Phone]],"-","")</f>
        <v>907426087</v>
      </c>
      <c r="AA382" t="str">
        <f>TRIM(PROPER(Before_Tbl[[#This Row],[Performance_Score]]))</f>
        <v>Average</v>
      </c>
      <c r="AB382" s="2" t="str">
        <f>TRIM(UPPER(Before_Tbl[[#This Row],[Remote_Work]]))</f>
        <v>TRUE</v>
      </c>
    </row>
    <row r="383" spans="1:28" x14ac:dyDescent="0.35">
      <c r="A383" t="s">
        <v>723</v>
      </c>
      <c r="B383" t="s">
        <v>32</v>
      </c>
      <c r="C383" t="s">
        <v>92</v>
      </c>
      <c r="E383" t="s">
        <v>192</v>
      </c>
      <c r="F383" t="s">
        <v>16</v>
      </c>
      <c r="G383" s="1">
        <v>45416</v>
      </c>
      <c r="H383">
        <v>100328.62</v>
      </c>
      <c r="I383" t="s">
        <v>263</v>
      </c>
      <c r="J383">
        <v>-501716444</v>
      </c>
      <c r="K383" t="s">
        <v>18</v>
      </c>
      <c r="L383" t="b">
        <v>1</v>
      </c>
      <c r="P383" t="str">
        <f>TRIM(Before_Tbl[[#This Row],[Employee_ID]])</f>
        <v>EMP1381</v>
      </c>
      <c r="Q383" t="str">
        <f>TRIM(PROPER(Before_Tbl[[#This Row],[First_Name]]))</f>
        <v>Eva</v>
      </c>
      <c r="R383" t="str">
        <f>TRIM(PROPER(Before_Tbl[[#This Row],[Last_Name]]))</f>
        <v>Miller</v>
      </c>
      <c r="S383" s="25">
        <f t="shared" si="5"/>
        <v>30</v>
      </c>
      <c r="T383" t="str">
        <f>LEFT(Before_Tbl[[#This Row],[Department_Region]],FIND("-",Before_Tbl[[#This Row],[Department_Region]])-1)</f>
        <v>HR</v>
      </c>
      <c r="U383" t="str">
        <f>RIGHT(Before_Tbl[[#This Row],[Department_Region]],LEN(Before_Tbl[[#This Row],[Department_Region]])-FIND("-",Before_Tbl[[#This Row],[Department_Region]]))</f>
        <v>Illinois</v>
      </c>
      <c r="V383" t="str">
        <f>TRIM(PROPER(Before_Tbl[[#This Row],[Status]]))</f>
        <v>Active</v>
      </c>
      <c r="W383" s="26">
        <v>45416</v>
      </c>
      <c r="X383" s="4">
        <v>100328.62</v>
      </c>
      <c r="Y383" t="str">
        <f>TRIM(LOWER(Before_Tbl[[#This Row],[Email]]))</f>
        <v>eva.miller@example.com</v>
      </c>
      <c r="Z383" s="2" t="str">
        <f>SUBSTITUTE(Before_Tbl[[#This Row],[Phone]],"-","")</f>
        <v>501716444</v>
      </c>
      <c r="AA383" t="str">
        <f>TRIM(PROPER(Before_Tbl[[#This Row],[Performance_Score]]))</f>
        <v>Average</v>
      </c>
      <c r="AB383" s="2" t="str">
        <f>TRIM(UPPER(Before_Tbl[[#This Row],[Remote_Work]]))</f>
        <v>TRUE</v>
      </c>
    </row>
    <row r="384" spans="1:28" x14ac:dyDescent="0.35">
      <c r="A384" t="s">
        <v>724</v>
      </c>
      <c r="B384" t="s">
        <v>69</v>
      </c>
      <c r="C384" t="s">
        <v>20</v>
      </c>
      <c r="D384">
        <v>25</v>
      </c>
      <c r="E384" t="s">
        <v>329</v>
      </c>
      <c r="F384" t="s">
        <v>16</v>
      </c>
      <c r="G384" s="1">
        <v>44205</v>
      </c>
      <c r="H384">
        <v>111236.69</v>
      </c>
      <c r="I384" t="s">
        <v>201</v>
      </c>
      <c r="J384">
        <v>-5618579063</v>
      </c>
      <c r="K384" t="s">
        <v>23</v>
      </c>
      <c r="L384" t="b">
        <v>1</v>
      </c>
      <c r="P384" t="str">
        <f>TRIM(Before_Tbl[[#This Row],[Employee_ID]])</f>
        <v>EMP1382</v>
      </c>
      <c r="Q384" t="str">
        <f>TRIM(PROPER(Before_Tbl[[#This Row],[First_Name]]))</f>
        <v>Grace</v>
      </c>
      <c r="R384" t="str">
        <f>TRIM(PROPER(Before_Tbl[[#This Row],[Last_Name]]))</f>
        <v>Brown</v>
      </c>
      <c r="S384" s="25">
        <f t="shared" si="5"/>
        <v>25</v>
      </c>
      <c r="T384" t="str">
        <f>LEFT(Before_Tbl[[#This Row],[Department_Region]],FIND("-",Before_Tbl[[#This Row],[Department_Region]])-1)</f>
        <v>DevOps</v>
      </c>
      <c r="U384" t="str">
        <f>RIGHT(Before_Tbl[[#This Row],[Department_Region]],LEN(Before_Tbl[[#This Row],[Department_Region]])-FIND("-",Before_Tbl[[#This Row],[Department_Region]]))</f>
        <v>Nevada</v>
      </c>
      <c r="V384" t="str">
        <f>TRIM(PROPER(Before_Tbl[[#This Row],[Status]]))</f>
        <v>Active</v>
      </c>
      <c r="W384" s="26">
        <v>44205</v>
      </c>
      <c r="X384" s="4">
        <v>111236.69</v>
      </c>
      <c r="Y384" t="str">
        <f>TRIM(LOWER(Before_Tbl[[#This Row],[Email]]))</f>
        <v>grace.brown@example.com</v>
      </c>
      <c r="Z384" s="2" t="str">
        <f>SUBSTITUTE(Before_Tbl[[#This Row],[Phone]],"-","")</f>
        <v>5618579063</v>
      </c>
      <c r="AA384" t="str">
        <f>TRIM(PROPER(Before_Tbl[[#This Row],[Performance_Score]]))</f>
        <v>Excellent</v>
      </c>
      <c r="AB384" s="2" t="str">
        <f>TRIM(UPPER(Before_Tbl[[#This Row],[Remote_Work]]))</f>
        <v>TRUE</v>
      </c>
    </row>
    <row r="385" spans="1:28" x14ac:dyDescent="0.35">
      <c r="A385" t="s">
        <v>725</v>
      </c>
      <c r="B385" t="s">
        <v>32</v>
      </c>
      <c r="C385" t="s">
        <v>26</v>
      </c>
      <c r="D385">
        <v>35</v>
      </c>
      <c r="E385" t="s">
        <v>39</v>
      </c>
      <c r="F385" t="s">
        <v>16</v>
      </c>
      <c r="G385" s="1">
        <v>45478</v>
      </c>
      <c r="H385">
        <v>106832.22</v>
      </c>
      <c r="I385" t="s">
        <v>278</v>
      </c>
      <c r="J385">
        <v>-7715910299</v>
      </c>
      <c r="K385" t="s">
        <v>30</v>
      </c>
      <c r="L385" t="b">
        <v>1</v>
      </c>
      <c r="P385" t="str">
        <f>TRIM(Before_Tbl[[#This Row],[Employee_ID]])</f>
        <v>EMP1383</v>
      </c>
      <c r="Q385" t="str">
        <f>TRIM(PROPER(Before_Tbl[[#This Row],[First_Name]]))</f>
        <v>Eva</v>
      </c>
      <c r="R385" t="str">
        <f>TRIM(PROPER(Before_Tbl[[#This Row],[Last_Name]]))</f>
        <v>Jones</v>
      </c>
      <c r="S385" s="25">
        <f t="shared" si="5"/>
        <v>35</v>
      </c>
      <c r="T385" t="str">
        <f>LEFT(Before_Tbl[[#This Row],[Department_Region]],FIND("-",Before_Tbl[[#This Row],[Department_Region]])-1)</f>
        <v>Cloud Tech</v>
      </c>
      <c r="U385" t="str">
        <f>RIGHT(Before_Tbl[[#This Row],[Department_Region]],LEN(Before_Tbl[[#This Row],[Department_Region]])-FIND("-",Before_Tbl[[#This Row],[Department_Region]]))</f>
        <v>Florida</v>
      </c>
      <c r="V385" t="str">
        <f>TRIM(PROPER(Before_Tbl[[#This Row],[Status]]))</f>
        <v>Active</v>
      </c>
      <c r="W385" s="26">
        <v>45478</v>
      </c>
      <c r="X385" s="4">
        <v>106832.22</v>
      </c>
      <c r="Y385" t="str">
        <f>TRIM(LOWER(Before_Tbl[[#This Row],[Email]]))</f>
        <v>eva.jones@example.com</v>
      </c>
      <c r="Z385" s="2" t="str">
        <f>SUBSTITUTE(Before_Tbl[[#This Row],[Phone]],"-","")</f>
        <v>7715910299</v>
      </c>
      <c r="AA385" t="str">
        <f>TRIM(PROPER(Before_Tbl[[#This Row],[Performance_Score]]))</f>
        <v>Good</v>
      </c>
      <c r="AB385" s="2" t="str">
        <f>TRIM(UPPER(Before_Tbl[[#This Row],[Remote_Work]]))</f>
        <v>TRUE</v>
      </c>
    </row>
    <row r="386" spans="1:28" x14ac:dyDescent="0.35">
      <c r="A386" t="s">
        <v>726</v>
      </c>
      <c r="B386" t="s">
        <v>37</v>
      </c>
      <c r="C386" t="s">
        <v>26</v>
      </c>
      <c r="E386" t="s">
        <v>230</v>
      </c>
      <c r="F386" t="s">
        <v>16</v>
      </c>
      <c r="G386" t="s">
        <v>727</v>
      </c>
      <c r="H386">
        <v>59746.45</v>
      </c>
      <c r="I386" t="s">
        <v>47</v>
      </c>
      <c r="J386">
        <v>-2156321357</v>
      </c>
      <c r="K386" t="s">
        <v>30</v>
      </c>
      <c r="L386" t="b">
        <v>1</v>
      </c>
      <c r="P386" t="str">
        <f>TRIM(Before_Tbl[[#This Row],[Employee_ID]])</f>
        <v>EMP1384</v>
      </c>
      <c r="Q386" t="str">
        <f>TRIM(PROPER(Before_Tbl[[#This Row],[First_Name]]))</f>
        <v>Frank</v>
      </c>
      <c r="R386" t="str">
        <f>TRIM(PROPER(Before_Tbl[[#This Row],[Last_Name]]))</f>
        <v>Jones</v>
      </c>
      <c r="S386" s="25">
        <f t="shared" ref="S386:S449" si="6">IF(ISBLANK(D386),30,D386)</f>
        <v>30</v>
      </c>
      <c r="T386" t="str">
        <f>LEFT(Before_Tbl[[#This Row],[Department_Region]],FIND("-",Before_Tbl[[#This Row],[Department_Region]])-1)</f>
        <v>DevOps</v>
      </c>
      <c r="U386" t="str">
        <f>RIGHT(Before_Tbl[[#This Row],[Department_Region]],LEN(Before_Tbl[[#This Row],[Department_Region]])-FIND("-",Before_Tbl[[#This Row],[Department_Region]]))</f>
        <v>Florida</v>
      </c>
      <c r="V386" t="str">
        <f>TRIM(PROPER(Before_Tbl[[#This Row],[Status]]))</f>
        <v>Active</v>
      </c>
      <c r="W386" s="26">
        <v>45092</v>
      </c>
      <c r="X386" s="4">
        <v>59746.45</v>
      </c>
      <c r="Y386" t="str">
        <f>TRIM(LOWER(Before_Tbl[[#This Row],[Email]]))</f>
        <v>frank.jones@example.com</v>
      </c>
      <c r="Z386" s="2" t="str">
        <f>SUBSTITUTE(Before_Tbl[[#This Row],[Phone]],"-","")</f>
        <v>2156321357</v>
      </c>
      <c r="AA386" t="str">
        <f>TRIM(PROPER(Before_Tbl[[#This Row],[Performance_Score]]))</f>
        <v>Good</v>
      </c>
      <c r="AB386" s="2" t="str">
        <f>TRIM(UPPER(Before_Tbl[[#This Row],[Remote_Work]]))</f>
        <v>TRUE</v>
      </c>
    </row>
    <row r="387" spans="1:28" x14ac:dyDescent="0.35">
      <c r="A387" t="s">
        <v>728</v>
      </c>
      <c r="B387" t="s">
        <v>59</v>
      </c>
      <c r="C387" t="s">
        <v>43</v>
      </c>
      <c r="D387">
        <v>25</v>
      </c>
      <c r="E387" t="s">
        <v>177</v>
      </c>
      <c r="F387" t="s">
        <v>28</v>
      </c>
      <c r="G387" t="s">
        <v>729</v>
      </c>
      <c r="H387">
        <v>91780.04</v>
      </c>
      <c r="I387" t="s">
        <v>101</v>
      </c>
      <c r="J387">
        <v>-40104144</v>
      </c>
      <c r="K387" t="s">
        <v>41</v>
      </c>
      <c r="L387" t="b">
        <v>1</v>
      </c>
      <c r="P387" t="str">
        <f>TRIM(Before_Tbl[[#This Row],[Employee_ID]])</f>
        <v>EMP1385</v>
      </c>
      <c r="Q387" t="str">
        <f>TRIM(PROPER(Before_Tbl[[#This Row],[First_Name]]))</f>
        <v>David</v>
      </c>
      <c r="R387" t="str">
        <f>TRIM(PROPER(Before_Tbl[[#This Row],[Last_Name]]))</f>
        <v>Garcia</v>
      </c>
      <c r="S387" s="25">
        <f t="shared" si="6"/>
        <v>25</v>
      </c>
      <c r="T387" t="str">
        <f>LEFT(Before_Tbl[[#This Row],[Department_Region]],FIND("-",Before_Tbl[[#This Row],[Department_Region]])-1)</f>
        <v>Sales</v>
      </c>
      <c r="U387" t="str">
        <f>RIGHT(Before_Tbl[[#This Row],[Department_Region]],LEN(Before_Tbl[[#This Row],[Department_Region]])-FIND("-",Before_Tbl[[#This Row],[Department_Region]]))</f>
        <v>California</v>
      </c>
      <c r="V387" t="str">
        <f>TRIM(PROPER(Before_Tbl[[#This Row],[Status]]))</f>
        <v>Pending</v>
      </c>
      <c r="W387" s="26">
        <v>44406</v>
      </c>
      <c r="X387" s="4">
        <v>91780.04</v>
      </c>
      <c r="Y387" t="str">
        <f>TRIM(LOWER(Before_Tbl[[#This Row],[Email]]))</f>
        <v>david.garcia@example.com</v>
      </c>
      <c r="Z387" s="2" t="str">
        <f>SUBSTITUTE(Before_Tbl[[#This Row],[Phone]],"-","")</f>
        <v>40104144</v>
      </c>
      <c r="AA387" t="str">
        <f>TRIM(PROPER(Before_Tbl[[#This Row],[Performance_Score]]))</f>
        <v>Poor</v>
      </c>
      <c r="AB387" s="2" t="str">
        <f>TRIM(UPPER(Before_Tbl[[#This Row],[Remote_Work]]))</f>
        <v>TRUE</v>
      </c>
    </row>
    <row r="388" spans="1:28" x14ac:dyDescent="0.35">
      <c r="A388" t="s">
        <v>730</v>
      </c>
      <c r="B388" t="s">
        <v>32</v>
      </c>
      <c r="C388" t="s">
        <v>38</v>
      </c>
      <c r="D388">
        <v>35</v>
      </c>
      <c r="E388" t="s">
        <v>177</v>
      </c>
      <c r="F388" t="s">
        <v>28</v>
      </c>
      <c r="G388" t="s">
        <v>731</v>
      </c>
      <c r="H388">
        <v>107062.66</v>
      </c>
      <c r="I388" t="s">
        <v>141</v>
      </c>
      <c r="J388">
        <v>-9642297124</v>
      </c>
      <c r="K388" t="s">
        <v>30</v>
      </c>
      <c r="L388" t="b">
        <v>1</v>
      </c>
      <c r="P388" t="str">
        <f>TRIM(Before_Tbl[[#This Row],[Employee_ID]])</f>
        <v>EMP1386</v>
      </c>
      <c r="Q388" t="str">
        <f>TRIM(PROPER(Before_Tbl[[#This Row],[First_Name]]))</f>
        <v>Eva</v>
      </c>
      <c r="R388" t="str">
        <f>TRIM(PROPER(Before_Tbl[[#This Row],[Last_Name]]))</f>
        <v>Williams</v>
      </c>
      <c r="S388" s="25">
        <f t="shared" si="6"/>
        <v>35</v>
      </c>
      <c r="T388" t="str">
        <f>LEFT(Before_Tbl[[#This Row],[Department_Region]],FIND("-",Before_Tbl[[#This Row],[Department_Region]])-1)</f>
        <v>Sales</v>
      </c>
      <c r="U388" t="str">
        <f>RIGHT(Before_Tbl[[#This Row],[Department_Region]],LEN(Before_Tbl[[#This Row],[Department_Region]])-FIND("-",Before_Tbl[[#This Row],[Department_Region]]))</f>
        <v>California</v>
      </c>
      <c r="V388" t="str">
        <f>TRIM(PROPER(Before_Tbl[[#This Row],[Status]]))</f>
        <v>Pending</v>
      </c>
      <c r="W388" s="26">
        <v>45222</v>
      </c>
      <c r="X388" s="4">
        <v>107062.66</v>
      </c>
      <c r="Y388" t="str">
        <f>TRIM(LOWER(Before_Tbl[[#This Row],[Email]]))</f>
        <v>eva.williams@example.com</v>
      </c>
      <c r="Z388" s="2" t="str">
        <f>SUBSTITUTE(Before_Tbl[[#This Row],[Phone]],"-","")</f>
        <v>9642297124</v>
      </c>
      <c r="AA388" t="str">
        <f>TRIM(PROPER(Before_Tbl[[#This Row],[Performance_Score]]))</f>
        <v>Good</v>
      </c>
      <c r="AB388" s="2" t="str">
        <f>TRIM(UPPER(Before_Tbl[[#This Row],[Remote_Work]]))</f>
        <v>TRUE</v>
      </c>
    </row>
    <row r="389" spans="1:28" x14ac:dyDescent="0.35">
      <c r="A389" t="s">
        <v>732</v>
      </c>
      <c r="B389" t="s">
        <v>69</v>
      </c>
      <c r="C389" t="s">
        <v>14</v>
      </c>
      <c r="D389">
        <v>25</v>
      </c>
      <c r="E389" t="s">
        <v>149</v>
      </c>
      <c r="F389" t="s">
        <v>16</v>
      </c>
      <c r="G389" s="1">
        <v>45119</v>
      </c>
      <c r="H389">
        <v>110625.52</v>
      </c>
      <c r="I389" t="s">
        <v>235</v>
      </c>
      <c r="J389">
        <v>-2967188396</v>
      </c>
      <c r="K389" t="s">
        <v>23</v>
      </c>
      <c r="L389" t="b">
        <v>1</v>
      </c>
      <c r="P389" t="str">
        <f>TRIM(Before_Tbl[[#This Row],[Employee_ID]])</f>
        <v>EMP1387</v>
      </c>
      <c r="Q389" t="str">
        <f>TRIM(PROPER(Before_Tbl[[#This Row],[First_Name]]))</f>
        <v>Grace</v>
      </c>
      <c r="R389" t="str">
        <f>TRIM(PROPER(Before_Tbl[[#This Row],[Last_Name]]))</f>
        <v>Davis</v>
      </c>
      <c r="S389" s="25">
        <f t="shared" si="6"/>
        <v>25</v>
      </c>
      <c r="T389" t="str">
        <f>LEFT(Before_Tbl[[#This Row],[Department_Region]],FIND("-",Before_Tbl[[#This Row],[Department_Region]])-1)</f>
        <v>HR</v>
      </c>
      <c r="U389" t="str">
        <f>RIGHT(Before_Tbl[[#This Row],[Department_Region]],LEN(Before_Tbl[[#This Row],[Department_Region]])-FIND("-",Before_Tbl[[#This Row],[Department_Region]]))</f>
        <v>Nevada</v>
      </c>
      <c r="V389" t="str">
        <f>TRIM(PROPER(Before_Tbl[[#This Row],[Status]]))</f>
        <v>Active</v>
      </c>
      <c r="W389" s="26">
        <v>45119</v>
      </c>
      <c r="X389" s="4">
        <v>110625.52</v>
      </c>
      <c r="Y389" t="str">
        <f>TRIM(LOWER(Before_Tbl[[#This Row],[Email]]))</f>
        <v>grace.davis@example.com</v>
      </c>
      <c r="Z389" s="2" t="str">
        <f>SUBSTITUTE(Before_Tbl[[#This Row],[Phone]],"-","")</f>
        <v>2967188396</v>
      </c>
      <c r="AA389" t="str">
        <f>TRIM(PROPER(Before_Tbl[[#This Row],[Performance_Score]]))</f>
        <v>Excellent</v>
      </c>
      <c r="AB389" s="2" t="str">
        <f>TRIM(UPPER(Before_Tbl[[#This Row],[Remote_Work]]))</f>
        <v>TRUE</v>
      </c>
    </row>
    <row r="390" spans="1:28" x14ac:dyDescent="0.35">
      <c r="A390" t="s">
        <v>733</v>
      </c>
      <c r="B390" t="s">
        <v>37</v>
      </c>
      <c r="C390" t="s">
        <v>122</v>
      </c>
      <c r="D390">
        <v>30</v>
      </c>
      <c r="E390" t="s">
        <v>230</v>
      </c>
      <c r="F390" t="s">
        <v>33</v>
      </c>
      <c r="G390" t="s">
        <v>734</v>
      </c>
      <c r="H390">
        <v>90419.79</v>
      </c>
      <c r="I390" t="s">
        <v>137</v>
      </c>
      <c r="J390">
        <v>-7457314414</v>
      </c>
      <c r="K390" t="s">
        <v>18</v>
      </c>
      <c r="L390" t="b">
        <v>1</v>
      </c>
      <c r="P390" t="str">
        <f>TRIM(Before_Tbl[[#This Row],[Employee_ID]])</f>
        <v>EMP1388</v>
      </c>
      <c r="Q390" t="str">
        <f>TRIM(PROPER(Before_Tbl[[#This Row],[First_Name]]))</f>
        <v>Frank</v>
      </c>
      <c r="R390" t="str">
        <f>TRIM(PROPER(Before_Tbl[[#This Row],[Last_Name]]))</f>
        <v>Smith</v>
      </c>
      <c r="S390" s="25">
        <f t="shared" si="6"/>
        <v>30</v>
      </c>
      <c r="T390" t="str">
        <f>LEFT(Before_Tbl[[#This Row],[Department_Region]],FIND("-",Before_Tbl[[#This Row],[Department_Region]])-1)</f>
        <v>DevOps</v>
      </c>
      <c r="U390" t="str">
        <f>RIGHT(Before_Tbl[[#This Row],[Department_Region]],LEN(Before_Tbl[[#This Row],[Department_Region]])-FIND("-",Before_Tbl[[#This Row],[Department_Region]]))</f>
        <v>Florida</v>
      </c>
      <c r="V390" t="str">
        <f>TRIM(PROPER(Before_Tbl[[#This Row],[Status]]))</f>
        <v>Inactive</v>
      </c>
      <c r="W390" s="26">
        <v>44122</v>
      </c>
      <c r="X390" s="4">
        <v>90419.79</v>
      </c>
      <c r="Y390" t="str">
        <f>TRIM(LOWER(Before_Tbl[[#This Row],[Email]]))</f>
        <v>frank.smith@example.com</v>
      </c>
      <c r="Z390" s="2" t="str">
        <f>SUBSTITUTE(Before_Tbl[[#This Row],[Phone]],"-","")</f>
        <v>7457314414</v>
      </c>
      <c r="AA390" t="str">
        <f>TRIM(PROPER(Before_Tbl[[#This Row],[Performance_Score]]))</f>
        <v>Average</v>
      </c>
      <c r="AB390" s="2" t="str">
        <f>TRIM(UPPER(Before_Tbl[[#This Row],[Remote_Work]]))</f>
        <v>TRUE</v>
      </c>
    </row>
    <row r="391" spans="1:28" x14ac:dyDescent="0.35">
      <c r="A391" t="s">
        <v>735</v>
      </c>
      <c r="B391" t="s">
        <v>69</v>
      </c>
      <c r="C391" t="s">
        <v>122</v>
      </c>
      <c r="D391">
        <v>40</v>
      </c>
      <c r="E391" t="s">
        <v>21</v>
      </c>
      <c r="F391" t="s">
        <v>28</v>
      </c>
      <c r="G391" t="s">
        <v>736</v>
      </c>
      <c r="H391">
        <v>111608.76</v>
      </c>
      <c r="I391" t="s">
        <v>135</v>
      </c>
      <c r="J391">
        <v>-8331170302</v>
      </c>
      <c r="K391" t="s">
        <v>30</v>
      </c>
      <c r="L391" t="b">
        <v>1</v>
      </c>
      <c r="P391" t="str">
        <f>TRIM(Before_Tbl[[#This Row],[Employee_ID]])</f>
        <v>EMP1389</v>
      </c>
      <c r="Q391" t="str">
        <f>TRIM(PROPER(Before_Tbl[[#This Row],[First_Name]]))</f>
        <v>Grace</v>
      </c>
      <c r="R391" t="str">
        <f>TRIM(PROPER(Before_Tbl[[#This Row],[Last_Name]]))</f>
        <v>Smith</v>
      </c>
      <c r="S391" s="25">
        <f t="shared" si="6"/>
        <v>40</v>
      </c>
      <c r="T391" t="str">
        <f>LEFT(Before_Tbl[[#This Row],[Department_Region]],FIND("-",Before_Tbl[[#This Row],[Department_Region]])-1)</f>
        <v>Finance</v>
      </c>
      <c r="U391" t="str">
        <f>RIGHT(Before_Tbl[[#This Row],[Department_Region]],LEN(Before_Tbl[[#This Row],[Department_Region]])-FIND("-",Before_Tbl[[#This Row],[Department_Region]]))</f>
        <v>Texas</v>
      </c>
      <c r="V391" t="str">
        <f>TRIM(PROPER(Before_Tbl[[#This Row],[Status]]))</f>
        <v>Pending</v>
      </c>
      <c r="W391" s="26">
        <v>45458</v>
      </c>
      <c r="X391" s="4">
        <v>111608.76</v>
      </c>
      <c r="Y391" t="str">
        <f>TRIM(LOWER(Before_Tbl[[#This Row],[Email]]))</f>
        <v>grace.smith@example.com</v>
      </c>
      <c r="Z391" s="2" t="str">
        <f>SUBSTITUTE(Before_Tbl[[#This Row],[Phone]],"-","")</f>
        <v>8331170302</v>
      </c>
      <c r="AA391" t="str">
        <f>TRIM(PROPER(Before_Tbl[[#This Row],[Performance_Score]]))</f>
        <v>Good</v>
      </c>
      <c r="AB391" s="2" t="str">
        <f>TRIM(UPPER(Before_Tbl[[#This Row],[Remote_Work]]))</f>
        <v>TRUE</v>
      </c>
    </row>
    <row r="392" spans="1:28" x14ac:dyDescent="0.35">
      <c r="A392" t="s">
        <v>737</v>
      </c>
      <c r="B392" t="s">
        <v>32</v>
      </c>
      <c r="C392" t="s">
        <v>38</v>
      </c>
      <c r="D392">
        <v>35</v>
      </c>
      <c r="E392" t="s">
        <v>112</v>
      </c>
      <c r="F392" t="s">
        <v>33</v>
      </c>
      <c r="G392" s="1">
        <v>45081</v>
      </c>
      <c r="H392">
        <v>50173.120000000003</v>
      </c>
      <c r="I392" t="s">
        <v>141</v>
      </c>
      <c r="J392">
        <v>-7637153987</v>
      </c>
      <c r="K392" t="s">
        <v>41</v>
      </c>
      <c r="L392" t="b">
        <v>0</v>
      </c>
      <c r="P392" t="str">
        <f>TRIM(Before_Tbl[[#This Row],[Employee_ID]])</f>
        <v>EMP1390</v>
      </c>
      <c r="Q392" t="str">
        <f>TRIM(PROPER(Before_Tbl[[#This Row],[First_Name]]))</f>
        <v>Eva</v>
      </c>
      <c r="R392" t="str">
        <f>TRIM(PROPER(Before_Tbl[[#This Row],[Last_Name]]))</f>
        <v>Williams</v>
      </c>
      <c r="S392" s="25">
        <f t="shared" si="6"/>
        <v>35</v>
      </c>
      <c r="T392" t="str">
        <f>LEFT(Before_Tbl[[#This Row],[Department_Region]],FIND("-",Before_Tbl[[#This Row],[Department_Region]])-1)</f>
        <v>Finance</v>
      </c>
      <c r="U392" t="str">
        <f>RIGHT(Before_Tbl[[#This Row],[Department_Region]],LEN(Before_Tbl[[#This Row],[Department_Region]])-FIND("-",Before_Tbl[[#This Row],[Department_Region]]))</f>
        <v>Florida</v>
      </c>
      <c r="V392" t="str">
        <f>TRIM(PROPER(Before_Tbl[[#This Row],[Status]]))</f>
        <v>Inactive</v>
      </c>
      <c r="W392" s="26">
        <v>45081</v>
      </c>
      <c r="X392" s="4">
        <v>50173.120000000003</v>
      </c>
      <c r="Y392" t="str">
        <f>TRIM(LOWER(Before_Tbl[[#This Row],[Email]]))</f>
        <v>eva.williams@example.com</v>
      </c>
      <c r="Z392" s="2" t="str">
        <f>SUBSTITUTE(Before_Tbl[[#This Row],[Phone]],"-","")</f>
        <v>7637153987</v>
      </c>
      <c r="AA392" t="str">
        <f>TRIM(PROPER(Before_Tbl[[#This Row],[Performance_Score]]))</f>
        <v>Poor</v>
      </c>
      <c r="AB392" s="2" t="str">
        <f>TRIM(UPPER(Before_Tbl[[#This Row],[Remote_Work]]))</f>
        <v>FALSE</v>
      </c>
    </row>
    <row r="393" spans="1:28" x14ac:dyDescent="0.35">
      <c r="A393" t="s">
        <v>738</v>
      </c>
      <c r="B393" t="s">
        <v>13</v>
      </c>
      <c r="C393" t="s">
        <v>38</v>
      </c>
      <c r="D393">
        <v>40</v>
      </c>
      <c r="E393" t="s">
        <v>329</v>
      </c>
      <c r="F393" t="s">
        <v>28</v>
      </c>
      <c r="G393" s="1">
        <v>44621</v>
      </c>
      <c r="H393">
        <v>109507.44</v>
      </c>
      <c r="I393" t="s">
        <v>144</v>
      </c>
      <c r="J393">
        <v>-5472812355</v>
      </c>
      <c r="K393" t="s">
        <v>30</v>
      </c>
      <c r="L393" t="b">
        <v>0</v>
      </c>
      <c r="P393" t="str">
        <f>TRIM(Before_Tbl[[#This Row],[Employee_ID]])</f>
        <v>EMP1391</v>
      </c>
      <c r="Q393" t="str">
        <f>TRIM(PROPER(Before_Tbl[[#This Row],[First_Name]]))</f>
        <v>Bob</v>
      </c>
      <c r="R393" t="str">
        <f>TRIM(PROPER(Before_Tbl[[#This Row],[Last_Name]]))</f>
        <v>Williams</v>
      </c>
      <c r="S393" s="25">
        <f t="shared" si="6"/>
        <v>40</v>
      </c>
      <c r="T393" t="str">
        <f>LEFT(Before_Tbl[[#This Row],[Department_Region]],FIND("-",Before_Tbl[[#This Row],[Department_Region]])-1)</f>
        <v>DevOps</v>
      </c>
      <c r="U393" t="str">
        <f>RIGHT(Before_Tbl[[#This Row],[Department_Region]],LEN(Before_Tbl[[#This Row],[Department_Region]])-FIND("-",Before_Tbl[[#This Row],[Department_Region]]))</f>
        <v>Nevada</v>
      </c>
      <c r="V393" t="str">
        <f>TRIM(PROPER(Before_Tbl[[#This Row],[Status]]))</f>
        <v>Pending</v>
      </c>
      <c r="W393" s="26">
        <v>44621</v>
      </c>
      <c r="X393" s="4">
        <v>109507.44</v>
      </c>
      <c r="Y393" t="str">
        <f>TRIM(LOWER(Before_Tbl[[#This Row],[Email]]))</f>
        <v>bob.williams@example.com</v>
      </c>
      <c r="Z393" s="2" t="str">
        <f>SUBSTITUTE(Before_Tbl[[#This Row],[Phone]],"-","")</f>
        <v>5472812355</v>
      </c>
      <c r="AA393" t="str">
        <f>TRIM(PROPER(Before_Tbl[[#This Row],[Performance_Score]]))</f>
        <v>Good</v>
      </c>
      <c r="AB393" s="2" t="str">
        <f>TRIM(UPPER(Before_Tbl[[#This Row],[Remote_Work]]))</f>
        <v>FALSE</v>
      </c>
    </row>
    <row r="394" spans="1:28" x14ac:dyDescent="0.35">
      <c r="A394" t="s">
        <v>739</v>
      </c>
      <c r="B394" t="s">
        <v>69</v>
      </c>
      <c r="C394" t="s">
        <v>43</v>
      </c>
      <c r="D394">
        <v>30</v>
      </c>
      <c r="E394" t="s">
        <v>227</v>
      </c>
      <c r="F394" t="s">
        <v>33</v>
      </c>
      <c r="G394" s="1">
        <v>44262</v>
      </c>
      <c r="H394">
        <v>72600.56</v>
      </c>
      <c r="I394" t="s">
        <v>83</v>
      </c>
      <c r="J394">
        <v>-7983631461</v>
      </c>
      <c r="K394" t="s">
        <v>23</v>
      </c>
      <c r="L394" t="b">
        <v>0</v>
      </c>
      <c r="P394" t="str">
        <f>TRIM(Before_Tbl[[#This Row],[Employee_ID]])</f>
        <v>EMP1392</v>
      </c>
      <c r="Q394" t="str">
        <f>TRIM(PROPER(Before_Tbl[[#This Row],[First_Name]]))</f>
        <v>Grace</v>
      </c>
      <c r="R394" t="str">
        <f>TRIM(PROPER(Before_Tbl[[#This Row],[Last_Name]]))</f>
        <v>Garcia</v>
      </c>
      <c r="S394" s="25">
        <f t="shared" si="6"/>
        <v>30</v>
      </c>
      <c r="T394" t="str">
        <f>LEFT(Before_Tbl[[#This Row],[Department_Region]],FIND("-",Before_Tbl[[#This Row],[Department_Region]])-1)</f>
        <v>Finance</v>
      </c>
      <c r="U394" t="str">
        <f>RIGHT(Before_Tbl[[#This Row],[Department_Region]],LEN(Before_Tbl[[#This Row],[Department_Region]])-FIND("-",Before_Tbl[[#This Row],[Department_Region]]))</f>
        <v>New York</v>
      </c>
      <c r="V394" t="str">
        <f>TRIM(PROPER(Before_Tbl[[#This Row],[Status]]))</f>
        <v>Inactive</v>
      </c>
      <c r="W394" s="26">
        <v>44262</v>
      </c>
      <c r="X394" s="4">
        <v>72600.56</v>
      </c>
      <c r="Y394" t="str">
        <f>TRIM(LOWER(Before_Tbl[[#This Row],[Email]]))</f>
        <v>grace.garcia@example.com</v>
      </c>
      <c r="Z394" s="2" t="str">
        <f>SUBSTITUTE(Before_Tbl[[#This Row],[Phone]],"-","")</f>
        <v>7983631461</v>
      </c>
      <c r="AA394" t="str">
        <f>TRIM(PROPER(Before_Tbl[[#This Row],[Performance_Score]]))</f>
        <v>Excellent</v>
      </c>
      <c r="AB394" s="2" t="str">
        <f>TRIM(UPPER(Before_Tbl[[#This Row],[Remote_Work]]))</f>
        <v>FALSE</v>
      </c>
    </row>
    <row r="395" spans="1:28" x14ac:dyDescent="0.35">
      <c r="A395" t="s">
        <v>740</v>
      </c>
      <c r="B395" t="s">
        <v>54</v>
      </c>
      <c r="C395" t="s">
        <v>43</v>
      </c>
      <c r="E395" t="s">
        <v>70</v>
      </c>
      <c r="F395" t="s">
        <v>28</v>
      </c>
      <c r="G395" s="1">
        <v>45569</v>
      </c>
      <c r="H395">
        <v>53388.65</v>
      </c>
      <c r="I395" t="s">
        <v>87</v>
      </c>
      <c r="J395">
        <v>-4912711306</v>
      </c>
      <c r="K395" t="s">
        <v>41</v>
      </c>
      <c r="L395" t="b">
        <v>1</v>
      </c>
      <c r="P395" t="str">
        <f>TRIM(Before_Tbl[[#This Row],[Employee_ID]])</f>
        <v>EMP1393</v>
      </c>
      <c r="Q395" t="str">
        <f>TRIM(PROPER(Before_Tbl[[#This Row],[First_Name]]))</f>
        <v>Charlie</v>
      </c>
      <c r="R395" t="str">
        <f>TRIM(PROPER(Before_Tbl[[#This Row],[Last_Name]]))</f>
        <v>Garcia</v>
      </c>
      <c r="S395" s="25">
        <f t="shared" si="6"/>
        <v>30</v>
      </c>
      <c r="T395" t="str">
        <f>LEFT(Before_Tbl[[#This Row],[Department_Region]],FIND("-",Before_Tbl[[#This Row],[Department_Region]])-1)</f>
        <v>Finance</v>
      </c>
      <c r="U395" t="str">
        <f>RIGHT(Before_Tbl[[#This Row],[Department_Region]],LEN(Before_Tbl[[#This Row],[Department_Region]])-FIND("-",Before_Tbl[[#This Row],[Department_Region]]))</f>
        <v>California</v>
      </c>
      <c r="V395" t="str">
        <f>TRIM(PROPER(Before_Tbl[[#This Row],[Status]]))</f>
        <v>Pending</v>
      </c>
      <c r="W395" s="26">
        <v>45569</v>
      </c>
      <c r="X395" s="4">
        <v>53388.65</v>
      </c>
      <c r="Y395" t="str">
        <f>TRIM(LOWER(Before_Tbl[[#This Row],[Email]]))</f>
        <v>charlie.garcia@example.com</v>
      </c>
      <c r="Z395" s="2" t="str">
        <f>SUBSTITUTE(Before_Tbl[[#This Row],[Phone]],"-","")</f>
        <v>4912711306</v>
      </c>
      <c r="AA395" t="str">
        <f>TRIM(PROPER(Before_Tbl[[#This Row],[Performance_Score]]))</f>
        <v>Poor</v>
      </c>
      <c r="AB395" s="2" t="str">
        <f>TRIM(UPPER(Before_Tbl[[#This Row],[Remote_Work]]))</f>
        <v>TRUE</v>
      </c>
    </row>
    <row r="396" spans="1:28" x14ac:dyDescent="0.35">
      <c r="A396" t="s">
        <v>741</v>
      </c>
      <c r="B396" t="s">
        <v>65</v>
      </c>
      <c r="C396" t="s">
        <v>38</v>
      </c>
      <c r="D396">
        <v>25</v>
      </c>
      <c r="E396" t="s">
        <v>60</v>
      </c>
      <c r="F396" t="s">
        <v>33</v>
      </c>
      <c r="G396" t="s">
        <v>742</v>
      </c>
      <c r="H396">
        <v>50047.32</v>
      </c>
      <c r="I396" t="s">
        <v>67</v>
      </c>
      <c r="J396">
        <v>-2407875417</v>
      </c>
      <c r="K396" t="s">
        <v>30</v>
      </c>
      <c r="L396" t="b">
        <v>0</v>
      </c>
      <c r="P396" t="str">
        <f>TRIM(Before_Tbl[[#This Row],[Employee_ID]])</f>
        <v>EMP1394</v>
      </c>
      <c r="Q396" t="str">
        <f>TRIM(PROPER(Before_Tbl[[#This Row],[First_Name]]))</f>
        <v>Heidi</v>
      </c>
      <c r="R396" t="str">
        <f>TRIM(PROPER(Before_Tbl[[#This Row],[Last_Name]]))</f>
        <v>Williams</v>
      </c>
      <c r="S396" s="25">
        <f t="shared" si="6"/>
        <v>25</v>
      </c>
      <c r="T396" t="str">
        <f>LEFT(Before_Tbl[[#This Row],[Department_Region]],FIND("-",Before_Tbl[[#This Row],[Department_Region]])-1)</f>
        <v>Cloud Tech</v>
      </c>
      <c r="U396" t="str">
        <f>RIGHT(Before_Tbl[[#This Row],[Department_Region]],LEN(Before_Tbl[[#This Row],[Department_Region]])-FIND("-",Before_Tbl[[#This Row],[Department_Region]]))</f>
        <v>New York</v>
      </c>
      <c r="V396" t="str">
        <f>TRIM(PROPER(Before_Tbl[[#This Row],[Status]]))</f>
        <v>Inactive</v>
      </c>
      <c r="W396" s="26">
        <v>44765</v>
      </c>
      <c r="X396" s="4">
        <v>50047.32</v>
      </c>
      <c r="Y396" t="str">
        <f>TRIM(LOWER(Before_Tbl[[#This Row],[Email]]))</f>
        <v>heidi.williams@example.com</v>
      </c>
      <c r="Z396" s="2" t="str">
        <f>SUBSTITUTE(Before_Tbl[[#This Row],[Phone]],"-","")</f>
        <v>2407875417</v>
      </c>
      <c r="AA396" t="str">
        <f>TRIM(PROPER(Before_Tbl[[#This Row],[Performance_Score]]))</f>
        <v>Good</v>
      </c>
      <c r="AB396" s="2" t="str">
        <f>TRIM(UPPER(Before_Tbl[[#This Row],[Remote_Work]]))</f>
        <v>FALSE</v>
      </c>
    </row>
    <row r="397" spans="1:28" x14ac:dyDescent="0.35">
      <c r="A397" t="s">
        <v>743</v>
      </c>
      <c r="B397" t="s">
        <v>59</v>
      </c>
      <c r="C397" t="s">
        <v>20</v>
      </c>
      <c r="D397">
        <v>30</v>
      </c>
      <c r="E397" t="s">
        <v>15</v>
      </c>
      <c r="F397" t="s">
        <v>16</v>
      </c>
      <c r="G397" t="s">
        <v>744</v>
      </c>
      <c r="H397">
        <v>115290.79</v>
      </c>
      <c r="I397" t="s">
        <v>225</v>
      </c>
      <c r="J397">
        <v>-1563268684</v>
      </c>
      <c r="K397" t="s">
        <v>41</v>
      </c>
      <c r="L397" t="b">
        <v>0</v>
      </c>
      <c r="P397" t="str">
        <f>TRIM(Before_Tbl[[#This Row],[Employee_ID]])</f>
        <v>EMP1395</v>
      </c>
      <c r="Q397" t="str">
        <f>TRIM(PROPER(Before_Tbl[[#This Row],[First_Name]]))</f>
        <v>David</v>
      </c>
      <c r="R397" t="str">
        <f>TRIM(PROPER(Before_Tbl[[#This Row],[Last_Name]]))</f>
        <v>Brown</v>
      </c>
      <c r="S397" s="25">
        <f t="shared" si="6"/>
        <v>30</v>
      </c>
      <c r="T397" t="str">
        <f>LEFT(Before_Tbl[[#This Row],[Department_Region]],FIND("-",Before_Tbl[[#This Row],[Department_Region]])-1)</f>
        <v>DevOps</v>
      </c>
      <c r="U397" t="str">
        <f>RIGHT(Before_Tbl[[#This Row],[Department_Region]],LEN(Before_Tbl[[#This Row],[Department_Region]])-FIND("-",Before_Tbl[[#This Row],[Department_Region]]))</f>
        <v>California</v>
      </c>
      <c r="V397" t="str">
        <f>TRIM(PROPER(Before_Tbl[[#This Row],[Status]]))</f>
        <v>Active</v>
      </c>
      <c r="W397" s="26">
        <v>45621</v>
      </c>
      <c r="X397" s="4">
        <v>115290.79</v>
      </c>
      <c r="Y397" t="str">
        <f>TRIM(LOWER(Before_Tbl[[#This Row],[Email]]))</f>
        <v>david.brown@example.com</v>
      </c>
      <c r="Z397" s="2" t="str">
        <f>SUBSTITUTE(Before_Tbl[[#This Row],[Phone]],"-","")</f>
        <v>1563268684</v>
      </c>
      <c r="AA397" t="str">
        <f>TRIM(PROPER(Before_Tbl[[#This Row],[Performance_Score]]))</f>
        <v>Poor</v>
      </c>
      <c r="AB397" s="2" t="str">
        <f>TRIM(UPPER(Before_Tbl[[#This Row],[Remote_Work]]))</f>
        <v>FALSE</v>
      </c>
    </row>
    <row r="398" spans="1:28" x14ac:dyDescent="0.35">
      <c r="A398" t="s">
        <v>745</v>
      </c>
      <c r="B398" t="s">
        <v>37</v>
      </c>
      <c r="C398" t="s">
        <v>43</v>
      </c>
      <c r="D398">
        <v>35</v>
      </c>
      <c r="E398" t="s">
        <v>268</v>
      </c>
      <c r="F398" t="s">
        <v>28</v>
      </c>
      <c r="G398" t="s">
        <v>639</v>
      </c>
      <c r="H398">
        <v>61586.76</v>
      </c>
      <c r="I398" t="s">
        <v>180</v>
      </c>
      <c r="J398">
        <v>-745106633</v>
      </c>
      <c r="K398" t="s">
        <v>23</v>
      </c>
      <c r="L398" t="b">
        <v>0</v>
      </c>
      <c r="P398" t="str">
        <f>TRIM(Before_Tbl[[#This Row],[Employee_ID]])</f>
        <v>EMP1396</v>
      </c>
      <c r="Q398" t="str">
        <f>TRIM(PROPER(Before_Tbl[[#This Row],[First_Name]]))</f>
        <v>Frank</v>
      </c>
      <c r="R398" t="str">
        <f>TRIM(PROPER(Before_Tbl[[#This Row],[Last_Name]]))</f>
        <v>Garcia</v>
      </c>
      <c r="S398" s="25">
        <f t="shared" si="6"/>
        <v>35</v>
      </c>
      <c r="T398" t="str">
        <f>LEFT(Before_Tbl[[#This Row],[Department_Region]],FIND("-",Before_Tbl[[#This Row],[Department_Region]])-1)</f>
        <v>Cloud Tech</v>
      </c>
      <c r="U398" t="str">
        <f>RIGHT(Before_Tbl[[#This Row],[Department_Region]],LEN(Before_Tbl[[#This Row],[Department_Region]])-FIND("-",Before_Tbl[[#This Row],[Department_Region]]))</f>
        <v>California</v>
      </c>
      <c r="V398" t="str">
        <f>TRIM(PROPER(Before_Tbl[[#This Row],[Status]]))</f>
        <v>Pending</v>
      </c>
      <c r="W398" s="26">
        <v>45159</v>
      </c>
      <c r="X398" s="4">
        <v>61586.76</v>
      </c>
      <c r="Y398" t="str">
        <f>TRIM(LOWER(Before_Tbl[[#This Row],[Email]]))</f>
        <v>frank.garcia@example.com</v>
      </c>
      <c r="Z398" s="2" t="str">
        <f>SUBSTITUTE(Before_Tbl[[#This Row],[Phone]],"-","")</f>
        <v>745106633</v>
      </c>
      <c r="AA398" t="str">
        <f>TRIM(PROPER(Before_Tbl[[#This Row],[Performance_Score]]))</f>
        <v>Excellent</v>
      </c>
      <c r="AB398" s="2" t="str">
        <f>TRIM(UPPER(Before_Tbl[[#This Row],[Remote_Work]]))</f>
        <v>FALSE</v>
      </c>
    </row>
    <row r="399" spans="1:28" x14ac:dyDescent="0.35">
      <c r="A399" t="s">
        <v>746</v>
      </c>
      <c r="B399" t="s">
        <v>32</v>
      </c>
      <c r="C399" t="s">
        <v>92</v>
      </c>
      <c r="D399">
        <v>30</v>
      </c>
      <c r="E399" t="s">
        <v>100</v>
      </c>
      <c r="F399" t="s">
        <v>16</v>
      </c>
      <c r="G399" s="1">
        <v>45272</v>
      </c>
      <c r="H399">
        <v>56662.86</v>
      </c>
      <c r="I399" t="s">
        <v>263</v>
      </c>
      <c r="J399">
        <v>-3629489785</v>
      </c>
      <c r="K399" t="s">
        <v>18</v>
      </c>
      <c r="L399" t="b">
        <v>1</v>
      </c>
      <c r="P399" t="str">
        <f>TRIM(Before_Tbl[[#This Row],[Employee_ID]])</f>
        <v>EMP1397</v>
      </c>
      <c r="Q399" t="str">
        <f>TRIM(PROPER(Before_Tbl[[#This Row],[First_Name]]))</f>
        <v>Eva</v>
      </c>
      <c r="R399" t="str">
        <f>TRIM(PROPER(Before_Tbl[[#This Row],[Last_Name]]))</f>
        <v>Miller</v>
      </c>
      <c r="S399" s="25">
        <f t="shared" si="6"/>
        <v>30</v>
      </c>
      <c r="T399" t="str">
        <f>LEFT(Before_Tbl[[#This Row],[Department_Region]],FIND("-",Before_Tbl[[#This Row],[Department_Region]])-1)</f>
        <v>Finance</v>
      </c>
      <c r="U399" t="str">
        <f>RIGHT(Before_Tbl[[#This Row],[Department_Region]],LEN(Before_Tbl[[#This Row],[Department_Region]])-FIND("-",Before_Tbl[[#This Row],[Department_Region]]))</f>
        <v>Nevada</v>
      </c>
      <c r="V399" t="str">
        <f>TRIM(PROPER(Before_Tbl[[#This Row],[Status]]))</f>
        <v>Active</v>
      </c>
      <c r="W399" s="26">
        <v>45272</v>
      </c>
      <c r="X399" s="4">
        <v>56662.86</v>
      </c>
      <c r="Y399" t="str">
        <f>TRIM(LOWER(Before_Tbl[[#This Row],[Email]]))</f>
        <v>eva.miller@example.com</v>
      </c>
      <c r="Z399" s="2" t="str">
        <f>SUBSTITUTE(Before_Tbl[[#This Row],[Phone]],"-","")</f>
        <v>3629489785</v>
      </c>
      <c r="AA399" t="str">
        <f>TRIM(PROPER(Before_Tbl[[#This Row],[Performance_Score]]))</f>
        <v>Average</v>
      </c>
      <c r="AB399" s="2" t="str">
        <f>TRIM(UPPER(Before_Tbl[[#This Row],[Remote_Work]]))</f>
        <v>TRUE</v>
      </c>
    </row>
    <row r="400" spans="1:28" x14ac:dyDescent="0.35">
      <c r="A400" t="s">
        <v>747</v>
      </c>
      <c r="B400" t="s">
        <v>13</v>
      </c>
      <c r="C400" t="s">
        <v>43</v>
      </c>
      <c r="D400">
        <v>30</v>
      </c>
      <c r="E400" t="s">
        <v>109</v>
      </c>
      <c r="F400" t="s">
        <v>28</v>
      </c>
      <c r="G400" t="s">
        <v>748</v>
      </c>
      <c r="H400" t="s">
        <v>277</v>
      </c>
      <c r="I400" t="s">
        <v>153</v>
      </c>
      <c r="J400">
        <v>-1031310093</v>
      </c>
      <c r="K400" t="s">
        <v>23</v>
      </c>
      <c r="L400" t="b">
        <v>1</v>
      </c>
      <c r="P400" t="str">
        <f>TRIM(Before_Tbl[[#This Row],[Employee_ID]])</f>
        <v>EMP1398</v>
      </c>
      <c r="Q400" t="str">
        <f>TRIM(PROPER(Before_Tbl[[#This Row],[First_Name]]))</f>
        <v>Bob</v>
      </c>
      <c r="R400" t="str">
        <f>TRIM(PROPER(Before_Tbl[[#This Row],[Last_Name]]))</f>
        <v>Garcia</v>
      </c>
      <c r="S400" s="25">
        <f t="shared" si="6"/>
        <v>30</v>
      </c>
      <c r="T400" t="str">
        <f>LEFT(Before_Tbl[[#This Row],[Department_Region]],FIND("-",Before_Tbl[[#This Row],[Department_Region]])-1)</f>
        <v>Sales</v>
      </c>
      <c r="U400" t="str">
        <f>RIGHT(Before_Tbl[[#This Row],[Department_Region]],LEN(Before_Tbl[[#This Row],[Department_Region]])-FIND("-",Before_Tbl[[#This Row],[Department_Region]]))</f>
        <v>New York</v>
      </c>
      <c r="V400" t="str">
        <f>TRIM(PROPER(Before_Tbl[[#This Row],[Status]]))</f>
        <v>Pending</v>
      </c>
      <c r="W400" s="26">
        <v>45223</v>
      </c>
      <c r="X400" s="4"/>
      <c r="Y400" t="str">
        <f>TRIM(LOWER(Before_Tbl[[#This Row],[Email]]))</f>
        <v>bob.garcia@example.com</v>
      </c>
      <c r="Z400" s="2" t="str">
        <f>SUBSTITUTE(Before_Tbl[[#This Row],[Phone]],"-","")</f>
        <v>1031310093</v>
      </c>
      <c r="AA400" t="str">
        <f>TRIM(PROPER(Before_Tbl[[#This Row],[Performance_Score]]))</f>
        <v>Excellent</v>
      </c>
      <c r="AB400" s="2" t="str">
        <f>TRIM(UPPER(Before_Tbl[[#This Row],[Remote_Work]]))</f>
        <v>TRUE</v>
      </c>
    </row>
    <row r="401" spans="1:28" x14ac:dyDescent="0.35">
      <c r="A401" t="s">
        <v>749</v>
      </c>
      <c r="B401" t="s">
        <v>37</v>
      </c>
      <c r="C401" t="s">
        <v>122</v>
      </c>
      <c r="D401">
        <v>25</v>
      </c>
      <c r="E401" t="s">
        <v>100</v>
      </c>
      <c r="F401" t="s">
        <v>16</v>
      </c>
      <c r="G401" s="1">
        <v>44690</v>
      </c>
      <c r="H401">
        <v>54957.98</v>
      </c>
      <c r="I401" t="s">
        <v>137</v>
      </c>
      <c r="J401">
        <v>-3181439665</v>
      </c>
      <c r="K401" t="s">
        <v>23</v>
      </c>
      <c r="L401" t="b">
        <v>1</v>
      </c>
      <c r="P401" t="str">
        <f>TRIM(Before_Tbl[[#This Row],[Employee_ID]])</f>
        <v>EMP1399</v>
      </c>
      <c r="Q401" t="str">
        <f>TRIM(PROPER(Before_Tbl[[#This Row],[First_Name]]))</f>
        <v>Frank</v>
      </c>
      <c r="R401" t="str">
        <f>TRIM(PROPER(Before_Tbl[[#This Row],[Last_Name]]))</f>
        <v>Smith</v>
      </c>
      <c r="S401" s="25">
        <f t="shared" si="6"/>
        <v>25</v>
      </c>
      <c r="T401" t="str">
        <f>LEFT(Before_Tbl[[#This Row],[Department_Region]],FIND("-",Before_Tbl[[#This Row],[Department_Region]])-1)</f>
        <v>Finance</v>
      </c>
      <c r="U401" t="str">
        <f>RIGHT(Before_Tbl[[#This Row],[Department_Region]],LEN(Before_Tbl[[#This Row],[Department_Region]])-FIND("-",Before_Tbl[[#This Row],[Department_Region]]))</f>
        <v>Nevada</v>
      </c>
      <c r="V401" t="str">
        <f>TRIM(PROPER(Before_Tbl[[#This Row],[Status]]))</f>
        <v>Active</v>
      </c>
      <c r="W401" s="26">
        <v>44690</v>
      </c>
      <c r="X401" s="4">
        <v>54957.98</v>
      </c>
      <c r="Y401" t="str">
        <f>TRIM(LOWER(Before_Tbl[[#This Row],[Email]]))</f>
        <v>frank.smith@example.com</v>
      </c>
      <c r="Z401" s="2" t="str">
        <f>SUBSTITUTE(Before_Tbl[[#This Row],[Phone]],"-","")</f>
        <v>3181439665</v>
      </c>
      <c r="AA401" t="str">
        <f>TRIM(PROPER(Before_Tbl[[#This Row],[Performance_Score]]))</f>
        <v>Excellent</v>
      </c>
      <c r="AB401" s="2" t="str">
        <f>TRIM(UPPER(Before_Tbl[[#This Row],[Remote_Work]]))</f>
        <v>TRUE</v>
      </c>
    </row>
    <row r="402" spans="1:28" x14ac:dyDescent="0.35">
      <c r="A402" t="s">
        <v>750</v>
      </c>
      <c r="B402" t="s">
        <v>13</v>
      </c>
      <c r="C402" t="s">
        <v>43</v>
      </c>
      <c r="D402">
        <v>25</v>
      </c>
      <c r="E402" t="s">
        <v>146</v>
      </c>
      <c r="F402" t="s">
        <v>33</v>
      </c>
      <c r="G402" s="1">
        <v>44022</v>
      </c>
      <c r="H402">
        <v>76790.47</v>
      </c>
      <c r="I402" t="s">
        <v>153</v>
      </c>
      <c r="J402">
        <v>-1347323548</v>
      </c>
      <c r="K402" t="s">
        <v>23</v>
      </c>
      <c r="L402" t="b">
        <v>1</v>
      </c>
      <c r="P402" t="str">
        <f>TRIM(Before_Tbl[[#This Row],[Employee_ID]])</f>
        <v>EMP1400</v>
      </c>
      <c r="Q402" t="str">
        <f>TRIM(PROPER(Before_Tbl[[#This Row],[First_Name]]))</f>
        <v>Bob</v>
      </c>
      <c r="R402" t="str">
        <f>TRIM(PROPER(Before_Tbl[[#This Row],[Last_Name]]))</f>
        <v>Garcia</v>
      </c>
      <c r="S402" s="25">
        <f t="shared" si="6"/>
        <v>25</v>
      </c>
      <c r="T402" t="str">
        <f>LEFT(Before_Tbl[[#This Row],[Department_Region]],FIND("-",Before_Tbl[[#This Row],[Department_Region]])-1)</f>
        <v>HR</v>
      </c>
      <c r="U402" t="str">
        <f>RIGHT(Before_Tbl[[#This Row],[Department_Region]],LEN(Before_Tbl[[#This Row],[Department_Region]])-FIND("-",Before_Tbl[[#This Row],[Department_Region]]))</f>
        <v>California</v>
      </c>
      <c r="V402" t="str">
        <f>TRIM(PROPER(Before_Tbl[[#This Row],[Status]]))</f>
        <v>Inactive</v>
      </c>
      <c r="W402" s="26">
        <v>44022</v>
      </c>
      <c r="X402" s="4">
        <v>76790.47</v>
      </c>
      <c r="Y402" t="str">
        <f>TRIM(LOWER(Before_Tbl[[#This Row],[Email]]))</f>
        <v>bob.garcia@example.com</v>
      </c>
      <c r="Z402" s="2" t="str">
        <f>SUBSTITUTE(Before_Tbl[[#This Row],[Phone]],"-","")</f>
        <v>1347323548</v>
      </c>
      <c r="AA402" t="str">
        <f>TRIM(PROPER(Before_Tbl[[#This Row],[Performance_Score]]))</f>
        <v>Excellent</v>
      </c>
      <c r="AB402" s="2" t="str">
        <f>TRIM(UPPER(Before_Tbl[[#This Row],[Remote_Work]]))</f>
        <v>TRUE</v>
      </c>
    </row>
    <row r="403" spans="1:28" x14ac:dyDescent="0.35">
      <c r="A403" t="s">
        <v>751</v>
      </c>
      <c r="B403" t="s">
        <v>54</v>
      </c>
      <c r="C403" t="s">
        <v>20</v>
      </c>
      <c r="D403">
        <v>30</v>
      </c>
      <c r="E403" t="s">
        <v>95</v>
      </c>
      <c r="F403" t="s">
        <v>28</v>
      </c>
      <c r="G403" t="s">
        <v>752</v>
      </c>
      <c r="H403">
        <v>92722.35</v>
      </c>
      <c r="I403" t="s">
        <v>125</v>
      </c>
      <c r="J403">
        <v>-4012897431</v>
      </c>
      <c r="K403" t="s">
        <v>23</v>
      </c>
      <c r="L403" t="b">
        <v>0</v>
      </c>
      <c r="P403" t="str">
        <f>TRIM(Before_Tbl[[#This Row],[Employee_ID]])</f>
        <v>EMP1401</v>
      </c>
      <c r="Q403" t="str">
        <f>TRIM(PROPER(Before_Tbl[[#This Row],[First_Name]]))</f>
        <v>Charlie</v>
      </c>
      <c r="R403" t="str">
        <f>TRIM(PROPER(Before_Tbl[[#This Row],[Last_Name]]))</f>
        <v>Brown</v>
      </c>
      <c r="S403" s="25">
        <f t="shared" si="6"/>
        <v>30</v>
      </c>
      <c r="T403" t="str">
        <f>LEFT(Before_Tbl[[#This Row],[Department_Region]],FIND("-",Before_Tbl[[#This Row],[Department_Region]])-1)</f>
        <v>Cloud Tech</v>
      </c>
      <c r="U403" t="str">
        <f>RIGHT(Before_Tbl[[#This Row],[Department_Region]],LEN(Before_Tbl[[#This Row],[Department_Region]])-FIND("-",Before_Tbl[[#This Row],[Department_Region]]))</f>
        <v>Illinois</v>
      </c>
      <c r="V403" t="str">
        <f>TRIM(PROPER(Before_Tbl[[#This Row],[Status]]))</f>
        <v>Pending</v>
      </c>
      <c r="W403" s="26">
        <v>43848</v>
      </c>
      <c r="X403" s="4">
        <v>92722.35</v>
      </c>
      <c r="Y403" t="str">
        <f>TRIM(LOWER(Before_Tbl[[#This Row],[Email]]))</f>
        <v>charlie.brown@example.com</v>
      </c>
      <c r="Z403" s="2" t="str">
        <f>SUBSTITUTE(Before_Tbl[[#This Row],[Phone]],"-","")</f>
        <v>4012897431</v>
      </c>
      <c r="AA403" t="str">
        <f>TRIM(PROPER(Before_Tbl[[#This Row],[Performance_Score]]))</f>
        <v>Excellent</v>
      </c>
      <c r="AB403" s="2" t="str">
        <f>TRIM(UPPER(Before_Tbl[[#This Row],[Remote_Work]]))</f>
        <v>FALSE</v>
      </c>
    </row>
    <row r="404" spans="1:28" x14ac:dyDescent="0.35">
      <c r="A404" t="s">
        <v>753</v>
      </c>
      <c r="B404" t="s">
        <v>37</v>
      </c>
      <c r="C404" t="s">
        <v>38</v>
      </c>
      <c r="D404">
        <v>30</v>
      </c>
      <c r="E404" t="s">
        <v>329</v>
      </c>
      <c r="F404" t="s">
        <v>16</v>
      </c>
      <c r="G404" t="s">
        <v>754</v>
      </c>
      <c r="H404">
        <v>93125.32</v>
      </c>
      <c r="I404" t="s">
        <v>40</v>
      </c>
      <c r="J404">
        <v>-5122572075</v>
      </c>
      <c r="K404" t="s">
        <v>18</v>
      </c>
      <c r="L404" t="b">
        <v>0</v>
      </c>
      <c r="P404" t="str">
        <f>TRIM(Before_Tbl[[#This Row],[Employee_ID]])</f>
        <v>EMP1402</v>
      </c>
      <c r="Q404" t="str">
        <f>TRIM(PROPER(Before_Tbl[[#This Row],[First_Name]]))</f>
        <v>Frank</v>
      </c>
      <c r="R404" t="str">
        <f>TRIM(PROPER(Before_Tbl[[#This Row],[Last_Name]]))</f>
        <v>Williams</v>
      </c>
      <c r="S404" s="25">
        <f t="shared" si="6"/>
        <v>30</v>
      </c>
      <c r="T404" t="str">
        <f>LEFT(Before_Tbl[[#This Row],[Department_Region]],FIND("-",Before_Tbl[[#This Row],[Department_Region]])-1)</f>
        <v>DevOps</v>
      </c>
      <c r="U404" t="str">
        <f>RIGHT(Before_Tbl[[#This Row],[Department_Region]],LEN(Before_Tbl[[#This Row],[Department_Region]])-FIND("-",Before_Tbl[[#This Row],[Department_Region]]))</f>
        <v>Nevada</v>
      </c>
      <c r="V404" t="str">
        <f>TRIM(PROPER(Before_Tbl[[#This Row],[Status]]))</f>
        <v>Active</v>
      </c>
      <c r="W404" s="26">
        <v>44674</v>
      </c>
      <c r="X404" s="4">
        <v>93125.32</v>
      </c>
      <c r="Y404" t="str">
        <f>TRIM(LOWER(Before_Tbl[[#This Row],[Email]]))</f>
        <v>frank.williams@example.com</v>
      </c>
      <c r="Z404" s="2" t="str">
        <f>SUBSTITUTE(Before_Tbl[[#This Row],[Phone]],"-","")</f>
        <v>5122572075</v>
      </c>
      <c r="AA404" t="str">
        <f>TRIM(PROPER(Before_Tbl[[#This Row],[Performance_Score]]))</f>
        <v>Average</v>
      </c>
      <c r="AB404" s="2" t="str">
        <f>TRIM(UPPER(Before_Tbl[[#This Row],[Remote_Work]]))</f>
        <v>FALSE</v>
      </c>
    </row>
    <row r="405" spans="1:28" x14ac:dyDescent="0.35">
      <c r="A405" t="s">
        <v>755</v>
      </c>
      <c r="B405" t="s">
        <v>59</v>
      </c>
      <c r="C405" t="s">
        <v>122</v>
      </c>
      <c r="D405">
        <v>25</v>
      </c>
      <c r="E405" t="s">
        <v>60</v>
      </c>
      <c r="F405" t="s">
        <v>16</v>
      </c>
      <c r="G405" t="s">
        <v>756</v>
      </c>
      <c r="H405">
        <v>101100.64</v>
      </c>
      <c r="I405" t="s">
        <v>341</v>
      </c>
      <c r="J405">
        <v>-5024120956</v>
      </c>
      <c r="K405" t="s">
        <v>18</v>
      </c>
      <c r="L405" t="b">
        <v>0</v>
      </c>
      <c r="P405" t="str">
        <f>TRIM(Before_Tbl[[#This Row],[Employee_ID]])</f>
        <v>EMP1403</v>
      </c>
      <c r="Q405" t="str">
        <f>TRIM(PROPER(Before_Tbl[[#This Row],[First_Name]]))</f>
        <v>David</v>
      </c>
      <c r="R405" t="str">
        <f>TRIM(PROPER(Before_Tbl[[#This Row],[Last_Name]]))</f>
        <v>Smith</v>
      </c>
      <c r="S405" s="25">
        <f t="shared" si="6"/>
        <v>25</v>
      </c>
      <c r="T405" t="str">
        <f>LEFT(Before_Tbl[[#This Row],[Department_Region]],FIND("-",Before_Tbl[[#This Row],[Department_Region]])-1)</f>
        <v>Cloud Tech</v>
      </c>
      <c r="U405" t="str">
        <f>RIGHT(Before_Tbl[[#This Row],[Department_Region]],LEN(Before_Tbl[[#This Row],[Department_Region]])-FIND("-",Before_Tbl[[#This Row],[Department_Region]]))</f>
        <v>New York</v>
      </c>
      <c r="V405" t="str">
        <f>TRIM(PROPER(Before_Tbl[[#This Row],[Status]]))</f>
        <v>Active</v>
      </c>
      <c r="W405" s="26">
        <v>45038</v>
      </c>
      <c r="X405" s="4">
        <v>101100.64</v>
      </c>
      <c r="Y405" t="str">
        <f>TRIM(LOWER(Before_Tbl[[#This Row],[Email]]))</f>
        <v>david.smith@example.com</v>
      </c>
      <c r="Z405" s="2" t="str">
        <f>SUBSTITUTE(Before_Tbl[[#This Row],[Phone]],"-","")</f>
        <v>5024120956</v>
      </c>
      <c r="AA405" t="str">
        <f>TRIM(PROPER(Before_Tbl[[#This Row],[Performance_Score]]))</f>
        <v>Average</v>
      </c>
      <c r="AB405" s="2" t="str">
        <f>TRIM(UPPER(Before_Tbl[[#This Row],[Remote_Work]]))</f>
        <v>FALSE</v>
      </c>
    </row>
    <row r="406" spans="1:28" x14ac:dyDescent="0.35">
      <c r="A406" t="s">
        <v>757</v>
      </c>
      <c r="B406" t="s">
        <v>69</v>
      </c>
      <c r="C406" t="s">
        <v>43</v>
      </c>
      <c r="D406">
        <v>35</v>
      </c>
      <c r="E406" t="s">
        <v>196</v>
      </c>
      <c r="F406" t="s">
        <v>33</v>
      </c>
      <c r="G406" t="s">
        <v>758</v>
      </c>
      <c r="H406">
        <v>55897.41</v>
      </c>
      <c r="I406" t="s">
        <v>83</v>
      </c>
      <c r="J406">
        <v>-9073710093</v>
      </c>
      <c r="K406" t="s">
        <v>41</v>
      </c>
      <c r="L406" t="b">
        <v>0</v>
      </c>
      <c r="P406" t="str">
        <f>TRIM(Before_Tbl[[#This Row],[Employee_ID]])</f>
        <v>EMP1404</v>
      </c>
      <c r="Q406" t="str">
        <f>TRIM(PROPER(Before_Tbl[[#This Row],[First_Name]]))</f>
        <v>Grace</v>
      </c>
      <c r="R406" t="str">
        <f>TRIM(PROPER(Before_Tbl[[#This Row],[Last_Name]]))</f>
        <v>Garcia</v>
      </c>
      <c r="S406" s="25">
        <f t="shared" si="6"/>
        <v>35</v>
      </c>
      <c r="T406" t="str">
        <f>LEFT(Before_Tbl[[#This Row],[Department_Region]],FIND("-",Before_Tbl[[#This Row],[Department_Region]])-1)</f>
        <v>Admin</v>
      </c>
      <c r="U406" t="str">
        <f>RIGHT(Before_Tbl[[#This Row],[Department_Region]],LEN(Before_Tbl[[#This Row],[Department_Region]])-FIND("-",Before_Tbl[[#This Row],[Department_Region]]))</f>
        <v>New York</v>
      </c>
      <c r="V406" t="str">
        <f>TRIM(PROPER(Before_Tbl[[#This Row],[Status]]))</f>
        <v>Inactive</v>
      </c>
      <c r="W406" s="26">
        <v>45151</v>
      </c>
      <c r="X406" s="4">
        <v>55897.41</v>
      </c>
      <c r="Y406" t="str">
        <f>TRIM(LOWER(Before_Tbl[[#This Row],[Email]]))</f>
        <v>grace.garcia@example.com</v>
      </c>
      <c r="Z406" s="2" t="str">
        <f>SUBSTITUTE(Before_Tbl[[#This Row],[Phone]],"-","")</f>
        <v>9073710093</v>
      </c>
      <c r="AA406" t="str">
        <f>TRIM(PROPER(Before_Tbl[[#This Row],[Performance_Score]]))</f>
        <v>Poor</v>
      </c>
      <c r="AB406" s="2" t="str">
        <f>TRIM(UPPER(Before_Tbl[[#This Row],[Remote_Work]]))</f>
        <v>FALSE</v>
      </c>
    </row>
    <row r="407" spans="1:28" x14ac:dyDescent="0.35">
      <c r="A407" t="s">
        <v>759</v>
      </c>
      <c r="B407" t="s">
        <v>32</v>
      </c>
      <c r="C407" t="s">
        <v>20</v>
      </c>
      <c r="D407">
        <v>25</v>
      </c>
      <c r="E407" t="s">
        <v>15</v>
      </c>
      <c r="F407" t="s">
        <v>16</v>
      </c>
      <c r="G407" t="s">
        <v>203</v>
      </c>
      <c r="H407">
        <v>92484.88</v>
      </c>
      <c r="I407" t="s">
        <v>155</v>
      </c>
      <c r="J407">
        <v>-3882211456</v>
      </c>
      <c r="K407" t="s">
        <v>30</v>
      </c>
      <c r="L407" t="b">
        <v>1</v>
      </c>
      <c r="P407" t="str">
        <f>TRIM(Before_Tbl[[#This Row],[Employee_ID]])</f>
        <v>EMP1405</v>
      </c>
      <c r="Q407" t="str">
        <f>TRIM(PROPER(Before_Tbl[[#This Row],[First_Name]]))</f>
        <v>Eva</v>
      </c>
      <c r="R407" t="str">
        <f>TRIM(PROPER(Before_Tbl[[#This Row],[Last_Name]]))</f>
        <v>Brown</v>
      </c>
      <c r="S407" s="25">
        <f t="shared" si="6"/>
        <v>25</v>
      </c>
      <c r="T407" t="str">
        <f>LEFT(Before_Tbl[[#This Row],[Department_Region]],FIND("-",Before_Tbl[[#This Row],[Department_Region]])-1)</f>
        <v>DevOps</v>
      </c>
      <c r="U407" t="str">
        <f>RIGHT(Before_Tbl[[#This Row],[Department_Region]],LEN(Before_Tbl[[#This Row],[Department_Region]])-FIND("-",Before_Tbl[[#This Row],[Department_Region]]))</f>
        <v>California</v>
      </c>
      <c r="V407" t="str">
        <f>TRIM(PROPER(Before_Tbl[[#This Row],[Status]]))</f>
        <v>Active</v>
      </c>
      <c r="W407" s="26">
        <v>44891</v>
      </c>
      <c r="X407" s="4">
        <v>92484.88</v>
      </c>
      <c r="Y407" t="str">
        <f>TRIM(LOWER(Before_Tbl[[#This Row],[Email]]))</f>
        <v>eva.brown@example.com</v>
      </c>
      <c r="Z407" s="2" t="str">
        <f>SUBSTITUTE(Before_Tbl[[#This Row],[Phone]],"-","")</f>
        <v>3882211456</v>
      </c>
      <c r="AA407" t="str">
        <f>TRIM(PROPER(Before_Tbl[[#This Row],[Performance_Score]]))</f>
        <v>Good</v>
      </c>
      <c r="AB407" s="2" t="str">
        <f>TRIM(UPPER(Before_Tbl[[#This Row],[Remote_Work]]))</f>
        <v>TRUE</v>
      </c>
    </row>
    <row r="408" spans="1:28" x14ac:dyDescent="0.35">
      <c r="A408" t="s">
        <v>760</v>
      </c>
      <c r="B408" t="s">
        <v>69</v>
      </c>
      <c r="C408" t="s">
        <v>92</v>
      </c>
      <c r="D408">
        <v>35</v>
      </c>
      <c r="E408" t="s">
        <v>237</v>
      </c>
      <c r="F408" t="s">
        <v>16</v>
      </c>
      <c r="G408" s="1">
        <v>44844</v>
      </c>
      <c r="H408">
        <v>77011.990000000005</v>
      </c>
      <c r="I408" t="s">
        <v>168</v>
      </c>
      <c r="J408">
        <v>-7584745704</v>
      </c>
      <c r="K408" t="s">
        <v>18</v>
      </c>
      <c r="L408" t="b">
        <v>1</v>
      </c>
      <c r="P408" t="str">
        <f>TRIM(Before_Tbl[[#This Row],[Employee_ID]])</f>
        <v>EMP1406</v>
      </c>
      <c r="Q408" t="str">
        <f>TRIM(PROPER(Before_Tbl[[#This Row],[First_Name]]))</f>
        <v>Grace</v>
      </c>
      <c r="R408" t="str">
        <f>TRIM(PROPER(Before_Tbl[[#This Row],[Last_Name]]))</f>
        <v>Miller</v>
      </c>
      <c r="S408" s="25">
        <f t="shared" si="6"/>
        <v>35</v>
      </c>
      <c r="T408" t="str">
        <f>LEFT(Before_Tbl[[#This Row],[Department_Region]],FIND("-",Before_Tbl[[#This Row],[Department_Region]])-1)</f>
        <v>DevOps</v>
      </c>
      <c r="U408" t="str">
        <f>RIGHT(Before_Tbl[[#This Row],[Department_Region]],LEN(Before_Tbl[[#This Row],[Department_Region]])-FIND("-",Before_Tbl[[#This Row],[Department_Region]]))</f>
        <v>Texas</v>
      </c>
      <c r="V408" t="str">
        <f>TRIM(PROPER(Before_Tbl[[#This Row],[Status]]))</f>
        <v>Active</v>
      </c>
      <c r="W408" s="26">
        <v>44844</v>
      </c>
      <c r="X408" s="4">
        <v>77011.990000000005</v>
      </c>
      <c r="Y408" t="str">
        <f>TRIM(LOWER(Before_Tbl[[#This Row],[Email]]))</f>
        <v>grace.miller@example.com</v>
      </c>
      <c r="Z408" s="2" t="str">
        <f>SUBSTITUTE(Before_Tbl[[#This Row],[Phone]],"-","")</f>
        <v>7584745704</v>
      </c>
      <c r="AA408" t="str">
        <f>TRIM(PROPER(Before_Tbl[[#This Row],[Performance_Score]]))</f>
        <v>Average</v>
      </c>
      <c r="AB408" s="2" t="str">
        <f>TRIM(UPPER(Before_Tbl[[#This Row],[Remote_Work]]))</f>
        <v>TRUE</v>
      </c>
    </row>
    <row r="409" spans="1:28" x14ac:dyDescent="0.35">
      <c r="A409" t="s">
        <v>761</v>
      </c>
      <c r="B409" t="s">
        <v>13</v>
      </c>
      <c r="C409" t="s">
        <v>43</v>
      </c>
      <c r="E409" t="s">
        <v>268</v>
      </c>
      <c r="F409" t="s">
        <v>33</v>
      </c>
      <c r="G409" t="s">
        <v>602</v>
      </c>
      <c r="H409">
        <v>77078.679999999993</v>
      </c>
      <c r="I409" t="s">
        <v>153</v>
      </c>
      <c r="J409">
        <v>-4589714801</v>
      </c>
      <c r="K409" t="s">
        <v>18</v>
      </c>
      <c r="L409" t="b">
        <v>1</v>
      </c>
      <c r="P409" t="str">
        <f>TRIM(Before_Tbl[[#This Row],[Employee_ID]])</f>
        <v>EMP1407</v>
      </c>
      <c r="Q409" t="str">
        <f>TRIM(PROPER(Before_Tbl[[#This Row],[First_Name]]))</f>
        <v>Bob</v>
      </c>
      <c r="R409" t="str">
        <f>TRIM(PROPER(Before_Tbl[[#This Row],[Last_Name]]))</f>
        <v>Garcia</v>
      </c>
      <c r="S409" s="25">
        <f t="shared" si="6"/>
        <v>30</v>
      </c>
      <c r="T409" t="str">
        <f>LEFT(Before_Tbl[[#This Row],[Department_Region]],FIND("-",Before_Tbl[[#This Row],[Department_Region]])-1)</f>
        <v>Cloud Tech</v>
      </c>
      <c r="U409" t="str">
        <f>RIGHT(Before_Tbl[[#This Row],[Department_Region]],LEN(Before_Tbl[[#This Row],[Department_Region]])-FIND("-",Before_Tbl[[#This Row],[Department_Region]]))</f>
        <v>California</v>
      </c>
      <c r="V409" t="str">
        <f>TRIM(PROPER(Before_Tbl[[#This Row],[Status]]))</f>
        <v>Inactive</v>
      </c>
      <c r="W409" s="26">
        <v>44101</v>
      </c>
      <c r="X409" s="4">
        <v>77078.679999999993</v>
      </c>
      <c r="Y409" t="str">
        <f>TRIM(LOWER(Before_Tbl[[#This Row],[Email]]))</f>
        <v>bob.garcia@example.com</v>
      </c>
      <c r="Z409" s="2" t="str">
        <f>SUBSTITUTE(Before_Tbl[[#This Row],[Phone]],"-","")</f>
        <v>4589714801</v>
      </c>
      <c r="AA409" t="str">
        <f>TRIM(PROPER(Before_Tbl[[#This Row],[Performance_Score]]))</f>
        <v>Average</v>
      </c>
      <c r="AB409" s="2" t="str">
        <f>TRIM(UPPER(Before_Tbl[[#This Row],[Remote_Work]]))</f>
        <v>TRUE</v>
      </c>
    </row>
    <row r="410" spans="1:28" x14ac:dyDescent="0.35">
      <c r="A410" t="s">
        <v>762</v>
      </c>
      <c r="B410" t="s">
        <v>69</v>
      </c>
      <c r="C410" t="s">
        <v>20</v>
      </c>
      <c r="D410">
        <v>35</v>
      </c>
      <c r="E410" t="s">
        <v>219</v>
      </c>
      <c r="F410" t="s">
        <v>16</v>
      </c>
      <c r="G410" s="1">
        <v>45600</v>
      </c>
      <c r="H410">
        <v>82971.02</v>
      </c>
      <c r="I410" t="s">
        <v>201</v>
      </c>
      <c r="J410">
        <v>-6325703964</v>
      </c>
      <c r="K410" t="s">
        <v>30</v>
      </c>
      <c r="L410" t="b">
        <v>0</v>
      </c>
      <c r="P410" t="str">
        <f>TRIM(Before_Tbl[[#This Row],[Employee_ID]])</f>
        <v>EMP1408</v>
      </c>
      <c r="Q410" t="str">
        <f>TRIM(PROPER(Before_Tbl[[#This Row],[First_Name]]))</f>
        <v>Grace</v>
      </c>
      <c r="R410" t="str">
        <f>TRIM(PROPER(Before_Tbl[[#This Row],[Last_Name]]))</f>
        <v>Brown</v>
      </c>
      <c r="S410" s="25">
        <f t="shared" si="6"/>
        <v>35</v>
      </c>
      <c r="T410" t="str">
        <f>LEFT(Before_Tbl[[#This Row],[Department_Region]],FIND("-",Before_Tbl[[#This Row],[Department_Region]])-1)</f>
        <v>Sales</v>
      </c>
      <c r="U410" t="str">
        <f>RIGHT(Before_Tbl[[#This Row],[Department_Region]],LEN(Before_Tbl[[#This Row],[Department_Region]])-FIND("-",Before_Tbl[[#This Row],[Department_Region]]))</f>
        <v>Nevada</v>
      </c>
      <c r="V410" t="str">
        <f>TRIM(PROPER(Before_Tbl[[#This Row],[Status]]))</f>
        <v>Active</v>
      </c>
      <c r="W410" s="26">
        <v>45600</v>
      </c>
      <c r="X410" s="4">
        <v>82971.02</v>
      </c>
      <c r="Y410" t="str">
        <f>TRIM(LOWER(Before_Tbl[[#This Row],[Email]]))</f>
        <v>grace.brown@example.com</v>
      </c>
      <c r="Z410" s="2" t="str">
        <f>SUBSTITUTE(Before_Tbl[[#This Row],[Phone]],"-","")</f>
        <v>6325703964</v>
      </c>
      <c r="AA410" t="str">
        <f>TRIM(PROPER(Before_Tbl[[#This Row],[Performance_Score]]))</f>
        <v>Good</v>
      </c>
      <c r="AB410" s="2" t="str">
        <f>TRIM(UPPER(Before_Tbl[[#This Row],[Remote_Work]]))</f>
        <v>FALSE</v>
      </c>
    </row>
    <row r="411" spans="1:28" x14ac:dyDescent="0.35">
      <c r="A411" t="s">
        <v>763</v>
      </c>
      <c r="B411" t="s">
        <v>13</v>
      </c>
      <c r="C411" t="s">
        <v>92</v>
      </c>
      <c r="D411">
        <v>25</v>
      </c>
      <c r="E411" t="s">
        <v>44</v>
      </c>
      <c r="F411" t="s">
        <v>16</v>
      </c>
      <c r="G411" t="s">
        <v>157</v>
      </c>
      <c r="H411">
        <v>65102.01</v>
      </c>
      <c r="I411" t="s">
        <v>93</v>
      </c>
      <c r="J411">
        <v>-3136148781</v>
      </c>
      <c r="K411" t="s">
        <v>18</v>
      </c>
      <c r="L411" t="b">
        <v>1</v>
      </c>
      <c r="P411" t="str">
        <f>TRIM(Before_Tbl[[#This Row],[Employee_ID]])</f>
        <v>EMP1409</v>
      </c>
      <c r="Q411" t="str">
        <f>TRIM(PROPER(Before_Tbl[[#This Row],[First_Name]]))</f>
        <v>Bob</v>
      </c>
      <c r="R411" t="str">
        <f>TRIM(PROPER(Before_Tbl[[#This Row],[Last_Name]]))</f>
        <v>Miller</v>
      </c>
      <c r="S411" s="25">
        <f t="shared" si="6"/>
        <v>25</v>
      </c>
      <c r="T411" t="str">
        <f>LEFT(Before_Tbl[[#This Row],[Department_Region]],FIND("-",Before_Tbl[[#This Row],[Department_Region]])-1)</f>
        <v>Sales</v>
      </c>
      <c r="U411" t="str">
        <f>RIGHT(Before_Tbl[[#This Row],[Department_Region]],LEN(Before_Tbl[[#This Row],[Department_Region]])-FIND("-",Before_Tbl[[#This Row],[Department_Region]]))</f>
        <v>Texas</v>
      </c>
      <c r="V411" t="str">
        <f>TRIM(PROPER(Before_Tbl[[#This Row],[Status]]))</f>
        <v>Active</v>
      </c>
      <c r="W411" s="26">
        <v>44367</v>
      </c>
      <c r="X411" s="4">
        <v>65102.01</v>
      </c>
      <c r="Y411" t="str">
        <f>TRIM(LOWER(Before_Tbl[[#This Row],[Email]]))</f>
        <v>bob.miller@example.com</v>
      </c>
      <c r="Z411" s="2" t="str">
        <f>SUBSTITUTE(Before_Tbl[[#This Row],[Phone]],"-","")</f>
        <v>3136148781</v>
      </c>
      <c r="AA411" t="str">
        <f>TRIM(PROPER(Before_Tbl[[#This Row],[Performance_Score]]))</f>
        <v>Average</v>
      </c>
      <c r="AB411" s="2" t="str">
        <f>TRIM(UPPER(Before_Tbl[[#This Row],[Remote_Work]]))</f>
        <v>TRUE</v>
      </c>
    </row>
    <row r="412" spans="1:28" x14ac:dyDescent="0.35">
      <c r="A412" t="s">
        <v>764</v>
      </c>
      <c r="B412" t="s">
        <v>69</v>
      </c>
      <c r="C412" t="s">
        <v>38</v>
      </c>
      <c r="E412" t="s">
        <v>149</v>
      </c>
      <c r="F412" t="s">
        <v>28</v>
      </c>
      <c r="G412" t="s">
        <v>765</v>
      </c>
      <c r="H412">
        <v>103697.7</v>
      </c>
      <c r="I412" t="s">
        <v>71</v>
      </c>
      <c r="J412">
        <v>-4556964429</v>
      </c>
      <c r="K412" t="s">
        <v>23</v>
      </c>
      <c r="L412" t="b">
        <v>1</v>
      </c>
      <c r="P412" t="str">
        <f>TRIM(Before_Tbl[[#This Row],[Employee_ID]])</f>
        <v>EMP1410</v>
      </c>
      <c r="Q412" t="str">
        <f>TRIM(PROPER(Before_Tbl[[#This Row],[First_Name]]))</f>
        <v>Grace</v>
      </c>
      <c r="R412" t="str">
        <f>TRIM(PROPER(Before_Tbl[[#This Row],[Last_Name]]))</f>
        <v>Williams</v>
      </c>
      <c r="S412" s="25">
        <f t="shared" si="6"/>
        <v>30</v>
      </c>
      <c r="T412" t="str">
        <f>LEFT(Before_Tbl[[#This Row],[Department_Region]],FIND("-",Before_Tbl[[#This Row],[Department_Region]])-1)</f>
        <v>HR</v>
      </c>
      <c r="U412" t="str">
        <f>RIGHT(Before_Tbl[[#This Row],[Department_Region]],LEN(Before_Tbl[[#This Row],[Department_Region]])-FIND("-",Before_Tbl[[#This Row],[Department_Region]]))</f>
        <v>Nevada</v>
      </c>
      <c r="V412" t="str">
        <f>TRIM(PROPER(Before_Tbl[[#This Row],[Status]]))</f>
        <v>Pending</v>
      </c>
      <c r="W412" s="26">
        <v>44857</v>
      </c>
      <c r="X412" s="4">
        <v>103697.7</v>
      </c>
      <c r="Y412" t="str">
        <f>TRIM(LOWER(Before_Tbl[[#This Row],[Email]]))</f>
        <v>grace.williams@example.com</v>
      </c>
      <c r="Z412" s="2" t="str">
        <f>SUBSTITUTE(Before_Tbl[[#This Row],[Phone]],"-","")</f>
        <v>4556964429</v>
      </c>
      <c r="AA412" t="str">
        <f>TRIM(PROPER(Before_Tbl[[#This Row],[Performance_Score]]))</f>
        <v>Excellent</v>
      </c>
      <c r="AB412" s="2" t="str">
        <f>TRIM(UPPER(Before_Tbl[[#This Row],[Remote_Work]]))</f>
        <v>TRUE</v>
      </c>
    </row>
    <row r="413" spans="1:28" x14ac:dyDescent="0.35">
      <c r="A413" t="s">
        <v>766</v>
      </c>
      <c r="B413" t="s">
        <v>69</v>
      </c>
      <c r="C413" t="s">
        <v>43</v>
      </c>
      <c r="D413">
        <v>25</v>
      </c>
      <c r="E413" t="s">
        <v>78</v>
      </c>
      <c r="F413" t="s">
        <v>28</v>
      </c>
      <c r="G413" t="s">
        <v>727</v>
      </c>
      <c r="H413">
        <v>60687.63</v>
      </c>
      <c r="I413" t="s">
        <v>83</v>
      </c>
      <c r="J413">
        <v>-9859167953</v>
      </c>
      <c r="K413" t="s">
        <v>23</v>
      </c>
      <c r="L413" t="b">
        <v>0</v>
      </c>
      <c r="P413" t="str">
        <f>TRIM(Before_Tbl[[#This Row],[Employee_ID]])</f>
        <v>EMP1411</v>
      </c>
      <c r="Q413" t="str">
        <f>TRIM(PROPER(Before_Tbl[[#This Row],[First_Name]]))</f>
        <v>Grace</v>
      </c>
      <c r="R413" t="str">
        <f>TRIM(PROPER(Before_Tbl[[#This Row],[Last_Name]]))</f>
        <v>Garcia</v>
      </c>
      <c r="S413" s="25">
        <f t="shared" si="6"/>
        <v>25</v>
      </c>
      <c r="T413" t="str">
        <f>LEFT(Before_Tbl[[#This Row],[Department_Region]],FIND("-",Before_Tbl[[#This Row],[Department_Region]])-1)</f>
        <v>DevOps</v>
      </c>
      <c r="U413" t="str">
        <f>RIGHT(Before_Tbl[[#This Row],[Department_Region]],LEN(Before_Tbl[[#This Row],[Department_Region]])-FIND("-",Before_Tbl[[#This Row],[Department_Region]]))</f>
        <v>Illinois</v>
      </c>
      <c r="V413" t="str">
        <f>TRIM(PROPER(Before_Tbl[[#This Row],[Status]]))</f>
        <v>Pending</v>
      </c>
      <c r="W413" s="26">
        <v>45092</v>
      </c>
      <c r="X413" s="4">
        <v>60687.63</v>
      </c>
      <c r="Y413" t="str">
        <f>TRIM(LOWER(Before_Tbl[[#This Row],[Email]]))</f>
        <v>grace.garcia@example.com</v>
      </c>
      <c r="Z413" s="2" t="str">
        <f>SUBSTITUTE(Before_Tbl[[#This Row],[Phone]],"-","")</f>
        <v>9859167953</v>
      </c>
      <c r="AA413" t="str">
        <f>TRIM(PROPER(Before_Tbl[[#This Row],[Performance_Score]]))</f>
        <v>Excellent</v>
      </c>
      <c r="AB413" s="2" t="str">
        <f>TRIM(UPPER(Before_Tbl[[#This Row],[Remote_Work]]))</f>
        <v>FALSE</v>
      </c>
    </row>
    <row r="414" spans="1:28" x14ac:dyDescent="0.35">
      <c r="A414" t="s">
        <v>767</v>
      </c>
      <c r="B414" t="s">
        <v>13</v>
      </c>
      <c r="C414" t="s">
        <v>92</v>
      </c>
      <c r="E414" t="s">
        <v>196</v>
      </c>
      <c r="F414" t="s">
        <v>28</v>
      </c>
      <c r="G414" t="s">
        <v>768</v>
      </c>
      <c r="H414">
        <v>77351.210000000006</v>
      </c>
      <c r="I414" t="s">
        <v>93</v>
      </c>
      <c r="J414">
        <v>-1072728497</v>
      </c>
      <c r="K414" t="s">
        <v>30</v>
      </c>
      <c r="L414" t="b">
        <v>0</v>
      </c>
      <c r="P414" t="str">
        <f>TRIM(Before_Tbl[[#This Row],[Employee_ID]])</f>
        <v>EMP1412</v>
      </c>
      <c r="Q414" t="str">
        <f>TRIM(PROPER(Before_Tbl[[#This Row],[First_Name]]))</f>
        <v>Bob</v>
      </c>
      <c r="R414" t="str">
        <f>TRIM(PROPER(Before_Tbl[[#This Row],[Last_Name]]))</f>
        <v>Miller</v>
      </c>
      <c r="S414" s="25">
        <f t="shared" si="6"/>
        <v>30</v>
      </c>
      <c r="T414" t="str">
        <f>LEFT(Before_Tbl[[#This Row],[Department_Region]],FIND("-",Before_Tbl[[#This Row],[Department_Region]])-1)</f>
        <v>Admin</v>
      </c>
      <c r="U414" t="str">
        <f>RIGHT(Before_Tbl[[#This Row],[Department_Region]],LEN(Before_Tbl[[#This Row],[Department_Region]])-FIND("-",Before_Tbl[[#This Row],[Department_Region]]))</f>
        <v>New York</v>
      </c>
      <c r="V414" t="str">
        <f>TRIM(PROPER(Before_Tbl[[#This Row],[Status]]))</f>
        <v>Pending</v>
      </c>
      <c r="W414" s="26">
        <v>44500</v>
      </c>
      <c r="X414" s="4">
        <v>77351.210000000006</v>
      </c>
      <c r="Y414" t="str">
        <f>TRIM(LOWER(Before_Tbl[[#This Row],[Email]]))</f>
        <v>bob.miller@example.com</v>
      </c>
      <c r="Z414" s="2" t="str">
        <f>SUBSTITUTE(Before_Tbl[[#This Row],[Phone]],"-","")</f>
        <v>1072728497</v>
      </c>
      <c r="AA414" t="str">
        <f>TRIM(PROPER(Before_Tbl[[#This Row],[Performance_Score]]))</f>
        <v>Good</v>
      </c>
      <c r="AB414" s="2" t="str">
        <f>TRIM(UPPER(Before_Tbl[[#This Row],[Remote_Work]]))</f>
        <v>FALSE</v>
      </c>
    </row>
    <row r="415" spans="1:28" x14ac:dyDescent="0.35">
      <c r="A415" t="s">
        <v>769</v>
      </c>
      <c r="B415" t="s">
        <v>13</v>
      </c>
      <c r="C415" t="s">
        <v>122</v>
      </c>
      <c r="D415">
        <v>35</v>
      </c>
      <c r="E415" t="s">
        <v>230</v>
      </c>
      <c r="F415" t="s">
        <v>28</v>
      </c>
      <c r="G415" t="s">
        <v>770</v>
      </c>
      <c r="H415">
        <v>66704.62</v>
      </c>
      <c r="I415" t="s">
        <v>123</v>
      </c>
      <c r="J415">
        <v>-2474140702</v>
      </c>
      <c r="K415" t="s">
        <v>41</v>
      </c>
      <c r="L415" t="b">
        <v>1</v>
      </c>
      <c r="P415" t="str">
        <f>TRIM(Before_Tbl[[#This Row],[Employee_ID]])</f>
        <v>EMP1413</v>
      </c>
      <c r="Q415" t="str">
        <f>TRIM(PROPER(Before_Tbl[[#This Row],[First_Name]]))</f>
        <v>Bob</v>
      </c>
      <c r="R415" t="str">
        <f>TRIM(PROPER(Before_Tbl[[#This Row],[Last_Name]]))</f>
        <v>Smith</v>
      </c>
      <c r="S415" s="25">
        <f t="shared" si="6"/>
        <v>35</v>
      </c>
      <c r="T415" t="str">
        <f>LEFT(Before_Tbl[[#This Row],[Department_Region]],FIND("-",Before_Tbl[[#This Row],[Department_Region]])-1)</f>
        <v>DevOps</v>
      </c>
      <c r="U415" t="str">
        <f>RIGHT(Before_Tbl[[#This Row],[Department_Region]],LEN(Before_Tbl[[#This Row],[Department_Region]])-FIND("-",Before_Tbl[[#This Row],[Department_Region]]))</f>
        <v>Florida</v>
      </c>
      <c r="V415" t="str">
        <f>TRIM(PROPER(Before_Tbl[[#This Row],[Status]]))</f>
        <v>Pending</v>
      </c>
      <c r="W415" s="26">
        <v>45564</v>
      </c>
      <c r="X415" s="4">
        <v>66704.62</v>
      </c>
      <c r="Y415" t="str">
        <f>TRIM(LOWER(Before_Tbl[[#This Row],[Email]]))</f>
        <v>bob.smith@example.com</v>
      </c>
      <c r="Z415" s="2" t="str">
        <f>SUBSTITUTE(Before_Tbl[[#This Row],[Phone]],"-","")</f>
        <v>2474140702</v>
      </c>
      <c r="AA415" t="str">
        <f>TRIM(PROPER(Before_Tbl[[#This Row],[Performance_Score]]))</f>
        <v>Poor</v>
      </c>
      <c r="AB415" s="2" t="str">
        <f>TRIM(UPPER(Before_Tbl[[#This Row],[Remote_Work]]))</f>
        <v>TRUE</v>
      </c>
    </row>
    <row r="416" spans="1:28" x14ac:dyDescent="0.35">
      <c r="A416" t="s">
        <v>771</v>
      </c>
      <c r="B416" t="s">
        <v>69</v>
      </c>
      <c r="C416" t="s">
        <v>38</v>
      </c>
      <c r="D416">
        <v>25</v>
      </c>
      <c r="E416" t="s">
        <v>265</v>
      </c>
      <c r="F416" t="s">
        <v>28</v>
      </c>
      <c r="G416" t="s">
        <v>772</v>
      </c>
      <c r="H416">
        <v>71650.3</v>
      </c>
      <c r="I416" t="s">
        <v>71</v>
      </c>
      <c r="J416">
        <v>-4910740649</v>
      </c>
      <c r="K416" t="s">
        <v>41</v>
      </c>
      <c r="L416" t="b">
        <v>1</v>
      </c>
      <c r="P416" t="str">
        <f>TRIM(Before_Tbl[[#This Row],[Employee_ID]])</f>
        <v>EMP1414</v>
      </c>
      <c r="Q416" t="str">
        <f>TRIM(PROPER(Before_Tbl[[#This Row],[First_Name]]))</f>
        <v>Grace</v>
      </c>
      <c r="R416" t="str">
        <f>TRIM(PROPER(Before_Tbl[[#This Row],[Last_Name]]))</f>
        <v>Williams</v>
      </c>
      <c r="S416" s="25">
        <f t="shared" si="6"/>
        <v>25</v>
      </c>
      <c r="T416" t="str">
        <f>LEFT(Before_Tbl[[#This Row],[Department_Region]],FIND("-",Before_Tbl[[#This Row],[Department_Region]])-1)</f>
        <v>Finance</v>
      </c>
      <c r="U416" t="str">
        <f>RIGHT(Before_Tbl[[#This Row],[Department_Region]],LEN(Before_Tbl[[#This Row],[Department_Region]])-FIND("-",Before_Tbl[[#This Row],[Department_Region]]))</f>
        <v>Illinois</v>
      </c>
      <c r="V416" t="str">
        <f>TRIM(PROPER(Before_Tbl[[#This Row],[Status]]))</f>
        <v>Pending</v>
      </c>
      <c r="W416" s="26">
        <v>43943</v>
      </c>
      <c r="X416" s="4">
        <v>71650.3</v>
      </c>
      <c r="Y416" t="str">
        <f>TRIM(LOWER(Before_Tbl[[#This Row],[Email]]))</f>
        <v>grace.williams@example.com</v>
      </c>
      <c r="Z416" s="2" t="str">
        <f>SUBSTITUTE(Before_Tbl[[#This Row],[Phone]],"-","")</f>
        <v>4910740649</v>
      </c>
      <c r="AA416" t="str">
        <f>TRIM(PROPER(Before_Tbl[[#This Row],[Performance_Score]]))</f>
        <v>Poor</v>
      </c>
      <c r="AB416" s="2" t="str">
        <f>TRIM(UPPER(Before_Tbl[[#This Row],[Remote_Work]]))</f>
        <v>TRUE</v>
      </c>
    </row>
    <row r="417" spans="1:28" x14ac:dyDescent="0.35">
      <c r="A417" t="s">
        <v>773</v>
      </c>
      <c r="B417" t="s">
        <v>54</v>
      </c>
      <c r="C417" t="s">
        <v>122</v>
      </c>
      <c r="D417">
        <v>25</v>
      </c>
      <c r="E417" t="s">
        <v>85</v>
      </c>
      <c r="F417" t="s">
        <v>16</v>
      </c>
      <c r="G417" s="1">
        <v>45119</v>
      </c>
      <c r="H417">
        <v>50794.54</v>
      </c>
      <c r="I417" t="s">
        <v>194</v>
      </c>
      <c r="J417">
        <v>-425488213</v>
      </c>
      <c r="K417" t="s">
        <v>30</v>
      </c>
      <c r="L417" t="b">
        <v>1</v>
      </c>
      <c r="P417" t="str">
        <f>TRIM(Before_Tbl[[#This Row],[Employee_ID]])</f>
        <v>EMP1415</v>
      </c>
      <c r="Q417" t="str">
        <f>TRIM(PROPER(Before_Tbl[[#This Row],[First_Name]]))</f>
        <v>Charlie</v>
      </c>
      <c r="R417" t="str">
        <f>TRIM(PROPER(Before_Tbl[[#This Row],[Last_Name]]))</f>
        <v>Smith</v>
      </c>
      <c r="S417" s="25">
        <f t="shared" si="6"/>
        <v>25</v>
      </c>
      <c r="T417" t="str">
        <f>LEFT(Before_Tbl[[#This Row],[Department_Region]],FIND("-",Before_Tbl[[#This Row],[Department_Region]])-1)</f>
        <v>Cloud Tech</v>
      </c>
      <c r="U417" t="str">
        <f>RIGHT(Before_Tbl[[#This Row],[Department_Region]],LEN(Before_Tbl[[#This Row],[Department_Region]])-FIND("-",Before_Tbl[[#This Row],[Department_Region]]))</f>
        <v>Nevada</v>
      </c>
      <c r="V417" t="str">
        <f>TRIM(PROPER(Before_Tbl[[#This Row],[Status]]))</f>
        <v>Active</v>
      </c>
      <c r="W417" s="26">
        <v>45119</v>
      </c>
      <c r="X417" s="4">
        <v>50794.54</v>
      </c>
      <c r="Y417" t="str">
        <f>TRIM(LOWER(Before_Tbl[[#This Row],[Email]]))</f>
        <v>charlie.smith@example.com</v>
      </c>
      <c r="Z417" s="2" t="str">
        <f>SUBSTITUTE(Before_Tbl[[#This Row],[Phone]],"-","")</f>
        <v>425488213</v>
      </c>
      <c r="AA417" t="str">
        <f>TRIM(PROPER(Before_Tbl[[#This Row],[Performance_Score]]))</f>
        <v>Good</v>
      </c>
      <c r="AB417" s="2" t="str">
        <f>TRIM(UPPER(Before_Tbl[[#This Row],[Remote_Work]]))</f>
        <v>TRUE</v>
      </c>
    </row>
    <row r="418" spans="1:28" x14ac:dyDescent="0.35">
      <c r="A418" t="s">
        <v>774</v>
      </c>
      <c r="B418" t="s">
        <v>37</v>
      </c>
      <c r="C418" t="s">
        <v>26</v>
      </c>
      <c r="E418" t="s">
        <v>219</v>
      </c>
      <c r="F418" t="s">
        <v>33</v>
      </c>
      <c r="G418" s="1">
        <v>44024</v>
      </c>
      <c r="H418">
        <v>76030.86</v>
      </c>
      <c r="I418" t="s">
        <v>47</v>
      </c>
      <c r="J418">
        <v>-2369143074</v>
      </c>
      <c r="K418" t="s">
        <v>30</v>
      </c>
      <c r="L418" t="b">
        <v>1</v>
      </c>
      <c r="P418" t="str">
        <f>TRIM(Before_Tbl[[#This Row],[Employee_ID]])</f>
        <v>EMP1416</v>
      </c>
      <c r="Q418" t="str">
        <f>TRIM(PROPER(Before_Tbl[[#This Row],[First_Name]]))</f>
        <v>Frank</v>
      </c>
      <c r="R418" t="str">
        <f>TRIM(PROPER(Before_Tbl[[#This Row],[Last_Name]]))</f>
        <v>Jones</v>
      </c>
      <c r="S418" s="25">
        <f t="shared" si="6"/>
        <v>30</v>
      </c>
      <c r="T418" t="str">
        <f>LEFT(Before_Tbl[[#This Row],[Department_Region]],FIND("-",Before_Tbl[[#This Row],[Department_Region]])-1)</f>
        <v>Sales</v>
      </c>
      <c r="U418" t="str">
        <f>RIGHT(Before_Tbl[[#This Row],[Department_Region]],LEN(Before_Tbl[[#This Row],[Department_Region]])-FIND("-",Before_Tbl[[#This Row],[Department_Region]]))</f>
        <v>Nevada</v>
      </c>
      <c r="V418" t="str">
        <f>TRIM(PROPER(Before_Tbl[[#This Row],[Status]]))</f>
        <v>Inactive</v>
      </c>
      <c r="W418" s="26">
        <v>44024</v>
      </c>
      <c r="X418" s="4">
        <v>76030.86</v>
      </c>
      <c r="Y418" t="str">
        <f>TRIM(LOWER(Before_Tbl[[#This Row],[Email]]))</f>
        <v>frank.jones@example.com</v>
      </c>
      <c r="Z418" s="2" t="str">
        <f>SUBSTITUTE(Before_Tbl[[#This Row],[Phone]],"-","")</f>
        <v>2369143074</v>
      </c>
      <c r="AA418" t="str">
        <f>TRIM(PROPER(Before_Tbl[[#This Row],[Performance_Score]]))</f>
        <v>Good</v>
      </c>
      <c r="AB418" s="2" t="str">
        <f>TRIM(UPPER(Before_Tbl[[#This Row],[Remote_Work]]))</f>
        <v>TRUE</v>
      </c>
    </row>
    <row r="419" spans="1:28" x14ac:dyDescent="0.35">
      <c r="A419" t="s">
        <v>775</v>
      </c>
      <c r="B419" t="s">
        <v>32</v>
      </c>
      <c r="C419" t="s">
        <v>55</v>
      </c>
      <c r="D419">
        <v>25</v>
      </c>
      <c r="E419" t="s">
        <v>268</v>
      </c>
      <c r="F419" t="s">
        <v>33</v>
      </c>
      <c r="G419" s="1">
        <v>44507</v>
      </c>
      <c r="H419">
        <v>86669.79</v>
      </c>
      <c r="I419" t="s">
        <v>323</v>
      </c>
      <c r="J419">
        <v>-3666144941</v>
      </c>
      <c r="K419" t="s">
        <v>23</v>
      </c>
      <c r="L419" t="b">
        <v>1</v>
      </c>
      <c r="P419" t="str">
        <f>TRIM(Before_Tbl[[#This Row],[Employee_ID]])</f>
        <v>EMP1417</v>
      </c>
      <c r="Q419" t="str">
        <f>TRIM(PROPER(Before_Tbl[[#This Row],[First_Name]]))</f>
        <v>Eva</v>
      </c>
      <c r="R419" t="str">
        <f>TRIM(PROPER(Before_Tbl[[#This Row],[Last_Name]]))</f>
        <v>Johnson</v>
      </c>
      <c r="S419" s="25">
        <f t="shared" si="6"/>
        <v>25</v>
      </c>
      <c r="T419" t="str">
        <f>LEFT(Before_Tbl[[#This Row],[Department_Region]],FIND("-",Before_Tbl[[#This Row],[Department_Region]])-1)</f>
        <v>Cloud Tech</v>
      </c>
      <c r="U419" t="str">
        <f>RIGHT(Before_Tbl[[#This Row],[Department_Region]],LEN(Before_Tbl[[#This Row],[Department_Region]])-FIND("-",Before_Tbl[[#This Row],[Department_Region]]))</f>
        <v>California</v>
      </c>
      <c r="V419" t="str">
        <f>TRIM(PROPER(Before_Tbl[[#This Row],[Status]]))</f>
        <v>Inactive</v>
      </c>
      <c r="W419" s="26">
        <v>44507</v>
      </c>
      <c r="X419" s="4">
        <v>86669.79</v>
      </c>
      <c r="Y419" t="str">
        <f>TRIM(LOWER(Before_Tbl[[#This Row],[Email]]))</f>
        <v>eva.johnson@example.com</v>
      </c>
      <c r="Z419" s="2" t="str">
        <f>SUBSTITUTE(Before_Tbl[[#This Row],[Phone]],"-","")</f>
        <v>3666144941</v>
      </c>
      <c r="AA419" t="str">
        <f>TRIM(PROPER(Before_Tbl[[#This Row],[Performance_Score]]))</f>
        <v>Excellent</v>
      </c>
      <c r="AB419" s="2" t="str">
        <f>TRIM(UPPER(Before_Tbl[[#This Row],[Remote_Work]]))</f>
        <v>TRUE</v>
      </c>
    </row>
    <row r="420" spans="1:28" x14ac:dyDescent="0.35">
      <c r="A420" t="s">
        <v>776</v>
      </c>
      <c r="B420" t="s">
        <v>13</v>
      </c>
      <c r="C420" t="s">
        <v>43</v>
      </c>
      <c r="D420">
        <v>40</v>
      </c>
      <c r="E420" t="s">
        <v>265</v>
      </c>
      <c r="F420" t="s">
        <v>33</v>
      </c>
      <c r="G420" t="s">
        <v>777</v>
      </c>
      <c r="H420">
        <v>84972.7</v>
      </c>
      <c r="I420" t="s">
        <v>153</v>
      </c>
      <c r="J420">
        <v>-9659234267</v>
      </c>
      <c r="K420" t="s">
        <v>41</v>
      </c>
      <c r="L420" t="b">
        <v>1</v>
      </c>
      <c r="P420" t="str">
        <f>TRIM(Before_Tbl[[#This Row],[Employee_ID]])</f>
        <v>EMP1418</v>
      </c>
      <c r="Q420" t="str">
        <f>TRIM(PROPER(Before_Tbl[[#This Row],[First_Name]]))</f>
        <v>Bob</v>
      </c>
      <c r="R420" t="str">
        <f>TRIM(PROPER(Before_Tbl[[#This Row],[Last_Name]]))</f>
        <v>Garcia</v>
      </c>
      <c r="S420" s="25">
        <f t="shared" si="6"/>
        <v>40</v>
      </c>
      <c r="T420" t="str">
        <f>LEFT(Before_Tbl[[#This Row],[Department_Region]],FIND("-",Before_Tbl[[#This Row],[Department_Region]])-1)</f>
        <v>Finance</v>
      </c>
      <c r="U420" t="str">
        <f>RIGHT(Before_Tbl[[#This Row],[Department_Region]],LEN(Before_Tbl[[#This Row],[Department_Region]])-FIND("-",Before_Tbl[[#This Row],[Department_Region]]))</f>
        <v>Illinois</v>
      </c>
      <c r="V420" t="str">
        <f>TRIM(PROPER(Before_Tbl[[#This Row],[Status]]))</f>
        <v>Inactive</v>
      </c>
      <c r="W420" s="26">
        <v>43944</v>
      </c>
      <c r="X420" s="4">
        <v>84972.7</v>
      </c>
      <c r="Y420" t="str">
        <f>TRIM(LOWER(Before_Tbl[[#This Row],[Email]]))</f>
        <v>bob.garcia@example.com</v>
      </c>
      <c r="Z420" s="2" t="str">
        <f>SUBSTITUTE(Before_Tbl[[#This Row],[Phone]],"-","")</f>
        <v>9659234267</v>
      </c>
      <c r="AA420" t="str">
        <f>TRIM(PROPER(Before_Tbl[[#This Row],[Performance_Score]]))</f>
        <v>Poor</v>
      </c>
      <c r="AB420" s="2" t="str">
        <f>TRIM(UPPER(Before_Tbl[[#This Row],[Remote_Work]]))</f>
        <v>TRUE</v>
      </c>
    </row>
    <row r="421" spans="1:28" x14ac:dyDescent="0.35">
      <c r="A421" t="s">
        <v>778</v>
      </c>
      <c r="B421" t="s">
        <v>37</v>
      </c>
      <c r="C421" t="s">
        <v>92</v>
      </c>
      <c r="D421">
        <v>30</v>
      </c>
      <c r="E421" t="s">
        <v>139</v>
      </c>
      <c r="F421" t="s">
        <v>28</v>
      </c>
      <c r="G421" s="1">
        <v>45270</v>
      </c>
      <c r="H421">
        <v>100594.49</v>
      </c>
      <c r="I421" t="s">
        <v>110</v>
      </c>
      <c r="J421">
        <v>-3441497825</v>
      </c>
      <c r="K421" t="s">
        <v>18</v>
      </c>
      <c r="L421" t="b">
        <v>0</v>
      </c>
      <c r="P421" t="str">
        <f>TRIM(Before_Tbl[[#This Row],[Employee_ID]])</f>
        <v>EMP1419</v>
      </c>
      <c r="Q421" t="str">
        <f>TRIM(PROPER(Before_Tbl[[#This Row],[First_Name]]))</f>
        <v>Frank</v>
      </c>
      <c r="R421" t="str">
        <f>TRIM(PROPER(Before_Tbl[[#This Row],[Last_Name]]))</f>
        <v>Miller</v>
      </c>
      <c r="S421" s="25">
        <f t="shared" si="6"/>
        <v>30</v>
      </c>
      <c r="T421" t="str">
        <f>LEFT(Before_Tbl[[#This Row],[Department_Region]],FIND("-",Before_Tbl[[#This Row],[Department_Region]])-1)</f>
        <v>HR</v>
      </c>
      <c r="U421" t="str">
        <f>RIGHT(Before_Tbl[[#This Row],[Department_Region]],LEN(Before_Tbl[[#This Row],[Department_Region]])-FIND("-",Before_Tbl[[#This Row],[Department_Region]]))</f>
        <v>Texas</v>
      </c>
      <c r="V421" t="str">
        <f>TRIM(PROPER(Before_Tbl[[#This Row],[Status]]))</f>
        <v>Pending</v>
      </c>
      <c r="W421" s="26">
        <v>45270</v>
      </c>
      <c r="X421" s="4">
        <v>100594.49</v>
      </c>
      <c r="Y421" t="str">
        <f>TRIM(LOWER(Before_Tbl[[#This Row],[Email]]))</f>
        <v>frank.miller@example.com</v>
      </c>
      <c r="Z421" s="2" t="str">
        <f>SUBSTITUTE(Before_Tbl[[#This Row],[Phone]],"-","")</f>
        <v>3441497825</v>
      </c>
      <c r="AA421" t="str">
        <f>TRIM(PROPER(Before_Tbl[[#This Row],[Performance_Score]]))</f>
        <v>Average</v>
      </c>
      <c r="AB421" s="2" t="str">
        <f>TRIM(UPPER(Before_Tbl[[#This Row],[Remote_Work]]))</f>
        <v>FALSE</v>
      </c>
    </row>
    <row r="422" spans="1:28" x14ac:dyDescent="0.35">
      <c r="A422" t="s">
        <v>779</v>
      </c>
      <c r="B422" t="s">
        <v>25</v>
      </c>
      <c r="C422" t="s">
        <v>55</v>
      </c>
      <c r="D422">
        <v>25</v>
      </c>
      <c r="E422" t="s">
        <v>60</v>
      </c>
      <c r="F422" t="s">
        <v>16</v>
      </c>
      <c r="G422" t="s">
        <v>780</v>
      </c>
      <c r="H422">
        <v>75478.350000000006</v>
      </c>
      <c r="I422" t="s">
        <v>150</v>
      </c>
      <c r="J422">
        <v>-6128758574</v>
      </c>
      <c r="K422" t="s">
        <v>23</v>
      </c>
      <c r="L422" t="b">
        <v>0</v>
      </c>
      <c r="P422" t="str">
        <f>TRIM(Before_Tbl[[#This Row],[Employee_ID]])</f>
        <v>EMP1420</v>
      </c>
      <c r="Q422" t="str">
        <f>TRIM(PROPER(Before_Tbl[[#This Row],[First_Name]]))</f>
        <v>Alice</v>
      </c>
      <c r="R422" t="str">
        <f>TRIM(PROPER(Before_Tbl[[#This Row],[Last_Name]]))</f>
        <v>Johnson</v>
      </c>
      <c r="S422" s="25">
        <f t="shared" si="6"/>
        <v>25</v>
      </c>
      <c r="T422" t="str">
        <f>LEFT(Before_Tbl[[#This Row],[Department_Region]],FIND("-",Before_Tbl[[#This Row],[Department_Region]])-1)</f>
        <v>Cloud Tech</v>
      </c>
      <c r="U422" t="str">
        <f>RIGHT(Before_Tbl[[#This Row],[Department_Region]],LEN(Before_Tbl[[#This Row],[Department_Region]])-FIND("-",Before_Tbl[[#This Row],[Department_Region]]))</f>
        <v>New York</v>
      </c>
      <c r="V422" t="str">
        <f>TRIM(PROPER(Before_Tbl[[#This Row],[Status]]))</f>
        <v>Active</v>
      </c>
      <c r="W422" s="26">
        <v>44797</v>
      </c>
      <c r="X422" s="4">
        <v>75478.350000000006</v>
      </c>
      <c r="Y422" t="str">
        <f>TRIM(LOWER(Before_Tbl[[#This Row],[Email]]))</f>
        <v>alice.johnson@example.com</v>
      </c>
      <c r="Z422" s="2" t="str">
        <f>SUBSTITUTE(Before_Tbl[[#This Row],[Phone]],"-","")</f>
        <v>6128758574</v>
      </c>
      <c r="AA422" t="str">
        <f>TRIM(PROPER(Before_Tbl[[#This Row],[Performance_Score]]))</f>
        <v>Excellent</v>
      </c>
      <c r="AB422" s="2" t="str">
        <f>TRIM(UPPER(Before_Tbl[[#This Row],[Remote_Work]]))</f>
        <v>FALSE</v>
      </c>
    </row>
    <row r="423" spans="1:28" x14ac:dyDescent="0.35">
      <c r="A423" t="s">
        <v>781</v>
      </c>
      <c r="B423" t="s">
        <v>54</v>
      </c>
      <c r="C423" t="s">
        <v>55</v>
      </c>
      <c r="D423">
        <v>25</v>
      </c>
      <c r="E423" t="s">
        <v>219</v>
      </c>
      <c r="F423" t="s">
        <v>28</v>
      </c>
      <c r="G423" s="1">
        <v>45025</v>
      </c>
      <c r="H423">
        <v>79355.850000000006</v>
      </c>
      <c r="I423" t="s">
        <v>57</v>
      </c>
      <c r="J423">
        <v>-6766708060</v>
      </c>
      <c r="K423" t="s">
        <v>30</v>
      </c>
      <c r="L423" t="b">
        <v>0</v>
      </c>
      <c r="P423" t="str">
        <f>TRIM(Before_Tbl[[#This Row],[Employee_ID]])</f>
        <v>EMP1421</v>
      </c>
      <c r="Q423" t="str">
        <f>TRIM(PROPER(Before_Tbl[[#This Row],[First_Name]]))</f>
        <v>Charlie</v>
      </c>
      <c r="R423" t="str">
        <f>TRIM(PROPER(Before_Tbl[[#This Row],[Last_Name]]))</f>
        <v>Johnson</v>
      </c>
      <c r="S423" s="25">
        <f t="shared" si="6"/>
        <v>25</v>
      </c>
      <c r="T423" t="str">
        <f>LEFT(Before_Tbl[[#This Row],[Department_Region]],FIND("-",Before_Tbl[[#This Row],[Department_Region]])-1)</f>
        <v>Sales</v>
      </c>
      <c r="U423" t="str">
        <f>RIGHT(Before_Tbl[[#This Row],[Department_Region]],LEN(Before_Tbl[[#This Row],[Department_Region]])-FIND("-",Before_Tbl[[#This Row],[Department_Region]]))</f>
        <v>Nevada</v>
      </c>
      <c r="V423" t="str">
        <f>TRIM(PROPER(Before_Tbl[[#This Row],[Status]]))</f>
        <v>Pending</v>
      </c>
      <c r="W423" s="26">
        <v>45025</v>
      </c>
      <c r="X423" s="4">
        <v>79355.850000000006</v>
      </c>
      <c r="Y423" t="str">
        <f>TRIM(LOWER(Before_Tbl[[#This Row],[Email]]))</f>
        <v>charlie.johnson@example.com</v>
      </c>
      <c r="Z423" s="2" t="str">
        <f>SUBSTITUTE(Before_Tbl[[#This Row],[Phone]],"-","")</f>
        <v>6766708060</v>
      </c>
      <c r="AA423" t="str">
        <f>TRIM(PROPER(Before_Tbl[[#This Row],[Performance_Score]]))</f>
        <v>Good</v>
      </c>
      <c r="AB423" s="2" t="str">
        <f>TRIM(UPPER(Before_Tbl[[#This Row],[Remote_Work]]))</f>
        <v>FALSE</v>
      </c>
    </row>
    <row r="424" spans="1:28" x14ac:dyDescent="0.35">
      <c r="A424" t="s">
        <v>782</v>
      </c>
      <c r="B424" t="s">
        <v>69</v>
      </c>
      <c r="C424" t="s">
        <v>92</v>
      </c>
      <c r="D424">
        <v>35</v>
      </c>
      <c r="E424" t="s">
        <v>139</v>
      </c>
      <c r="F424" t="s">
        <v>28</v>
      </c>
      <c r="G424" s="1">
        <v>44594</v>
      </c>
      <c r="H424">
        <v>58358.07</v>
      </c>
      <c r="I424" t="s">
        <v>168</v>
      </c>
      <c r="J424">
        <v>-2943985297</v>
      </c>
      <c r="K424" t="s">
        <v>41</v>
      </c>
      <c r="L424" t="b">
        <v>1</v>
      </c>
      <c r="P424" t="str">
        <f>TRIM(Before_Tbl[[#This Row],[Employee_ID]])</f>
        <v>EMP1422</v>
      </c>
      <c r="Q424" t="str">
        <f>TRIM(PROPER(Before_Tbl[[#This Row],[First_Name]]))</f>
        <v>Grace</v>
      </c>
      <c r="R424" t="str">
        <f>TRIM(PROPER(Before_Tbl[[#This Row],[Last_Name]]))</f>
        <v>Miller</v>
      </c>
      <c r="S424" s="25">
        <f t="shared" si="6"/>
        <v>35</v>
      </c>
      <c r="T424" t="str">
        <f>LEFT(Before_Tbl[[#This Row],[Department_Region]],FIND("-",Before_Tbl[[#This Row],[Department_Region]])-1)</f>
        <v>HR</v>
      </c>
      <c r="U424" t="str">
        <f>RIGHT(Before_Tbl[[#This Row],[Department_Region]],LEN(Before_Tbl[[#This Row],[Department_Region]])-FIND("-",Before_Tbl[[#This Row],[Department_Region]]))</f>
        <v>Texas</v>
      </c>
      <c r="V424" t="str">
        <f>TRIM(PROPER(Before_Tbl[[#This Row],[Status]]))</f>
        <v>Pending</v>
      </c>
      <c r="W424" s="26">
        <v>44594</v>
      </c>
      <c r="X424" s="4">
        <v>58358.07</v>
      </c>
      <c r="Y424" t="str">
        <f>TRIM(LOWER(Before_Tbl[[#This Row],[Email]]))</f>
        <v>grace.miller@example.com</v>
      </c>
      <c r="Z424" s="2" t="str">
        <f>SUBSTITUTE(Before_Tbl[[#This Row],[Phone]],"-","")</f>
        <v>2943985297</v>
      </c>
      <c r="AA424" t="str">
        <f>TRIM(PROPER(Before_Tbl[[#This Row],[Performance_Score]]))</f>
        <v>Poor</v>
      </c>
      <c r="AB424" s="2" t="str">
        <f>TRIM(UPPER(Before_Tbl[[#This Row],[Remote_Work]]))</f>
        <v>TRUE</v>
      </c>
    </row>
    <row r="425" spans="1:28" x14ac:dyDescent="0.35">
      <c r="A425" t="s">
        <v>783</v>
      </c>
      <c r="B425" t="s">
        <v>25</v>
      </c>
      <c r="C425" t="s">
        <v>38</v>
      </c>
      <c r="D425">
        <v>30</v>
      </c>
      <c r="E425" t="s">
        <v>89</v>
      </c>
      <c r="F425" t="s">
        <v>16</v>
      </c>
      <c r="G425" s="1">
        <v>44565</v>
      </c>
      <c r="H425">
        <v>54824.85</v>
      </c>
      <c r="I425" t="s">
        <v>363</v>
      </c>
      <c r="J425">
        <v>-9406260786</v>
      </c>
      <c r="K425" t="s">
        <v>18</v>
      </c>
      <c r="L425" t="b">
        <v>0</v>
      </c>
      <c r="P425" t="str">
        <f>TRIM(Before_Tbl[[#This Row],[Employee_ID]])</f>
        <v>EMP1423</v>
      </c>
      <c r="Q425" t="str">
        <f>TRIM(PROPER(Before_Tbl[[#This Row],[First_Name]]))</f>
        <v>Alice</v>
      </c>
      <c r="R425" t="str">
        <f>TRIM(PROPER(Before_Tbl[[#This Row],[Last_Name]]))</f>
        <v>Williams</v>
      </c>
      <c r="S425" s="25">
        <f t="shared" si="6"/>
        <v>30</v>
      </c>
      <c r="T425" t="str">
        <f>LEFT(Before_Tbl[[#This Row],[Department_Region]],FIND("-",Before_Tbl[[#This Row],[Department_Region]])-1)</f>
        <v>Admin</v>
      </c>
      <c r="U425" t="str">
        <f>RIGHT(Before_Tbl[[#This Row],[Department_Region]],LEN(Before_Tbl[[#This Row],[Department_Region]])-FIND("-",Before_Tbl[[#This Row],[Department_Region]]))</f>
        <v>Illinois</v>
      </c>
      <c r="V425" t="str">
        <f>TRIM(PROPER(Before_Tbl[[#This Row],[Status]]))</f>
        <v>Active</v>
      </c>
      <c r="W425" s="26">
        <v>44565</v>
      </c>
      <c r="X425" s="4">
        <v>54824.85</v>
      </c>
      <c r="Y425" t="str">
        <f>TRIM(LOWER(Before_Tbl[[#This Row],[Email]]))</f>
        <v>alice.williams@example.com</v>
      </c>
      <c r="Z425" s="2" t="str">
        <f>SUBSTITUTE(Before_Tbl[[#This Row],[Phone]],"-","")</f>
        <v>9406260786</v>
      </c>
      <c r="AA425" t="str">
        <f>TRIM(PROPER(Before_Tbl[[#This Row],[Performance_Score]]))</f>
        <v>Average</v>
      </c>
      <c r="AB425" s="2" t="str">
        <f>TRIM(UPPER(Before_Tbl[[#This Row],[Remote_Work]]))</f>
        <v>FALSE</v>
      </c>
    </row>
    <row r="426" spans="1:28" x14ac:dyDescent="0.35">
      <c r="A426" t="s">
        <v>784</v>
      </c>
      <c r="B426" t="s">
        <v>32</v>
      </c>
      <c r="C426" t="s">
        <v>43</v>
      </c>
      <c r="D426">
        <v>35</v>
      </c>
      <c r="E426" t="s">
        <v>139</v>
      </c>
      <c r="F426" t="s">
        <v>28</v>
      </c>
      <c r="G426" t="s">
        <v>331</v>
      </c>
      <c r="H426">
        <v>50557.84</v>
      </c>
      <c r="I426" t="s">
        <v>297</v>
      </c>
      <c r="J426">
        <v>-104159148</v>
      </c>
      <c r="K426" t="s">
        <v>18</v>
      </c>
      <c r="L426" t="b">
        <v>1</v>
      </c>
      <c r="P426" t="str">
        <f>TRIM(Before_Tbl[[#This Row],[Employee_ID]])</f>
        <v>EMP1424</v>
      </c>
      <c r="Q426" t="str">
        <f>TRIM(PROPER(Before_Tbl[[#This Row],[First_Name]]))</f>
        <v>Eva</v>
      </c>
      <c r="R426" t="str">
        <f>TRIM(PROPER(Before_Tbl[[#This Row],[Last_Name]]))</f>
        <v>Garcia</v>
      </c>
      <c r="S426" s="25">
        <f t="shared" si="6"/>
        <v>35</v>
      </c>
      <c r="T426" t="str">
        <f>LEFT(Before_Tbl[[#This Row],[Department_Region]],FIND("-",Before_Tbl[[#This Row],[Department_Region]])-1)</f>
        <v>HR</v>
      </c>
      <c r="U426" t="str">
        <f>RIGHT(Before_Tbl[[#This Row],[Department_Region]],LEN(Before_Tbl[[#This Row],[Department_Region]])-FIND("-",Before_Tbl[[#This Row],[Department_Region]]))</f>
        <v>Texas</v>
      </c>
      <c r="V426" t="str">
        <f>TRIM(PROPER(Before_Tbl[[#This Row],[Status]]))</f>
        <v>Pending</v>
      </c>
      <c r="W426" s="26">
        <v>44766</v>
      </c>
      <c r="X426" s="4">
        <v>50557.84</v>
      </c>
      <c r="Y426" t="str">
        <f>TRIM(LOWER(Before_Tbl[[#This Row],[Email]]))</f>
        <v>eva.garcia@example.com</v>
      </c>
      <c r="Z426" s="2" t="str">
        <f>SUBSTITUTE(Before_Tbl[[#This Row],[Phone]],"-","")</f>
        <v>104159148</v>
      </c>
      <c r="AA426" t="str">
        <f>TRIM(PROPER(Before_Tbl[[#This Row],[Performance_Score]]))</f>
        <v>Average</v>
      </c>
      <c r="AB426" s="2" t="str">
        <f>TRIM(UPPER(Before_Tbl[[#This Row],[Remote_Work]]))</f>
        <v>TRUE</v>
      </c>
    </row>
    <row r="427" spans="1:28" x14ac:dyDescent="0.35">
      <c r="A427" t="s">
        <v>785</v>
      </c>
      <c r="B427" t="s">
        <v>32</v>
      </c>
      <c r="C427" t="s">
        <v>26</v>
      </c>
      <c r="E427" t="s">
        <v>205</v>
      </c>
      <c r="F427" t="s">
        <v>33</v>
      </c>
      <c r="G427" t="s">
        <v>786</v>
      </c>
      <c r="H427">
        <v>118030.04</v>
      </c>
      <c r="I427" t="s">
        <v>278</v>
      </c>
      <c r="J427">
        <v>-7501980381</v>
      </c>
      <c r="K427" t="s">
        <v>23</v>
      </c>
      <c r="L427" t="b">
        <v>1</v>
      </c>
      <c r="P427" t="str">
        <f>TRIM(Before_Tbl[[#This Row],[Employee_ID]])</f>
        <v>EMP1425</v>
      </c>
      <c r="Q427" t="str">
        <f>TRIM(PROPER(Before_Tbl[[#This Row],[First_Name]]))</f>
        <v>Eva</v>
      </c>
      <c r="R427" t="str">
        <f>TRIM(PROPER(Before_Tbl[[#This Row],[Last_Name]]))</f>
        <v>Jones</v>
      </c>
      <c r="S427" s="25">
        <f t="shared" si="6"/>
        <v>30</v>
      </c>
      <c r="T427" t="str">
        <f>LEFT(Before_Tbl[[#This Row],[Department_Region]],FIND("-",Before_Tbl[[#This Row],[Department_Region]])-1)</f>
        <v>Admin</v>
      </c>
      <c r="U427" t="str">
        <f>RIGHT(Before_Tbl[[#This Row],[Department_Region]],LEN(Before_Tbl[[#This Row],[Department_Region]])-FIND("-",Before_Tbl[[#This Row],[Department_Region]]))</f>
        <v>Florida</v>
      </c>
      <c r="V427" t="str">
        <f>TRIM(PROPER(Before_Tbl[[#This Row],[Status]]))</f>
        <v>Inactive</v>
      </c>
      <c r="W427" s="26">
        <v>45042</v>
      </c>
      <c r="X427" s="4">
        <v>118030.04</v>
      </c>
      <c r="Y427" t="str">
        <f>TRIM(LOWER(Before_Tbl[[#This Row],[Email]]))</f>
        <v>eva.jones@example.com</v>
      </c>
      <c r="Z427" s="2" t="str">
        <f>SUBSTITUTE(Before_Tbl[[#This Row],[Phone]],"-","")</f>
        <v>7501980381</v>
      </c>
      <c r="AA427" t="str">
        <f>TRIM(PROPER(Before_Tbl[[#This Row],[Performance_Score]]))</f>
        <v>Excellent</v>
      </c>
      <c r="AB427" s="2" t="str">
        <f>TRIM(UPPER(Before_Tbl[[#This Row],[Remote_Work]]))</f>
        <v>TRUE</v>
      </c>
    </row>
    <row r="428" spans="1:28" x14ac:dyDescent="0.35">
      <c r="A428" t="s">
        <v>787</v>
      </c>
      <c r="B428" t="s">
        <v>59</v>
      </c>
      <c r="C428" t="s">
        <v>122</v>
      </c>
      <c r="E428" t="s">
        <v>196</v>
      </c>
      <c r="F428" t="s">
        <v>16</v>
      </c>
      <c r="G428" t="s">
        <v>788</v>
      </c>
      <c r="H428">
        <v>51673.72</v>
      </c>
      <c r="I428" t="s">
        <v>341</v>
      </c>
      <c r="J428">
        <v>-8723244078</v>
      </c>
      <c r="K428" t="s">
        <v>41</v>
      </c>
      <c r="L428" t="b">
        <v>0</v>
      </c>
      <c r="P428" t="str">
        <f>TRIM(Before_Tbl[[#This Row],[Employee_ID]])</f>
        <v>EMP1426</v>
      </c>
      <c r="Q428" t="str">
        <f>TRIM(PROPER(Before_Tbl[[#This Row],[First_Name]]))</f>
        <v>David</v>
      </c>
      <c r="R428" t="str">
        <f>TRIM(PROPER(Before_Tbl[[#This Row],[Last_Name]]))</f>
        <v>Smith</v>
      </c>
      <c r="S428" s="25">
        <f t="shared" si="6"/>
        <v>30</v>
      </c>
      <c r="T428" t="str">
        <f>LEFT(Before_Tbl[[#This Row],[Department_Region]],FIND("-",Before_Tbl[[#This Row],[Department_Region]])-1)</f>
        <v>Admin</v>
      </c>
      <c r="U428" t="str">
        <f>RIGHT(Before_Tbl[[#This Row],[Department_Region]],LEN(Before_Tbl[[#This Row],[Department_Region]])-FIND("-",Before_Tbl[[#This Row],[Department_Region]]))</f>
        <v>New York</v>
      </c>
      <c r="V428" t="str">
        <f>TRIM(PROPER(Before_Tbl[[#This Row],[Status]]))</f>
        <v>Active</v>
      </c>
      <c r="W428" s="26">
        <v>44670</v>
      </c>
      <c r="X428" s="4">
        <v>51673.72</v>
      </c>
      <c r="Y428" t="str">
        <f>TRIM(LOWER(Before_Tbl[[#This Row],[Email]]))</f>
        <v>david.smith@example.com</v>
      </c>
      <c r="Z428" s="2" t="str">
        <f>SUBSTITUTE(Before_Tbl[[#This Row],[Phone]],"-","")</f>
        <v>8723244078</v>
      </c>
      <c r="AA428" t="str">
        <f>TRIM(PROPER(Before_Tbl[[#This Row],[Performance_Score]]))</f>
        <v>Poor</v>
      </c>
      <c r="AB428" s="2" t="str">
        <f>TRIM(UPPER(Before_Tbl[[#This Row],[Remote_Work]]))</f>
        <v>FALSE</v>
      </c>
    </row>
    <row r="429" spans="1:28" x14ac:dyDescent="0.35">
      <c r="A429" t="s">
        <v>789</v>
      </c>
      <c r="B429" t="s">
        <v>25</v>
      </c>
      <c r="C429" t="s">
        <v>20</v>
      </c>
      <c r="D429">
        <v>35</v>
      </c>
      <c r="E429" t="s">
        <v>85</v>
      </c>
      <c r="F429" t="s">
        <v>33</v>
      </c>
      <c r="G429" s="1">
        <v>45392</v>
      </c>
      <c r="H429">
        <v>101665.79</v>
      </c>
      <c r="I429" t="s">
        <v>80</v>
      </c>
      <c r="J429">
        <v>-3110291812</v>
      </c>
      <c r="K429" t="s">
        <v>41</v>
      </c>
      <c r="L429" t="b">
        <v>1</v>
      </c>
      <c r="P429" t="str">
        <f>TRIM(Before_Tbl[[#This Row],[Employee_ID]])</f>
        <v>EMP1427</v>
      </c>
      <c r="Q429" t="str">
        <f>TRIM(PROPER(Before_Tbl[[#This Row],[First_Name]]))</f>
        <v>Alice</v>
      </c>
      <c r="R429" t="str">
        <f>TRIM(PROPER(Before_Tbl[[#This Row],[Last_Name]]))</f>
        <v>Brown</v>
      </c>
      <c r="S429" s="25">
        <f t="shared" si="6"/>
        <v>35</v>
      </c>
      <c r="T429" t="str">
        <f>LEFT(Before_Tbl[[#This Row],[Department_Region]],FIND("-",Before_Tbl[[#This Row],[Department_Region]])-1)</f>
        <v>Cloud Tech</v>
      </c>
      <c r="U429" t="str">
        <f>RIGHT(Before_Tbl[[#This Row],[Department_Region]],LEN(Before_Tbl[[#This Row],[Department_Region]])-FIND("-",Before_Tbl[[#This Row],[Department_Region]]))</f>
        <v>Nevada</v>
      </c>
      <c r="V429" t="str">
        <f>TRIM(PROPER(Before_Tbl[[#This Row],[Status]]))</f>
        <v>Inactive</v>
      </c>
      <c r="W429" s="26">
        <v>45392</v>
      </c>
      <c r="X429" s="4">
        <v>101665.79</v>
      </c>
      <c r="Y429" t="str">
        <f>TRIM(LOWER(Before_Tbl[[#This Row],[Email]]))</f>
        <v>alice.brown@example.com</v>
      </c>
      <c r="Z429" s="2" t="str">
        <f>SUBSTITUTE(Before_Tbl[[#This Row],[Phone]],"-","")</f>
        <v>3110291812</v>
      </c>
      <c r="AA429" t="str">
        <f>TRIM(PROPER(Before_Tbl[[#This Row],[Performance_Score]]))</f>
        <v>Poor</v>
      </c>
      <c r="AB429" s="2" t="str">
        <f>TRIM(UPPER(Before_Tbl[[#This Row],[Remote_Work]]))</f>
        <v>TRUE</v>
      </c>
    </row>
    <row r="430" spans="1:28" x14ac:dyDescent="0.35">
      <c r="A430" t="s">
        <v>790</v>
      </c>
      <c r="B430" t="s">
        <v>59</v>
      </c>
      <c r="C430" t="s">
        <v>122</v>
      </c>
      <c r="E430" t="s">
        <v>205</v>
      </c>
      <c r="F430" t="s">
        <v>33</v>
      </c>
      <c r="G430" s="1">
        <v>43866</v>
      </c>
      <c r="H430">
        <v>118079.15</v>
      </c>
      <c r="I430" t="s">
        <v>341</v>
      </c>
      <c r="J430">
        <v>-3170876013</v>
      </c>
      <c r="K430" t="s">
        <v>30</v>
      </c>
      <c r="L430" t="b">
        <v>1</v>
      </c>
      <c r="P430" t="str">
        <f>TRIM(Before_Tbl[[#This Row],[Employee_ID]])</f>
        <v>EMP1428</v>
      </c>
      <c r="Q430" t="str">
        <f>TRIM(PROPER(Before_Tbl[[#This Row],[First_Name]]))</f>
        <v>David</v>
      </c>
      <c r="R430" t="str">
        <f>TRIM(PROPER(Before_Tbl[[#This Row],[Last_Name]]))</f>
        <v>Smith</v>
      </c>
      <c r="S430" s="25">
        <f t="shared" si="6"/>
        <v>30</v>
      </c>
      <c r="T430" t="str">
        <f>LEFT(Before_Tbl[[#This Row],[Department_Region]],FIND("-",Before_Tbl[[#This Row],[Department_Region]])-1)</f>
        <v>Admin</v>
      </c>
      <c r="U430" t="str">
        <f>RIGHT(Before_Tbl[[#This Row],[Department_Region]],LEN(Before_Tbl[[#This Row],[Department_Region]])-FIND("-",Before_Tbl[[#This Row],[Department_Region]]))</f>
        <v>Florida</v>
      </c>
      <c r="V430" t="str">
        <f>TRIM(PROPER(Before_Tbl[[#This Row],[Status]]))</f>
        <v>Inactive</v>
      </c>
      <c r="W430" s="26">
        <v>43866</v>
      </c>
      <c r="X430" s="4">
        <v>118079.15</v>
      </c>
      <c r="Y430" t="str">
        <f>TRIM(LOWER(Before_Tbl[[#This Row],[Email]]))</f>
        <v>david.smith@example.com</v>
      </c>
      <c r="Z430" s="2" t="str">
        <f>SUBSTITUTE(Before_Tbl[[#This Row],[Phone]],"-","")</f>
        <v>3170876013</v>
      </c>
      <c r="AA430" t="str">
        <f>TRIM(PROPER(Before_Tbl[[#This Row],[Performance_Score]]))</f>
        <v>Good</v>
      </c>
      <c r="AB430" s="2" t="str">
        <f>TRIM(UPPER(Before_Tbl[[#This Row],[Remote_Work]]))</f>
        <v>TRUE</v>
      </c>
    </row>
    <row r="431" spans="1:28" x14ac:dyDescent="0.35">
      <c r="A431" t="s">
        <v>791</v>
      </c>
      <c r="B431" t="s">
        <v>32</v>
      </c>
      <c r="C431" t="s">
        <v>20</v>
      </c>
      <c r="D431">
        <v>25</v>
      </c>
      <c r="E431" t="s">
        <v>60</v>
      </c>
      <c r="F431" t="s">
        <v>28</v>
      </c>
      <c r="G431" t="s">
        <v>557</v>
      </c>
      <c r="H431">
        <v>99059.28</v>
      </c>
      <c r="I431" t="s">
        <v>155</v>
      </c>
      <c r="J431">
        <v>-6723849790</v>
      </c>
      <c r="K431" t="s">
        <v>41</v>
      </c>
      <c r="L431" t="b">
        <v>0</v>
      </c>
      <c r="P431" t="str">
        <f>TRIM(Before_Tbl[[#This Row],[Employee_ID]])</f>
        <v>EMP1429</v>
      </c>
      <c r="Q431" t="str">
        <f>TRIM(PROPER(Before_Tbl[[#This Row],[First_Name]]))</f>
        <v>Eva</v>
      </c>
      <c r="R431" t="str">
        <f>TRIM(PROPER(Before_Tbl[[#This Row],[Last_Name]]))</f>
        <v>Brown</v>
      </c>
      <c r="S431" s="25">
        <f t="shared" si="6"/>
        <v>25</v>
      </c>
      <c r="T431" t="str">
        <f>LEFT(Before_Tbl[[#This Row],[Department_Region]],FIND("-",Before_Tbl[[#This Row],[Department_Region]])-1)</f>
        <v>Cloud Tech</v>
      </c>
      <c r="U431" t="str">
        <f>RIGHT(Before_Tbl[[#This Row],[Department_Region]],LEN(Before_Tbl[[#This Row],[Department_Region]])-FIND("-",Before_Tbl[[#This Row],[Department_Region]]))</f>
        <v>New York</v>
      </c>
      <c r="V431" t="str">
        <f>TRIM(PROPER(Before_Tbl[[#This Row],[Status]]))</f>
        <v>Pending</v>
      </c>
      <c r="W431" s="26">
        <v>44676</v>
      </c>
      <c r="X431" s="4">
        <v>99059.28</v>
      </c>
      <c r="Y431" t="str">
        <f>TRIM(LOWER(Before_Tbl[[#This Row],[Email]]))</f>
        <v>eva.brown@example.com</v>
      </c>
      <c r="Z431" s="2" t="str">
        <f>SUBSTITUTE(Before_Tbl[[#This Row],[Phone]],"-","")</f>
        <v>6723849790</v>
      </c>
      <c r="AA431" t="str">
        <f>TRIM(PROPER(Before_Tbl[[#This Row],[Performance_Score]]))</f>
        <v>Poor</v>
      </c>
      <c r="AB431" s="2" t="str">
        <f>TRIM(UPPER(Before_Tbl[[#This Row],[Remote_Work]]))</f>
        <v>FALSE</v>
      </c>
    </row>
    <row r="432" spans="1:28" x14ac:dyDescent="0.35">
      <c r="A432" t="s">
        <v>792</v>
      </c>
      <c r="B432" t="s">
        <v>13</v>
      </c>
      <c r="C432" t="s">
        <v>122</v>
      </c>
      <c r="E432" t="s">
        <v>95</v>
      </c>
      <c r="F432" t="s">
        <v>16</v>
      </c>
      <c r="G432" t="s">
        <v>793</v>
      </c>
      <c r="H432">
        <v>107397.4</v>
      </c>
      <c r="I432" t="s">
        <v>123</v>
      </c>
      <c r="J432">
        <v>-6202232882</v>
      </c>
      <c r="K432" t="s">
        <v>41</v>
      </c>
      <c r="L432" t="b">
        <v>0</v>
      </c>
      <c r="P432" t="str">
        <f>TRIM(Before_Tbl[[#This Row],[Employee_ID]])</f>
        <v>EMP1430</v>
      </c>
      <c r="Q432" t="str">
        <f>TRIM(PROPER(Before_Tbl[[#This Row],[First_Name]]))</f>
        <v>Bob</v>
      </c>
      <c r="R432" t="str">
        <f>TRIM(PROPER(Before_Tbl[[#This Row],[Last_Name]]))</f>
        <v>Smith</v>
      </c>
      <c r="S432" s="25">
        <f t="shared" si="6"/>
        <v>30</v>
      </c>
      <c r="T432" t="str">
        <f>LEFT(Before_Tbl[[#This Row],[Department_Region]],FIND("-",Before_Tbl[[#This Row],[Department_Region]])-1)</f>
        <v>Cloud Tech</v>
      </c>
      <c r="U432" t="str">
        <f>RIGHT(Before_Tbl[[#This Row],[Department_Region]],LEN(Before_Tbl[[#This Row],[Department_Region]])-FIND("-",Before_Tbl[[#This Row],[Department_Region]]))</f>
        <v>Illinois</v>
      </c>
      <c r="V432" t="str">
        <f>TRIM(PROPER(Before_Tbl[[#This Row],[Status]]))</f>
        <v>Active</v>
      </c>
      <c r="W432" s="26">
        <v>45136</v>
      </c>
      <c r="X432" s="4">
        <v>107397.4</v>
      </c>
      <c r="Y432" t="str">
        <f>TRIM(LOWER(Before_Tbl[[#This Row],[Email]]))</f>
        <v>bob.smith@example.com</v>
      </c>
      <c r="Z432" s="2" t="str">
        <f>SUBSTITUTE(Before_Tbl[[#This Row],[Phone]],"-","")</f>
        <v>6202232882</v>
      </c>
      <c r="AA432" t="str">
        <f>TRIM(PROPER(Before_Tbl[[#This Row],[Performance_Score]]))</f>
        <v>Poor</v>
      </c>
      <c r="AB432" s="2" t="str">
        <f>TRIM(UPPER(Before_Tbl[[#This Row],[Remote_Work]]))</f>
        <v>FALSE</v>
      </c>
    </row>
    <row r="433" spans="1:28" x14ac:dyDescent="0.35">
      <c r="A433" t="s">
        <v>794</v>
      </c>
      <c r="B433" t="s">
        <v>25</v>
      </c>
      <c r="C433" t="s">
        <v>92</v>
      </c>
      <c r="D433">
        <v>40</v>
      </c>
      <c r="E433" t="s">
        <v>56</v>
      </c>
      <c r="F433" t="s">
        <v>16</v>
      </c>
      <c r="G433" t="s">
        <v>795</v>
      </c>
      <c r="H433">
        <v>68269.37</v>
      </c>
      <c r="I433" t="s">
        <v>166</v>
      </c>
      <c r="J433">
        <v>-7744197545</v>
      </c>
      <c r="K433" t="s">
        <v>23</v>
      </c>
      <c r="L433" t="b">
        <v>0</v>
      </c>
      <c r="P433" t="str">
        <f>TRIM(Before_Tbl[[#This Row],[Employee_ID]])</f>
        <v>EMP1431</v>
      </c>
      <c r="Q433" t="str">
        <f>TRIM(PROPER(Before_Tbl[[#This Row],[First_Name]]))</f>
        <v>Alice</v>
      </c>
      <c r="R433" t="str">
        <f>TRIM(PROPER(Before_Tbl[[#This Row],[Last_Name]]))</f>
        <v>Miller</v>
      </c>
      <c r="S433" s="25">
        <f t="shared" si="6"/>
        <v>40</v>
      </c>
      <c r="T433" t="str">
        <f>LEFT(Before_Tbl[[#This Row],[Department_Region]],FIND("-",Before_Tbl[[#This Row],[Department_Region]])-1)</f>
        <v>DevOps</v>
      </c>
      <c r="U433" t="str">
        <f>RIGHT(Before_Tbl[[#This Row],[Department_Region]],LEN(Before_Tbl[[#This Row],[Department_Region]])-FIND("-",Before_Tbl[[#This Row],[Department_Region]]))</f>
        <v>New York</v>
      </c>
      <c r="V433" t="str">
        <f>TRIM(PROPER(Before_Tbl[[#This Row],[Status]]))</f>
        <v>Active</v>
      </c>
      <c r="W433" s="26">
        <v>44428</v>
      </c>
      <c r="X433" s="4">
        <v>68269.37</v>
      </c>
      <c r="Y433" t="str">
        <f>TRIM(LOWER(Before_Tbl[[#This Row],[Email]]))</f>
        <v>alice.miller@example.com</v>
      </c>
      <c r="Z433" s="2" t="str">
        <f>SUBSTITUTE(Before_Tbl[[#This Row],[Phone]],"-","")</f>
        <v>7744197545</v>
      </c>
      <c r="AA433" t="str">
        <f>TRIM(PROPER(Before_Tbl[[#This Row],[Performance_Score]]))</f>
        <v>Excellent</v>
      </c>
      <c r="AB433" s="2" t="str">
        <f>TRIM(UPPER(Before_Tbl[[#This Row],[Remote_Work]]))</f>
        <v>FALSE</v>
      </c>
    </row>
    <row r="434" spans="1:28" x14ac:dyDescent="0.35">
      <c r="A434" t="s">
        <v>796</v>
      </c>
      <c r="B434" t="s">
        <v>69</v>
      </c>
      <c r="C434" t="s">
        <v>26</v>
      </c>
      <c r="D434">
        <v>35</v>
      </c>
      <c r="E434" t="s">
        <v>212</v>
      </c>
      <c r="F434" t="s">
        <v>33</v>
      </c>
      <c r="G434" t="s">
        <v>797</v>
      </c>
      <c r="H434">
        <v>55228.12</v>
      </c>
      <c r="I434" t="s">
        <v>76</v>
      </c>
      <c r="J434">
        <v>-6176620470</v>
      </c>
      <c r="K434" t="s">
        <v>41</v>
      </c>
      <c r="L434" t="b">
        <v>1</v>
      </c>
      <c r="P434" t="str">
        <f>TRIM(Before_Tbl[[#This Row],[Employee_ID]])</f>
        <v>EMP1432</v>
      </c>
      <c r="Q434" t="str">
        <f>TRIM(PROPER(Before_Tbl[[#This Row],[First_Name]]))</f>
        <v>Grace</v>
      </c>
      <c r="R434" t="str">
        <f>TRIM(PROPER(Before_Tbl[[#This Row],[Last_Name]]))</f>
        <v>Jones</v>
      </c>
      <c r="S434" s="25">
        <f t="shared" si="6"/>
        <v>35</v>
      </c>
      <c r="T434" t="str">
        <f>LEFT(Before_Tbl[[#This Row],[Department_Region]],FIND("-",Before_Tbl[[#This Row],[Department_Region]])-1)</f>
        <v>HR</v>
      </c>
      <c r="U434" t="str">
        <f>RIGHT(Before_Tbl[[#This Row],[Department_Region]],LEN(Before_Tbl[[#This Row],[Department_Region]])-FIND("-",Before_Tbl[[#This Row],[Department_Region]]))</f>
        <v>Florida</v>
      </c>
      <c r="V434" t="str">
        <f>TRIM(PROPER(Before_Tbl[[#This Row],[Status]]))</f>
        <v>Inactive</v>
      </c>
      <c r="W434" s="26">
        <v>44309</v>
      </c>
      <c r="X434" s="4">
        <v>55228.12</v>
      </c>
      <c r="Y434" t="str">
        <f>TRIM(LOWER(Before_Tbl[[#This Row],[Email]]))</f>
        <v>grace.jones@example.com</v>
      </c>
      <c r="Z434" s="2" t="str">
        <f>SUBSTITUTE(Before_Tbl[[#This Row],[Phone]],"-","")</f>
        <v>6176620470</v>
      </c>
      <c r="AA434" t="str">
        <f>TRIM(PROPER(Before_Tbl[[#This Row],[Performance_Score]]))</f>
        <v>Poor</v>
      </c>
      <c r="AB434" s="2" t="str">
        <f>TRIM(UPPER(Before_Tbl[[#This Row],[Remote_Work]]))</f>
        <v>TRUE</v>
      </c>
    </row>
    <row r="435" spans="1:28" x14ac:dyDescent="0.35">
      <c r="A435" t="s">
        <v>798</v>
      </c>
      <c r="B435" t="s">
        <v>13</v>
      </c>
      <c r="C435" t="s">
        <v>43</v>
      </c>
      <c r="D435">
        <v>30</v>
      </c>
      <c r="E435" t="s">
        <v>60</v>
      </c>
      <c r="F435" t="s">
        <v>33</v>
      </c>
      <c r="G435" s="1">
        <v>44903</v>
      </c>
      <c r="H435">
        <v>71982.33</v>
      </c>
      <c r="I435" t="s">
        <v>153</v>
      </c>
      <c r="J435">
        <v>-9609409704</v>
      </c>
      <c r="K435" t="s">
        <v>18</v>
      </c>
      <c r="L435" t="b">
        <v>0</v>
      </c>
      <c r="P435" t="str">
        <f>TRIM(Before_Tbl[[#This Row],[Employee_ID]])</f>
        <v>EMP1433</v>
      </c>
      <c r="Q435" t="str">
        <f>TRIM(PROPER(Before_Tbl[[#This Row],[First_Name]]))</f>
        <v>Bob</v>
      </c>
      <c r="R435" t="str">
        <f>TRIM(PROPER(Before_Tbl[[#This Row],[Last_Name]]))</f>
        <v>Garcia</v>
      </c>
      <c r="S435" s="25">
        <f t="shared" si="6"/>
        <v>30</v>
      </c>
      <c r="T435" t="str">
        <f>LEFT(Before_Tbl[[#This Row],[Department_Region]],FIND("-",Before_Tbl[[#This Row],[Department_Region]])-1)</f>
        <v>Cloud Tech</v>
      </c>
      <c r="U435" t="str">
        <f>RIGHT(Before_Tbl[[#This Row],[Department_Region]],LEN(Before_Tbl[[#This Row],[Department_Region]])-FIND("-",Before_Tbl[[#This Row],[Department_Region]]))</f>
        <v>New York</v>
      </c>
      <c r="V435" t="str">
        <f>TRIM(PROPER(Before_Tbl[[#This Row],[Status]]))</f>
        <v>Inactive</v>
      </c>
      <c r="W435" s="26">
        <v>44903</v>
      </c>
      <c r="X435" s="4">
        <v>71982.33</v>
      </c>
      <c r="Y435" t="str">
        <f>TRIM(LOWER(Before_Tbl[[#This Row],[Email]]))</f>
        <v>bob.garcia@example.com</v>
      </c>
      <c r="Z435" s="2" t="str">
        <f>SUBSTITUTE(Before_Tbl[[#This Row],[Phone]],"-","")</f>
        <v>9609409704</v>
      </c>
      <c r="AA435" t="str">
        <f>TRIM(PROPER(Before_Tbl[[#This Row],[Performance_Score]]))</f>
        <v>Average</v>
      </c>
      <c r="AB435" s="2" t="str">
        <f>TRIM(UPPER(Before_Tbl[[#This Row],[Remote_Work]]))</f>
        <v>FALSE</v>
      </c>
    </row>
    <row r="436" spans="1:28" x14ac:dyDescent="0.35">
      <c r="A436" t="s">
        <v>799</v>
      </c>
      <c r="B436" t="s">
        <v>37</v>
      </c>
      <c r="C436" t="s">
        <v>20</v>
      </c>
      <c r="D436">
        <v>30</v>
      </c>
      <c r="E436" t="s">
        <v>70</v>
      </c>
      <c r="F436" t="s">
        <v>33</v>
      </c>
      <c r="G436" t="s">
        <v>800</v>
      </c>
      <c r="H436">
        <v>109673.75</v>
      </c>
      <c r="I436" t="s">
        <v>239</v>
      </c>
      <c r="J436">
        <v>-2774025882</v>
      </c>
      <c r="K436" t="s">
        <v>23</v>
      </c>
      <c r="L436" t="b">
        <v>0</v>
      </c>
      <c r="P436" t="str">
        <f>TRIM(Before_Tbl[[#This Row],[Employee_ID]])</f>
        <v>EMP1434</v>
      </c>
      <c r="Q436" t="str">
        <f>TRIM(PROPER(Before_Tbl[[#This Row],[First_Name]]))</f>
        <v>Frank</v>
      </c>
      <c r="R436" t="str">
        <f>TRIM(PROPER(Before_Tbl[[#This Row],[Last_Name]]))</f>
        <v>Brown</v>
      </c>
      <c r="S436" s="25">
        <f t="shared" si="6"/>
        <v>30</v>
      </c>
      <c r="T436" t="str">
        <f>LEFT(Before_Tbl[[#This Row],[Department_Region]],FIND("-",Before_Tbl[[#This Row],[Department_Region]])-1)</f>
        <v>Finance</v>
      </c>
      <c r="U436" t="str">
        <f>RIGHT(Before_Tbl[[#This Row],[Department_Region]],LEN(Before_Tbl[[#This Row],[Department_Region]])-FIND("-",Before_Tbl[[#This Row],[Department_Region]]))</f>
        <v>California</v>
      </c>
      <c r="V436" t="str">
        <f>TRIM(PROPER(Before_Tbl[[#This Row],[Status]]))</f>
        <v>Inactive</v>
      </c>
      <c r="W436" s="26">
        <v>44373</v>
      </c>
      <c r="X436" s="4">
        <v>109673.75</v>
      </c>
      <c r="Y436" t="str">
        <f>TRIM(LOWER(Before_Tbl[[#This Row],[Email]]))</f>
        <v>frank.brown@example.com</v>
      </c>
      <c r="Z436" s="2" t="str">
        <f>SUBSTITUTE(Before_Tbl[[#This Row],[Phone]],"-","")</f>
        <v>2774025882</v>
      </c>
      <c r="AA436" t="str">
        <f>TRIM(PROPER(Before_Tbl[[#This Row],[Performance_Score]]))</f>
        <v>Excellent</v>
      </c>
      <c r="AB436" s="2" t="str">
        <f>TRIM(UPPER(Before_Tbl[[#This Row],[Remote_Work]]))</f>
        <v>FALSE</v>
      </c>
    </row>
    <row r="437" spans="1:28" x14ac:dyDescent="0.35">
      <c r="A437" t="s">
        <v>801</v>
      </c>
      <c r="B437" t="s">
        <v>32</v>
      </c>
      <c r="C437" t="s">
        <v>43</v>
      </c>
      <c r="E437" t="s">
        <v>60</v>
      </c>
      <c r="F437" t="s">
        <v>33</v>
      </c>
      <c r="G437" t="s">
        <v>802</v>
      </c>
      <c r="H437">
        <v>56384.9</v>
      </c>
      <c r="I437" t="s">
        <v>297</v>
      </c>
      <c r="J437">
        <v>-5868122594</v>
      </c>
      <c r="K437" t="s">
        <v>23</v>
      </c>
      <c r="L437" t="b">
        <v>1</v>
      </c>
      <c r="P437" t="str">
        <f>TRIM(Before_Tbl[[#This Row],[Employee_ID]])</f>
        <v>EMP1435</v>
      </c>
      <c r="Q437" t="str">
        <f>TRIM(PROPER(Before_Tbl[[#This Row],[First_Name]]))</f>
        <v>Eva</v>
      </c>
      <c r="R437" t="str">
        <f>TRIM(PROPER(Before_Tbl[[#This Row],[Last_Name]]))</f>
        <v>Garcia</v>
      </c>
      <c r="S437" s="25">
        <f t="shared" si="6"/>
        <v>30</v>
      </c>
      <c r="T437" t="str">
        <f>LEFT(Before_Tbl[[#This Row],[Department_Region]],FIND("-",Before_Tbl[[#This Row],[Department_Region]])-1)</f>
        <v>Cloud Tech</v>
      </c>
      <c r="U437" t="str">
        <f>RIGHT(Before_Tbl[[#This Row],[Department_Region]],LEN(Before_Tbl[[#This Row],[Department_Region]])-FIND("-",Before_Tbl[[#This Row],[Department_Region]]))</f>
        <v>New York</v>
      </c>
      <c r="V437" t="str">
        <f>TRIM(PROPER(Before_Tbl[[#This Row],[Status]]))</f>
        <v>Inactive</v>
      </c>
      <c r="W437" s="26">
        <v>44134</v>
      </c>
      <c r="X437" s="4">
        <v>56384.9</v>
      </c>
      <c r="Y437" t="str">
        <f>TRIM(LOWER(Before_Tbl[[#This Row],[Email]]))</f>
        <v>eva.garcia@example.com</v>
      </c>
      <c r="Z437" s="2" t="str">
        <f>SUBSTITUTE(Before_Tbl[[#This Row],[Phone]],"-","")</f>
        <v>5868122594</v>
      </c>
      <c r="AA437" t="str">
        <f>TRIM(PROPER(Before_Tbl[[#This Row],[Performance_Score]]))</f>
        <v>Excellent</v>
      </c>
      <c r="AB437" s="2" t="str">
        <f>TRIM(UPPER(Before_Tbl[[#This Row],[Remote_Work]]))</f>
        <v>TRUE</v>
      </c>
    </row>
    <row r="438" spans="1:28" x14ac:dyDescent="0.35">
      <c r="A438" t="s">
        <v>803</v>
      </c>
      <c r="B438" t="s">
        <v>37</v>
      </c>
      <c r="C438" t="s">
        <v>43</v>
      </c>
      <c r="D438">
        <v>40</v>
      </c>
      <c r="E438" t="s">
        <v>44</v>
      </c>
      <c r="F438" t="s">
        <v>28</v>
      </c>
      <c r="G438" s="1">
        <v>44295</v>
      </c>
      <c r="H438">
        <v>68211.679999999993</v>
      </c>
      <c r="I438" t="s">
        <v>180</v>
      </c>
      <c r="J438">
        <v>-7244617678</v>
      </c>
      <c r="K438" t="s">
        <v>30</v>
      </c>
      <c r="L438" t="b">
        <v>0</v>
      </c>
      <c r="P438" t="str">
        <f>TRIM(Before_Tbl[[#This Row],[Employee_ID]])</f>
        <v>EMP1436</v>
      </c>
      <c r="Q438" t="str">
        <f>TRIM(PROPER(Before_Tbl[[#This Row],[First_Name]]))</f>
        <v>Frank</v>
      </c>
      <c r="R438" t="str">
        <f>TRIM(PROPER(Before_Tbl[[#This Row],[Last_Name]]))</f>
        <v>Garcia</v>
      </c>
      <c r="S438" s="25">
        <f t="shared" si="6"/>
        <v>40</v>
      </c>
      <c r="T438" t="str">
        <f>LEFT(Before_Tbl[[#This Row],[Department_Region]],FIND("-",Before_Tbl[[#This Row],[Department_Region]])-1)</f>
        <v>Sales</v>
      </c>
      <c r="U438" t="str">
        <f>RIGHT(Before_Tbl[[#This Row],[Department_Region]],LEN(Before_Tbl[[#This Row],[Department_Region]])-FIND("-",Before_Tbl[[#This Row],[Department_Region]]))</f>
        <v>Texas</v>
      </c>
      <c r="V438" t="str">
        <f>TRIM(PROPER(Before_Tbl[[#This Row],[Status]]))</f>
        <v>Pending</v>
      </c>
      <c r="W438" s="26">
        <v>44295</v>
      </c>
      <c r="X438" s="4">
        <v>68211.679999999993</v>
      </c>
      <c r="Y438" t="str">
        <f>TRIM(LOWER(Before_Tbl[[#This Row],[Email]]))</f>
        <v>frank.garcia@example.com</v>
      </c>
      <c r="Z438" s="2" t="str">
        <f>SUBSTITUTE(Before_Tbl[[#This Row],[Phone]],"-","")</f>
        <v>7244617678</v>
      </c>
      <c r="AA438" t="str">
        <f>TRIM(PROPER(Before_Tbl[[#This Row],[Performance_Score]]))</f>
        <v>Good</v>
      </c>
      <c r="AB438" s="2" t="str">
        <f>TRIM(UPPER(Before_Tbl[[#This Row],[Remote_Work]]))</f>
        <v>FALSE</v>
      </c>
    </row>
    <row r="439" spans="1:28" x14ac:dyDescent="0.35">
      <c r="A439" t="s">
        <v>804</v>
      </c>
      <c r="B439" t="s">
        <v>25</v>
      </c>
      <c r="C439" t="s">
        <v>43</v>
      </c>
      <c r="D439">
        <v>40</v>
      </c>
      <c r="E439" t="s">
        <v>265</v>
      </c>
      <c r="F439" t="s">
        <v>28</v>
      </c>
      <c r="G439" t="s">
        <v>805</v>
      </c>
      <c r="H439">
        <v>67489.679999999993</v>
      </c>
      <c r="I439" t="s">
        <v>45</v>
      </c>
      <c r="J439">
        <v>-2988425994</v>
      </c>
      <c r="K439" t="s">
        <v>41</v>
      </c>
      <c r="L439" t="b">
        <v>0</v>
      </c>
      <c r="P439" t="str">
        <f>TRIM(Before_Tbl[[#This Row],[Employee_ID]])</f>
        <v>EMP1437</v>
      </c>
      <c r="Q439" t="str">
        <f>TRIM(PROPER(Before_Tbl[[#This Row],[First_Name]]))</f>
        <v>Alice</v>
      </c>
      <c r="R439" t="str">
        <f>TRIM(PROPER(Before_Tbl[[#This Row],[Last_Name]]))</f>
        <v>Garcia</v>
      </c>
      <c r="S439" s="25">
        <f t="shared" si="6"/>
        <v>40</v>
      </c>
      <c r="T439" t="str">
        <f>LEFT(Before_Tbl[[#This Row],[Department_Region]],FIND("-",Before_Tbl[[#This Row],[Department_Region]])-1)</f>
        <v>Finance</v>
      </c>
      <c r="U439" t="str">
        <f>RIGHT(Before_Tbl[[#This Row],[Department_Region]],LEN(Before_Tbl[[#This Row],[Department_Region]])-FIND("-",Before_Tbl[[#This Row],[Department_Region]]))</f>
        <v>Illinois</v>
      </c>
      <c r="V439" t="str">
        <f>TRIM(PROPER(Before_Tbl[[#This Row],[Status]]))</f>
        <v>Pending</v>
      </c>
      <c r="W439" s="26">
        <v>44957</v>
      </c>
      <c r="X439" s="4">
        <v>67489.679999999993</v>
      </c>
      <c r="Y439" t="str">
        <f>TRIM(LOWER(Before_Tbl[[#This Row],[Email]]))</f>
        <v>alice.garcia@example.com</v>
      </c>
      <c r="Z439" s="2" t="str">
        <f>SUBSTITUTE(Before_Tbl[[#This Row],[Phone]],"-","")</f>
        <v>2988425994</v>
      </c>
      <c r="AA439" t="str">
        <f>TRIM(PROPER(Before_Tbl[[#This Row],[Performance_Score]]))</f>
        <v>Poor</v>
      </c>
      <c r="AB439" s="2" t="str">
        <f>TRIM(UPPER(Before_Tbl[[#This Row],[Remote_Work]]))</f>
        <v>FALSE</v>
      </c>
    </row>
    <row r="440" spans="1:28" x14ac:dyDescent="0.35">
      <c r="A440" t="s">
        <v>806</v>
      </c>
      <c r="B440" t="s">
        <v>54</v>
      </c>
      <c r="C440" t="s">
        <v>14</v>
      </c>
      <c r="D440">
        <v>25</v>
      </c>
      <c r="E440" t="s">
        <v>159</v>
      </c>
      <c r="F440" t="s">
        <v>16</v>
      </c>
      <c r="G440" t="s">
        <v>807</v>
      </c>
      <c r="H440">
        <v>63869.31</v>
      </c>
      <c r="I440" t="s">
        <v>170</v>
      </c>
      <c r="J440">
        <v>-9961002310</v>
      </c>
      <c r="K440" t="s">
        <v>30</v>
      </c>
      <c r="L440" t="b">
        <v>0</v>
      </c>
      <c r="P440" t="str">
        <f>TRIM(Before_Tbl[[#This Row],[Employee_ID]])</f>
        <v>EMP1438</v>
      </c>
      <c r="Q440" t="str">
        <f>TRIM(PROPER(Before_Tbl[[#This Row],[First_Name]]))</f>
        <v>Charlie</v>
      </c>
      <c r="R440" t="str">
        <f>TRIM(PROPER(Before_Tbl[[#This Row],[Last_Name]]))</f>
        <v>Davis</v>
      </c>
      <c r="S440" s="25">
        <f t="shared" si="6"/>
        <v>25</v>
      </c>
      <c r="T440" t="str">
        <f>LEFT(Before_Tbl[[#This Row],[Department_Region]],FIND("-",Before_Tbl[[#This Row],[Department_Region]])-1)</f>
        <v>Cloud Tech</v>
      </c>
      <c r="U440" t="str">
        <f>RIGHT(Before_Tbl[[#This Row],[Department_Region]],LEN(Before_Tbl[[#This Row],[Department_Region]])-FIND("-",Before_Tbl[[#This Row],[Department_Region]]))</f>
        <v>Texas</v>
      </c>
      <c r="V440" t="str">
        <f>TRIM(PROPER(Before_Tbl[[#This Row],[Status]]))</f>
        <v>Active</v>
      </c>
      <c r="W440" s="26">
        <v>44098</v>
      </c>
      <c r="X440" s="4">
        <v>63869.31</v>
      </c>
      <c r="Y440" t="str">
        <f>TRIM(LOWER(Before_Tbl[[#This Row],[Email]]))</f>
        <v>charlie.davis@example.com</v>
      </c>
      <c r="Z440" s="2" t="str">
        <f>SUBSTITUTE(Before_Tbl[[#This Row],[Phone]],"-","")</f>
        <v>9961002310</v>
      </c>
      <c r="AA440" t="str">
        <f>TRIM(PROPER(Before_Tbl[[#This Row],[Performance_Score]]))</f>
        <v>Good</v>
      </c>
      <c r="AB440" s="2" t="str">
        <f>TRIM(UPPER(Before_Tbl[[#This Row],[Remote_Work]]))</f>
        <v>FALSE</v>
      </c>
    </row>
    <row r="441" spans="1:28" x14ac:dyDescent="0.35">
      <c r="A441" t="s">
        <v>808</v>
      </c>
      <c r="B441" t="s">
        <v>13</v>
      </c>
      <c r="C441" t="s">
        <v>38</v>
      </c>
      <c r="E441" t="s">
        <v>177</v>
      </c>
      <c r="F441" t="s">
        <v>16</v>
      </c>
      <c r="G441" t="s">
        <v>347</v>
      </c>
      <c r="H441">
        <v>119801.3</v>
      </c>
      <c r="I441" t="s">
        <v>144</v>
      </c>
      <c r="J441">
        <v>-7753312660</v>
      </c>
      <c r="K441" t="s">
        <v>18</v>
      </c>
      <c r="L441" t="b">
        <v>1</v>
      </c>
      <c r="P441" t="str">
        <f>TRIM(Before_Tbl[[#This Row],[Employee_ID]])</f>
        <v>EMP1439</v>
      </c>
      <c r="Q441" t="str">
        <f>TRIM(PROPER(Before_Tbl[[#This Row],[First_Name]]))</f>
        <v>Bob</v>
      </c>
      <c r="R441" t="str">
        <f>TRIM(PROPER(Before_Tbl[[#This Row],[Last_Name]]))</f>
        <v>Williams</v>
      </c>
      <c r="S441" s="25">
        <f t="shared" si="6"/>
        <v>30</v>
      </c>
      <c r="T441" t="str">
        <f>LEFT(Before_Tbl[[#This Row],[Department_Region]],FIND("-",Before_Tbl[[#This Row],[Department_Region]])-1)</f>
        <v>Sales</v>
      </c>
      <c r="U441" t="str">
        <f>RIGHT(Before_Tbl[[#This Row],[Department_Region]],LEN(Before_Tbl[[#This Row],[Department_Region]])-FIND("-",Before_Tbl[[#This Row],[Department_Region]]))</f>
        <v>California</v>
      </c>
      <c r="V441" t="str">
        <f>TRIM(PROPER(Before_Tbl[[#This Row],[Status]]))</f>
        <v>Active</v>
      </c>
      <c r="W441" s="26">
        <v>43875</v>
      </c>
      <c r="X441" s="4">
        <v>119801.3</v>
      </c>
      <c r="Y441" t="str">
        <f>TRIM(LOWER(Before_Tbl[[#This Row],[Email]]))</f>
        <v>bob.williams@example.com</v>
      </c>
      <c r="Z441" s="2" t="str">
        <f>SUBSTITUTE(Before_Tbl[[#This Row],[Phone]],"-","")</f>
        <v>7753312660</v>
      </c>
      <c r="AA441" t="str">
        <f>TRIM(PROPER(Before_Tbl[[#This Row],[Performance_Score]]))</f>
        <v>Average</v>
      </c>
      <c r="AB441" s="2" t="str">
        <f>TRIM(UPPER(Before_Tbl[[#This Row],[Remote_Work]]))</f>
        <v>TRUE</v>
      </c>
    </row>
    <row r="442" spans="1:28" x14ac:dyDescent="0.35">
      <c r="A442" t="s">
        <v>809</v>
      </c>
      <c r="B442" t="s">
        <v>65</v>
      </c>
      <c r="C442" t="s">
        <v>122</v>
      </c>
      <c r="D442">
        <v>30</v>
      </c>
      <c r="E442" t="s">
        <v>268</v>
      </c>
      <c r="F442" t="s">
        <v>16</v>
      </c>
      <c r="G442" t="s">
        <v>810</v>
      </c>
      <c r="H442">
        <v>115959.65</v>
      </c>
      <c r="I442" t="s">
        <v>367</v>
      </c>
      <c r="J442">
        <v>-941017589</v>
      </c>
      <c r="K442" t="s">
        <v>23</v>
      </c>
      <c r="L442" t="b">
        <v>1</v>
      </c>
      <c r="P442" t="str">
        <f>TRIM(Before_Tbl[[#This Row],[Employee_ID]])</f>
        <v>EMP1440</v>
      </c>
      <c r="Q442" t="str">
        <f>TRIM(PROPER(Before_Tbl[[#This Row],[First_Name]]))</f>
        <v>Heidi</v>
      </c>
      <c r="R442" t="str">
        <f>TRIM(PROPER(Before_Tbl[[#This Row],[Last_Name]]))</f>
        <v>Smith</v>
      </c>
      <c r="S442" s="25">
        <f t="shared" si="6"/>
        <v>30</v>
      </c>
      <c r="T442" t="str">
        <f>LEFT(Before_Tbl[[#This Row],[Department_Region]],FIND("-",Before_Tbl[[#This Row],[Department_Region]])-1)</f>
        <v>Cloud Tech</v>
      </c>
      <c r="U442" t="str">
        <f>RIGHT(Before_Tbl[[#This Row],[Department_Region]],LEN(Before_Tbl[[#This Row],[Department_Region]])-FIND("-",Before_Tbl[[#This Row],[Department_Region]]))</f>
        <v>California</v>
      </c>
      <c r="V442" t="str">
        <f>TRIM(PROPER(Before_Tbl[[#This Row],[Status]]))</f>
        <v>Active</v>
      </c>
      <c r="W442" s="26">
        <v>43918</v>
      </c>
      <c r="X442" s="4">
        <v>115959.65</v>
      </c>
      <c r="Y442" t="str">
        <f>TRIM(LOWER(Before_Tbl[[#This Row],[Email]]))</f>
        <v>heidi.smith@example.com</v>
      </c>
      <c r="Z442" s="2" t="str">
        <f>SUBSTITUTE(Before_Tbl[[#This Row],[Phone]],"-","")</f>
        <v>941017589</v>
      </c>
      <c r="AA442" t="str">
        <f>TRIM(PROPER(Before_Tbl[[#This Row],[Performance_Score]]))</f>
        <v>Excellent</v>
      </c>
      <c r="AB442" s="2" t="str">
        <f>TRIM(UPPER(Before_Tbl[[#This Row],[Remote_Work]]))</f>
        <v>TRUE</v>
      </c>
    </row>
    <row r="443" spans="1:28" x14ac:dyDescent="0.35">
      <c r="A443" t="s">
        <v>811</v>
      </c>
      <c r="B443" t="s">
        <v>69</v>
      </c>
      <c r="C443" t="s">
        <v>43</v>
      </c>
      <c r="D443">
        <v>40</v>
      </c>
      <c r="E443" t="s">
        <v>21</v>
      </c>
      <c r="F443" t="s">
        <v>33</v>
      </c>
      <c r="G443" t="s">
        <v>812</v>
      </c>
      <c r="H443">
        <v>79866.48</v>
      </c>
      <c r="I443" t="s">
        <v>83</v>
      </c>
      <c r="J443">
        <v>-2517629832</v>
      </c>
      <c r="K443" t="s">
        <v>23</v>
      </c>
      <c r="L443" t="b">
        <v>1</v>
      </c>
      <c r="P443" t="str">
        <f>TRIM(Before_Tbl[[#This Row],[Employee_ID]])</f>
        <v>EMP1441</v>
      </c>
      <c r="Q443" t="str">
        <f>TRIM(PROPER(Before_Tbl[[#This Row],[First_Name]]))</f>
        <v>Grace</v>
      </c>
      <c r="R443" t="str">
        <f>TRIM(PROPER(Before_Tbl[[#This Row],[Last_Name]]))</f>
        <v>Garcia</v>
      </c>
      <c r="S443" s="25">
        <f t="shared" si="6"/>
        <v>40</v>
      </c>
      <c r="T443" t="str">
        <f>LEFT(Before_Tbl[[#This Row],[Department_Region]],FIND("-",Before_Tbl[[#This Row],[Department_Region]])-1)</f>
        <v>Finance</v>
      </c>
      <c r="U443" t="str">
        <f>RIGHT(Before_Tbl[[#This Row],[Department_Region]],LEN(Before_Tbl[[#This Row],[Department_Region]])-FIND("-",Before_Tbl[[#This Row],[Department_Region]]))</f>
        <v>Texas</v>
      </c>
      <c r="V443" t="str">
        <f>TRIM(PROPER(Before_Tbl[[#This Row],[Status]]))</f>
        <v>Inactive</v>
      </c>
      <c r="W443" s="26">
        <v>45230</v>
      </c>
      <c r="X443" s="4">
        <v>79866.48</v>
      </c>
      <c r="Y443" t="str">
        <f>TRIM(LOWER(Before_Tbl[[#This Row],[Email]]))</f>
        <v>grace.garcia@example.com</v>
      </c>
      <c r="Z443" s="2" t="str">
        <f>SUBSTITUTE(Before_Tbl[[#This Row],[Phone]],"-","")</f>
        <v>2517629832</v>
      </c>
      <c r="AA443" t="str">
        <f>TRIM(PROPER(Before_Tbl[[#This Row],[Performance_Score]]))</f>
        <v>Excellent</v>
      </c>
      <c r="AB443" s="2" t="str">
        <f>TRIM(UPPER(Before_Tbl[[#This Row],[Remote_Work]]))</f>
        <v>TRUE</v>
      </c>
    </row>
    <row r="444" spans="1:28" x14ac:dyDescent="0.35">
      <c r="A444" t="s">
        <v>813</v>
      </c>
      <c r="B444" t="s">
        <v>54</v>
      </c>
      <c r="C444" t="s">
        <v>122</v>
      </c>
      <c r="D444">
        <v>35</v>
      </c>
      <c r="E444" t="s">
        <v>212</v>
      </c>
      <c r="F444" t="s">
        <v>16</v>
      </c>
      <c r="G444" s="1">
        <v>44138</v>
      </c>
      <c r="H444">
        <v>92987.46</v>
      </c>
      <c r="I444" t="s">
        <v>194</v>
      </c>
      <c r="J444">
        <v>-4774332682</v>
      </c>
      <c r="K444" t="s">
        <v>23</v>
      </c>
      <c r="L444" t="b">
        <v>1</v>
      </c>
      <c r="P444" t="str">
        <f>TRIM(Before_Tbl[[#This Row],[Employee_ID]])</f>
        <v>EMP1442</v>
      </c>
      <c r="Q444" t="str">
        <f>TRIM(PROPER(Before_Tbl[[#This Row],[First_Name]]))</f>
        <v>Charlie</v>
      </c>
      <c r="R444" t="str">
        <f>TRIM(PROPER(Before_Tbl[[#This Row],[Last_Name]]))</f>
        <v>Smith</v>
      </c>
      <c r="S444" s="25">
        <f t="shared" si="6"/>
        <v>35</v>
      </c>
      <c r="T444" t="str">
        <f>LEFT(Before_Tbl[[#This Row],[Department_Region]],FIND("-",Before_Tbl[[#This Row],[Department_Region]])-1)</f>
        <v>HR</v>
      </c>
      <c r="U444" t="str">
        <f>RIGHT(Before_Tbl[[#This Row],[Department_Region]],LEN(Before_Tbl[[#This Row],[Department_Region]])-FIND("-",Before_Tbl[[#This Row],[Department_Region]]))</f>
        <v>Florida</v>
      </c>
      <c r="V444" t="str">
        <f>TRIM(PROPER(Before_Tbl[[#This Row],[Status]]))</f>
        <v>Active</v>
      </c>
      <c r="W444" s="26">
        <v>44138</v>
      </c>
      <c r="X444" s="4">
        <v>92987.46</v>
      </c>
      <c r="Y444" t="str">
        <f>TRIM(LOWER(Before_Tbl[[#This Row],[Email]]))</f>
        <v>charlie.smith@example.com</v>
      </c>
      <c r="Z444" s="2" t="str">
        <f>SUBSTITUTE(Before_Tbl[[#This Row],[Phone]],"-","")</f>
        <v>4774332682</v>
      </c>
      <c r="AA444" t="str">
        <f>TRIM(PROPER(Before_Tbl[[#This Row],[Performance_Score]]))</f>
        <v>Excellent</v>
      </c>
      <c r="AB444" s="2" t="str">
        <f>TRIM(UPPER(Before_Tbl[[#This Row],[Remote_Work]]))</f>
        <v>TRUE</v>
      </c>
    </row>
    <row r="445" spans="1:28" x14ac:dyDescent="0.35">
      <c r="A445" t="s">
        <v>814</v>
      </c>
      <c r="B445" t="s">
        <v>32</v>
      </c>
      <c r="C445" t="s">
        <v>43</v>
      </c>
      <c r="D445">
        <v>40</v>
      </c>
      <c r="E445" t="s">
        <v>265</v>
      </c>
      <c r="F445" t="s">
        <v>33</v>
      </c>
      <c r="G445" s="1">
        <v>43926</v>
      </c>
      <c r="H445">
        <v>56140.51</v>
      </c>
      <c r="I445" t="s">
        <v>297</v>
      </c>
      <c r="J445">
        <v>-1901302055</v>
      </c>
      <c r="K445" t="s">
        <v>18</v>
      </c>
      <c r="L445" t="b">
        <v>0</v>
      </c>
      <c r="P445" t="str">
        <f>TRIM(Before_Tbl[[#This Row],[Employee_ID]])</f>
        <v>EMP1443</v>
      </c>
      <c r="Q445" t="str">
        <f>TRIM(PROPER(Before_Tbl[[#This Row],[First_Name]]))</f>
        <v>Eva</v>
      </c>
      <c r="R445" t="str">
        <f>TRIM(PROPER(Before_Tbl[[#This Row],[Last_Name]]))</f>
        <v>Garcia</v>
      </c>
      <c r="S445" s="25">
        <f t="shared" si="6"/>
        <v>40</v>
      </c>
      <c r="T445" t="str">
        <f>LEFT(Before_Tbl[[#This Row],[Department_Region]],FIND("-",Before_Tbl[[#This Row],[Department_Region]])-1)</f>
        <v>Finance</v>
      </c>
      <c r="U445" t="str">
        <f>RIGHT(Before_Tbl[[#This Row],[Department_Region]],LEN(Before_Tbl[[#This Row],[Department_Region]])-FIND("-",Before_Tbl[[#This Row],[Department_Region]]))</f>
        <v>Illinois</v>
      </c>
      <c r="V445" t="str">
        <f>TRIM(PROPER(Before_Tbl[[#This Row],[Status]]))</f>
        <v>Inactive</v>
      </c>
      <c r="W445" s="26">
        <v>43926</v>
      </c>
      <c r="X445" s="4">
        <v>56140.51</v>
      </c>
      <c r="Y445" t="str">
        <f>TRIM(LOWER(Before_Tbl[[#This Row],[Email]]))</f>
        <v>eva.garcia@example.com</v>
      </c>
      <c r="Z445" s="2" t="str">
        <f>SUBSTITUTE(Before_Tbl[[#This Row],[Phone]],"-","")</f>
        <v>1901302055</v>
      </c>
      <c r="AA445" t="str">
        <f>TRIM(PROPER(Before_Tbl[[#This Row],[Performance_Score]]))</f>
        <v>Average</v>
      </c>
      <c r="AB445" s="2" t="str">
        <f>TRIM(UPPER(Before_Tbl[[#This Row],[Remote_Work]]))</f>
        <v>FALSE</v>
      </c>
    </row>
    <row r="446" spans="1:28" x14ac:dyDescent="0.35">
      <c r="A446" t="s">
        <v>815</v>
      </c>
      <c r="B446" t="s">
        <v>69</v>
      </c>
      <c r="C446" t="s">
        <v>20</v>
      </c>
      <c r="D446">
        <v>30</v>
      </c>
      <c r="E446" t="s">
        <v>78</v>
      </c>
      <c r="F446" t="s">
        <v>16</v>
      </c>
      <c r="G446" t="s">
        <v>816</v>
      </c>
      <c r="H446">
        <v>119586.11</v>
      </c>
      <c r="I446" t="s">
        <v>201</v>
      </c>
      <c r="J446">
        <v>-9815287338</v>
      </c>
      <c r="K446" t="s">
        <v>18</v>
      </c>
      <c r="L446" t="b">
        <v>1</v>
      </c>
      <c r="P446" t="str">
        <f>TRIM(Before_Tbl[[#This Row],[Employee_ID]])</f>
        <v>EMP1444</v>
      </c>
      <c r="Q446" t="str">
        <f>TRIM(PROPER(Before_Tbl[[#This Row],[First_Name]]))</f>
        <v>Grace</v>
      </c>
      <c r="R446" t="str">
        <f>TRIM(PROPER(Before_Tbl[[#This Row],[Last_Name]]))</f>
        <v>Brown</v>
      </c>
      <c r="S446" s="25">
        <f t="shared" si="6"/>
        <v>30</v>
      </c>
      <c r="T446" t="str">
        <f>LEFT(Before_Tbl[[#This Row],[Department_Region]],FIND("-",Before_Tbl[[#This Row],[Department_Region]])-1)</f>
        <v>DevOps</v>
      </c>
      <c r="U446" t="str">
        <f>RIGHT(Before_Tbl[[#This Row],[Department_Region]],LEN(Before_Tbl[[#This Row],[Department_Region]])-FIND("-",Before_Tbl[[#This Row],[Department_Region]]))</f>
        <v>Illinois</v>
      </c>
      <c r="V446" t="str">
        <f>TRIM(PROPER(Before_Tbl[[#This Row],[Status]]))</f>
        <v>Active</v>
      </c>
      <c r="W446" s="26">
        <v>45122</v>
      </c>
      <c r="X446" s="4">
        <v>119586.11</v>
      </c>
      <c r="Y446" t="str">
        <f>TRIM(LOWER(Before_Tbl[[#This Row],[Email]]))</f>
        <v>grace.brown@example.com</v>
      </c>
      <c r="Z446" s="2" t="str">
        <f>SUBSTITUTE(Before_Tbl[[#This Row],[Phone]],"-","")</f>
        <v>9815287338</v>
      </c>
      <c r="AA446" t="str">
        <f>TRIM(PROPER(Before_Tbl[[#This Row],[Performance_Score]]))</f>
        <v>Average</v>
      </c>
      <c r="AB446" s="2" t="str">
        <f>TRIM(UPPER(Before_Tbl[[#This Row],[Remote_Work]]))</f>
        <v>TRUE</v>
      </c>
    </row>
    <row r="447" spans="1:28" x14ac:dyDescent="0.35">
      <c r="A447" t="s">
        <v>817</v>
      </c>
      <c r="B447" t="s">
        <v>25</v>
      </c>
      <c r="C447" t="s">
        <v>38</v>
      </c>
      <c r="D447">
        <v>40</v>
      </c>
      <c r="E447" t="s">
        <v>15</v>
      </c>
      <c r="F447" t="s">
        <v>33</v>
      </c>
      <c r="G447" t="s">
        <v>373</v>
      </c>
      <c r="H447">
        <v>104700.46</v>
      </c>
      <c r="I447" t="s">
        <v>363</v>
      </c>
      <c r="J447">
        <v>-7855982175</v>
      </c>
      <c r="K447" t="s">
        <v>30</v>
      </c>
      <c r="L447" t="b">
        <v>1</v>
      </c>
      <c r="P447" t="str">
        <f>TRIM(Before_Tbl[[#This Row],[Employee_ID]])</f>
        <v>EMP1445</v>
      </c>
      <c r="Q447" t="str">
        <f>TRIM(PROPER(Before_Tbl[[#This Row],[First_Name]]))</f>
        <v>Alice</v>
      </c>
      <c r="R447" t="str">
        <f>TRIM(PROPER(Before_Tbl[[#This Row],[Last_Name]]))</f>
        <v>Williams</v>
      </c>
      <c r="S447" s="25">
        <f t="shared" si="6"/>
        <v>40</v>
      </c>
      <c r="T447" t="str">
        <f>LEFT(Before_Tbl[[#This Row],[Department_Region]],FIND("-",Before_Tbl[[#This Row],[Department_Region]])-1)</f>
        <v>DevOps</v>
      </c>
      <c r="U447" t="str">
        <f>RIGHT(Before_Tbl[[#This Row],[Department_Region]],LEN(Before_Tbl[[#This Row],[Department_Region]])-FIND("-",Before_Tbl[[#This Row],[Department_Region]]))</f>
        <v>California</v>
      </c>
      <c r="V447" t="str">
        <f>TRIM(PROPER(Before_Tbl[[#This Row],[Status]]))</f>
        <v>Inactive</v>
      </c>
      <c r="W447" s="26">
        <v>44946</v>
      </c>
      <c r="X447" s="4">
        <v>104700.46</v>
      </c>
      <c r="Y447" t="str">
        <f>TRIM(LOWER(Before_Tbl[[#This Row],[Email]]))</f>
        <v>alice.williams@example.com</v>
      </c>
      <c r="Z447" s="2" t="str">
        <f>SUBSTITUTE(Before_Tbl[[#This Row],[Phone]],"-","")</f>
        <v>7855982175</v>
      </c>
      <c r="AA447" t="str">
        <f>TRIM(PROPER(Before_Tbl[[#This Row],[Performance_Score]]))</f>
        <v>Good</v>
      </c>
      <c r="AB447" s="2" t="str">
        <f>TRIM(UPPER(Before_Tbl[[#This Row],[Remote_Work]]))</f>
        <v>TRUE</v>
      </c>
    </row>
    <row r="448" spans="1:28" x14ac:dyDescent="0.35">
      <c r="A448" t="s">
        <v>818</v>
      </c>
      <c r="B448" t="s">
        <v>37</v>
      </c>
      <c r="C448" t="s">
        <v>38</v>
      </c>
      <c r="D448">
        <v>40</v>
      </c>
      <c r="E448" t="s">
        <v>66</v>
      </c>
      <c r="F448" t="s">
        <v>16</v>
      </c>
      <c r="G448" t="s">
        <v>684</v>
      </c>
      <c r="H448">
        <v>91798.14</v>
      </c>
      <c r="I448" t="s">
        <v>40</v>
      </c>
      <c r="J448">
        <v>-6191284116</v>
      </c>
      <c r="K448" t="s">
        <v>30</v>
      </c>
      <c r="L448" t="b">
        <v>0</v>
      </c>
      <c r="P448" t="str">
        <f>TRIM(Before_Tbl[[#This Row],[Employee_ID]])</f>
        <v>EMP1446</v>
      </c>
      <c r="Q448" t="str">
        <f>TRIM(PROPER(Before_Tbl[[#This Row],[First_Name]]))</f>
        <v>Frank</v>
      </c>
      <c r="R448" t="str">
        <f>TRIM(PROPER(Before_Tbl[[#This Row],[Last_Name]]))</f>
        <v>Williams</v>
      </c>
      <c r="S448" s="25">
        <f t="shared" si="6"/>
        <v>40</v>
      </c>
      <c r="T448" t="str">
        <f>LEFT(Before_Tbl[[#This Row],[Department_Region]],FIND("-",Before_Tbl[[#This Row],[Department_Region]])-1)</f>
        <v>HR</v>
      </c>
      <c r="U448" t="str">
        <f>RIGHT(Before_Tbl[[#This Row],[Department_Region]],LEN(Before_Tbl[[#This Row],[Department_Region]])-FIND("-",Before_Tbl[[#This Row],[Department_Region]]))</f>
        <v>New York</v>
      </c>
      <c r="V448" t="str">
        <f>TRIM(PROPER(Before_Tbl[[#This Row],[Status]]))</f>
        <v>Active</v>
      </c>
      <c r="W448" s="26">
        <v>44484</v>
      </c>
      <c r="X448" s="4">
        <v>91798.14</v>
      </c>
      <c r="Y448" t="str">
        <f>TRIM(LOWER(Before_Tbl[[#This Row],[Email]]))</f>
        <v>frank.williams@example.com</v>
      </c>
      <c r="Z448" s="2" t="str">
        <f>SUBSTITUTE(Before_Tbl[[#This Row],[Phone]],"-","")</f>
        <v>6191284116</v>
      </c>
      <c r="AA448" t="str">
        <f>TRIM(PROPER(Before_Tbl[[#This Row],[Performance_Score]]))</f>
        <v>Good</v>
      </c>
      <c r="AB448" s="2" t="str">
        <f>TRIM(UPPER(Before_Tbl[[#This Row],[Remote_Work]]))</f>
        <v>FALSE</v>
      </c>
    </row>
    <row r="449" spans="1:28" x14ac:dyDescent="0.35">
      <c r="A449" t="s">
        <v>819</v>
      </c>
      <c r="B449" t="s">
        <v>32</v>
      </c>
      <c r="C449" t="s">
        <v>92</v>
      </c>
      <c r="D449">
        <v>25</v>
      </c>
      <c r="E449" t="s">
        <v>265</v>
      </c>
      <c r="F449" t="s">
        <v>33</v>
      </c>
      <c r="G449" t="s">
        <v>820</v>
      </c>
      <c r="H449">
        <v>90879.22</v>
      </c>
      <c r="I449" t="s">
        <v>263</v>
      </c>
      <c r="J449">
        <v>-3098503445</v>
      </c>
      <c r="K449" t="s">
        <v>30</v>
      </c>
      <c r="L449" t="b">
        <v>0</v>
      </c>
      <c r="P449" t="str">
        <f>TRIM(Before_Tbl[[#This Row],[Employee_ID]])</f>
        <v>EMP1447</v>
      </c>
      <c r="Q449" t="str">
        <f>TRIM(PROPER(Before_Tbl[[#This Row],[First_Name]]))</f>
        <v>Eva</v>
      </c>
      <c r="R449" t="str">
        <f>TRIM(PROPER(Before_Tbl[[#This Row],[Last_Name]]))</f>
        <v>Miller</v>
      </c>
      <c r="S449" s="25">
        <f t="shared" si="6"/>
        <v>25</v>
      </c>
      <c r="T449" t="str">
        <f>LEFT(Before_Tbl[[#This Row],[Department_Region]],FIND("-",Before_Tbl[[#This Row],[Department_Region]])-1)</f>
        <v>Finance</v>
      </c>
      <c r="U449" t="str">
        <f>RIGHT(Before_Tbl[[#This Row],[Department_Region]],LEN(Before_Tbl[[#This Row],[Department_Region]])-FIND("-",Before_Tbl[[#This Row],[Department_Region]]))</f>
        <v>Illinois</v>
      </c>
      <c r="V449" t="str">
        <f>TRIM(PROPER(Before_Tbl[[#This Row],[Status]]))</f>
        <v>Inactive</v>
      </c>
      <c r="W449" s="26">
        <v>45401</v>
      </c>
      <c r="X449" s="4">
        <v>90879.22</v>
      </c>
      <c r="Y449" t="str">
        <f>TRIM(LOWER(Before_Tbl[[#This Row],[Email]]))</f>
        <v>eva.miller@example.com</v>
      </c>
      <c r="Z449" s="2" t="str">
        <f>SUBSTITUTE(Before_Tbl[[#This Row],[Phone]],"-","")</f>
        <v>3098503445</v>
      </c>
      <c r="AA449" t="str">
        <f>TRIM(PROPER(Before_Tbl[[#This Row],[Performance_Score]]))</f>
        <v>Good</v>
      </c>
      <c r="AB449" s="2" t="str">
        <f>TRIM(UPPER(Before_Tbl[[#This Row],[Remote_Work]]))</f>
        <v>FALSE</v>
      </c>
    </row>
    <row r="450" spans="1:28" x14ac:dyDescent="0.35">
      <c r="A450" t="s">
        <v>821</v>
      </c>
      <c r="B450" t="s">
        <v>54</v>
      </c>
      <c r="C450" t="s">
        <v>14</v>
      </c>
      <c r="D450">
        <v>25</v>
      </c>
      <c r="E450" t="s">
        <v>27</v>
      </c>
      <c r="F450" t="s">
        <v>16</v>
      </c>
      <c r="G450" t="s">
        <v>822</v>
      </c>
      <c r="H450">
        <v>87358.27</v>
      </c>
      <c r="I450" t="s">
        <v>170</v>
      </c>
      <c r="J450">
        <v>-5124189388</v>
      </c>
      <c r="K450" t="s">
        <v>41</v>
      </c>
      <c r="L450" t="b">
        <v>0</v>
      </c>
      <c r="P450" t="str">
        <f>TRIM(Before_Tbl[[#This Row],[Employee_ID]])</f>
        <v>EMP1448</v>
      </c>
      <c r="Q450" t="str">
        <f>TRIM(PROPER(Before_Tbl[[#This Row],[First_Name]]))</f>
        <v>Charlie</v>
      </c>
      <c r="R450" t="str">
        <f>TRIM(PROPER(Before_Tbl[[#This Row],[Last_Name]]))</f>
        <v>Davis</v>
      </c>
      <c r="S450" s="25">
        <f t="shared" ref="S450:S513" si="7">IF(ISBLANK(D450),30,D450)</f>
        <v>25</v>
      </c>
      <c r="T450" t="str">
        <f>LEFT(Before_Tbl[[#This Row],[Department_Region]],FIND("-",Before_Tbl[[#This Row],[Department_Region]])-1)</f>
        <v>Admin</v>
      </c>
      <c r="U450" t="str">
        <f>RIGHT(Before_Tbl[[#This Row],[Department_Region]],LEN(Before_Tbl[[#This Row],[Department_Region]])-FIND("-",Before_Tbl[[#This Row],[Department_Region]]))</f>
        <v>Nevada</v>
      </c>
      <c r="V450" t="str">
        <f>TRIM(PROPER(Before_Tbl[[#This Row],[Status]]))</f>
        <v>Active</v>
      </c>
      <c r="W450" s="26">
        <v>44376</v>
      </c>
      <c r="X450" s="4">
        <v>87358.27</v>
      </c>
      <c r="Y450" t="str">
        <f>TRIM(LOWER(Before_Tbl[[#This Row],[Email]]))</f>
        <v>charlie.davis@example.com</v>
      </c>
      <c r="Z450" s="2" t="str">
        <f>SUBSTITUTE(Before_Tbl[[#This Row],[Phone]],"-","")</f>
        <v>5124189388</v>
      </c>
      <c r="AA450" t="str">
        <f>TRIM(PROPER(Before_Tbl[[#This Row],[Performance_Score]]))</f>
        <v>Poor</v>
      </c>
      <c r="AB450" s="2" t="str">
        <f>TRIM(UPPER(Before_Tbl[[#This Row],[Remote_Work]]))</f>
        <v>FALSE</v>
      </c>
    </row>
    <row r="451" spans="1:28" x14ac:dyDescent="0.35">
      <c r="A451" t="s">
        <v>823</v>
      </c>
      <c r="B451" t="s">
        <v>25</v>
      </c>
      <c r="C451" t="s">
        <v>92</v>
      </c>
      <c r="D451">
        <v>30</v>
      </c>
      <c r="E451" t="s">
        <v>74</v>
      </c>
      <c r="F451" t="s">
        <v>33</v>
      </c>
      <c r="G451" t="s">
        <v>824</v>
      </c>
      <c r="H451">
        <v>119407.93</v>
      </c>
      <c r="I451" t="s">
        <v>166</v>
      </c>
      <c r="J451">
        <v>-8469081973</v>
      </c>
      <c r="K451" t="s">
        <v>23</v>
      </c>
      <c r="L451" t="b">
        <v>1</v>
      </c>
      <c r="P451" t="str">
        <f>TRIM(Before_Tbl[[#This Row],[Employee_ID]])</f>
        <v>EMP1449</v>
      </c>
      <c r="Q451" t="str">
        <f>TRIM(PROPER(Before_Tbl[[#This Row],[First_Name]]))</f>
        <v>Alice</v>
      </c>
      <c r="R451" t="str">
        <f>TRIM(PROPER(Before_Tbl[[#This Row],[Last_Name]]))</f>
        <v>Miller</v>
      </c>
      <c r="S451" s="25">
        <f t="shared" si="7"/>
        <v>30</v>
      </c>
      <c r="T451" t="str">
        <f>LEFT(Before_Tbl[[#This Row],[Department_Region]],FIND("-",Before_Tbl[[#This Row],[Department_Region]])-1)</f>
        <v>Sales</v>
      </c>
      <c r="U451" t="str">
        <f>RIGHT(Before_Tbl[[#This Row],[Department_Region]],LEN(Before_Tbl[[#This Row],[Department_Region]])-FIND("-",Before_Tbl[[#This Row],[Department_Region]]))</f>
        <v>Florida</v>
      </c>
      <c r="V451" t="str">
        <f>TRIM(PROPER(Before_Tbl[[#This Row],[Status]]))</f>
        <v>Inactive</v>
      </c>
      <c r="W451" s="26">
        <v>45549</v>
      </c>
      <c r="X451" s="4">
        <v>119407.93</v>
      </c>
      <c r="Y451" t="str">
        <f>TRIM(LOWER(Before_Tbl[[#This Row],[Email]]))</f>
        <v>alice.miller@example.com</v>
      </c>
      <c r="Z451" s="2" t="str">
        <f>SUBSTITUTE(Before_Tbl[[#This Row],[Phone]],"-","")</f>
        <v>8469081973</v>
      </c>
      <c r="AA451" t="str">
        <f>TRIM(PROPER(Before_Tbl[[#This Row],[Performance_Score]]))</f>
        <v>Excellent</v>
      </c>
      <c r="AB451" s="2" t="str">
        <f>TRIM(UPPER(Before_Tbl[[#This Row],[Remote_Work]]))</f>
        <v>TRUE</v>
      </c>
    </row>
    <row r="452" spans="1:28" x14ac:dyDescent="0.35">
      <c r="A452" t="s">
        <v>825</v>
      </c>
      <c r="B452" t="s">
        <v>59</v>
      </c>
      <c r="C452" t="s">
        <v>92</v>
      </c>
      <c r="E452" t="s">
        <v>149</v>
      </c>
      <c r="F452" t="s">
        <v>28</v>
      </c>
      <c r="G452" s="1">
        <v>44652</v>
      </c>
      <c r="H452">
        <v>113978.6</v>
      </c>
      <c r="I452" t="s">
        <v>107</v>
      </c>
      <c r="J452">
        <v>-56435022</v>
      </c>
      <c r="K452" t="s">
        <v>23</v>
      </c>
      <c r="L452" t="b">
        <v>1</v>
      </c>
      <c r="P452" t="str">
        <f>TRIM(Before_Tbl[[#This Row],[Employee_ID]])</f>
        <v>EMP1450</v>
      </c>
      <c r="Q452" t="str">
        <f>TRIM(PROPER(Before_Tbl[[#This Row],[First_Name]]))</f>
        <v>David</v>
      </c>
      <c r="R452" t="str">
        <f>TRIM(PROPER(Before_Tbl[[#This Row],[Last_Name]]))</f>
        <v>Miller</v>
      </c>
      <c r="S452" s="25">
        <f t="shared" si="7"/>
        <v>30</v>
      </c>
      <c r="T452" t="str">
        <f>LEFT(Before_Tbl[[#This Row],[Department_Region]],FIND("-",Before_Tbl[[#This Row],[Department_Region]])-1)</f>
        <v>HR</v>
      </c>
      <c r="U452" t="str">
        <f>RIGHT(Before_Tbl[[#This Row],[Department_Region]],LEN(Before_Tbl[[#This Row],[Department_Region]])-FIND("-",Before_Tbl[[#This Row],[Department_Region]]))</f>
        <v>Nevada</v>
      </c>
      <c r="V452" t="str">
        <f>TRIM(PROPER(Before_Tbl[[#This Row],[Status]]))</f>
        <v>Pending</v>
      </c>
      <c r="W452" s="26">
        <v>44652</v>
      </c>
      <c r="X452" s="4">
        <v>113978.6</v>
      </c>
      <c r="Y452" t="str">
        <f>TRIM(LOWER(Before_Tbl[[#This Row],[Email]]))</f>
        <v>david.miller@example.com</v>
      </c>
      <c r="Z452" s="2" t="str">
        <f>SUBSTITUTE(Before_Tbl[[#This Row],[Phone]],"-","")</f>
        <v>56435022</v>
      </c>
      <c r="AA452" t="str">
        <f>TRIM(PROPER(Before_Tbl[[#This Row],[Performance_Score]]))</f>
        <v>Excellent</v>
      </c>
      <c r="AB452" s="2" t="str">
        <f>TRIM(UPPER(Before_Tbl[[#This Row],[Remote_Work]]))</f>
        <v>TRUE</v>
      </c>
    </row>
    <row r="453" spans="1:28" x14ac:dyDescent="0.35">
      <c r="A453" t="s">
        <v>826</v>
      </c>
      <c r="B453" t="s">
        <v>37</v>
      </c>
      <c r="C453" t="s">
        <v>92</v>
      </c>
      <c r="E453" t="s">
        <v>109</v>
      </c>
      <c r="F453" t="s">
        <v>28</v>
      </c>
      <c r="G453" t="s">
        <v>827</v>
      </c>
      <c r="H453">
        <v>108568.78</v>
      </c>
      <c r="I453" t="s">
        <v>110</v>
      </c>
      <c r="J453">
        <v>-8503719904</v>
      </c>
      <c r="K453" t="s">
        <v>30</v>
      </c>
      <c r="L453" t="b">
        <v>1</v>
      </c>
      <c r="P453" t="str">
        <f>TRIM(Before_Tbl[[#This Row],[Employee_ID]])</f>
        <v>EMP1451</v>
      </c>
      <c r="Q453" t="str">
        <f>TRIM(PROPER(Before_Tbl[[#This Row],[First_Name]]))</f>
        <v>Frank</v>
      </c>
      <c r="R453" t="str">
        <f>TRIM(PROPER(Before_Tbl[[#This Row],[Last_Name]]))</f>
        <v>Miller</v>
      </c>
      <c r="S453" s="25">
        <f t="shared" si="7"/>
        <v>30</v>
      </c>
      <c r="T453" t="str">
        <f>LEFT(Before_Tbl[[#This Row],[Department_Region]],FIND("-",Before_Tbl[[#This Row],[Department_Region]])-1)</f>
        <v>Sales</v>
      </c>
      <c r="U453" t="str">
        <f>RIGHT(Before_Tbl[[#This Row],[Department_Region]],LEN(Before_Tbl[[#This Row],[Department_Region]])-FIND("-",Before_Tbl[[#This Row],[Department_Region]]))</f>
        <v>New York</v>
      </c>
      <c r="V453" t="str">
        <f>TRIM(PROPER(Before_Tbl[[#This Row],[Status]]))</f>
        <v>Pending</v>
      </c>
      <c r="W453" s="26">
        <v>44216</v>
      </c>
      <c r="X453" s="4">
        <v>108568.78</v>
      </c>
      <c r="Y453" t="str">
        <f>TRIM(LOWER(Before_Tbl[[#This Row],[Email]]))</f>
        <v>frank.miller@example.com</v>
      </c>
      <c r="Z453" s="2" t="str">
        <f>SUBSTITUTE(Before_Tbl[[#This Row],[Phone]],"-","")</f>
        <v>8503719904</v>
      </c>
      <c r="AA453" t="str">
        <f>TRIM(PROPER(Before_Tbl[[#This Row],[Performance_Score]]))</f>
        <v>Good</v>
      </c>
      <c r="AB453" s="2" t="str">
        <f>TRIM(UPPER(Before_Tbl[[#This Row],[Remote_Work]]))</f>
        <v>TRUE</v>
      </c>
    </row>
    <row r="454" spans="1:28" x14ac:dyDescent="0.35">
      <c r="A454" t="s">
        <v>828</v>
      </c>
      <c r="B454" t="s">
        <v>65</v>
      </c>
      <c r="C454" t="s">
        <v>92</v>
      </c>
      <c r="E454" t="s">
        <v>66</v>
      </c>
      <c r="F454" t="s">
        <v>33</v>
      </c>
      <c r="G454" t="s">
        <v>829</v>
      </c>
      <c r="H454">
        <v>56318.02</v>
      </c>
      <c r="I454" t="s">
        <v>130</v>
      </c>
      <c r="J454">
        <v>-1699187239</v>
      </c>
      <c r="K454" t="s">
        <v>23</v>
      </c>
      <c r="L454" t="b">
        <v>0</v>
      </c>
      <c r="P454" t="str">
        <f>TRIM(Before_Tbl[[#This Row],[Employee_ID]])</f>
        <v>EMP1452</v>
      </c>
      <c r="Q454" t="str">
        <f>TRIM(PROPER(Before_Tbl[[#This Row],[First_Name]]))</f>
        <v>Heidi</v>
      </c>
      <c r="R454" t="str">
        <f>TRIM(PROPER(Before_Tbl[[#This Row],[Last_Name]]))</f>
        <v>Miller</v>
      </c>
      <c r="S454" s="25">
        <f t="shared" si="7"/>
        <v>30</v>
      </c>
      <c r="T454" t="str">
        <f>LEFT(Before_Tbl[[#This Row],[Department_Region]],FIND("-",Before_Tbl[[#This Row],[Department_Region]])-1)</f>
        <v>HR</v>
      </c>
      <c r="U454" t="str">
        <f>RIGHT(Before_Tbl[[#This Row],[Department_Region]],LEN(Before_Tbl[[#This Row],[Department_Region]])-FIND("-",Before_Tbl[[#This Row],[Department_Region]]))</f>
        <v>New York</v>
      </c>
      <c r="V454" t="str">
        <f>TRIM(PROPER(Before_Tbl[[#This Row],[Status]]))</f>
        <v>Inactive</v>
      </c>
      <c r="W454" s="26">
        <v>43908</v>
      </c>
      <c r="X454" s="4">
        <v>56318.02</v>
      </c>
      <c r="Y454" t="str">
        <f>TRIM(LOWER(Before_Tbl[[#This Row],[Email]]))</f>
        <v>heidi.miller@example.com</v>
      </c>
      <c r="Z454" s="2" t="str">
        <f>SUBSTITUTE(Before_Tbl[[#This Row],[Phone]],"-","")</f>
        <v>1699187239</v>
      </c>
      <c r="AA454" t="str">
        <f>TRIM(PROPER(Before_Tbl[[#This Row],[Performance_Score]]))</f>
        <v>Excellent</v>
      </c>
      <c r="AB454" s="2" t="str">
        <f>TRIM(UPPER(Before_Tbl[[#This Row],[Remote_Work]]))</f>
        <v>FALSE</v>
      </c>
    </row>
    <row r="455" spans="1:28" x14ac:dyDescent="0.35">
      <c r="A455" t="s">
        <v>830</v>
      </c>
      <c r="B455" t="s">
        <v>59</v>
      </c>
      <c r="C455" t="s">
        <v>92</v>
      </c>
      <c r="D455">
        <v>25</v>
      </c>
      <c r="E455" t="s">
        <v>74</v>
      </c>
      <c r="F455" t="s">
        <v>16</v>
      </c>
      <c r="G455" s="1">
        <v>44480</v>
      </c>
      <c r="H455">
        <v>114252.73</v>
      </c>
      <c r="I455" t="s">
        <v>107</v>
      </c>
      <c r="J455">
        <v>-1078356742</v>
      </c>
      <c r="K455" t="s">
        <v>30</v>
      </c>
      <c r="L455" t="b">
        <v>0</v>
      </c>
      <c r="P455" t="str">
        <f>TRIM(Before_Tbl[[#This Row],[Employee_ID]])</f>
        <v>EMP1453</v>
      </c>
      <c r="Q455" t="str">
        <f>TRIM(PROPER(Before_Tbl[[#This Row],[First_Name]]))</f>
        <v>David</v>
      </c>
      <c r="R455" t="str">
        <f>TRIM(PROPER(Before_Tbl[[#This Row],[Last_Name]]))</f>
        <v>Miller</v>
      </c>
      <c r="S455" s="25">
        <f t="shared" si="7"/>
        <v>25</v>
      </c>
      <c r="T455" t="str">
        <f>LEFT(Before_Tbl[[#This Row],[Department_Region]],FIND("-",Before_Tbl[[#This Row],[Department_Region]])-1)</f>
        <v>Sales</v>
      </c>
      <c r="U455" t="str">
        <f>RIGHT(Before_Tbl[[#This Row],[Department_Region]],LEN(Before_Tbl[[#This Row],[Department_Region]])-FIND("-",Before_Tbl[[#This Row],[Department_Region]]))</f>
        <v>Florida</v>
      </c>
      <c r="V455" t="str">
        <f>TRIM(PROPER(Before_Tbl[[#This Row],[Status]]))</f>
        <v>Active</v>
      </c>
      <c r="W455" s="26">
        <v>44480</v>
      </c>
      <c r="X455" s="4">
        <v>114252.73</v>
      </c>
      <c r="Y455" t="str">
        <f>TRIM(LOWER(Before_Tbl[[#This Row],[Email]]))</f>
        <v>david.miller@example.com</v>
      </c>
      <c r="Z455" s="2" t="str">
        <f>SUBSTITUTE(Before_Tbl[[#This Row],[Phone]],"-","")</f>
        <v>1078356742</v>
      </c>
      <c r="AA455" t="str">
        <f>TRIM(PROPER(Before_Tbl[[#This Row],[Performance_Score]]))</f>
        <v>Good</v>
      </c>
      <c r="AB455" s="2" t="str">
        <f>TRIM(UPPER(Before_Tbl[[#This Row],[Remote_Work]]))</f>
        <v>FALSE</v>
      </c>
    </row>
    <row r="456" spans="1:28" x14ac:dyDescent="0.35">
      <c r="A456" t="s">
        <v>831</v>
      </c>
      <c r="B456" t="s">
        <v>54</v>
      </c>
      <c r="C456" t="s">
        <v>26</v>
      </c>
      <c r="D456">
        <v>35</v>
      </c>
      <c r="E456" t="s">
        <v>56</v>
      </c>
      <c r="F456" t="s">
        <v>33</v>
      </c>
      <c r="G456" s="1">
        <v>43835</v>
      </c>
      <c r="H456">
        <v>51533.9</v>
      </c>
      <c r="I456" t="s">
        <v>120</v>
      </c>
      <c r="J456">
        <v>-3896086</v>
      </c>
      <c r="K456" t="s">
        <v>41</v>
      </c>
      <c r="L456" t="b">
        <v>1</v>
      </c>
      <c r="P456" t="str">
        <f>TRIM(Before_Tbl[[#This Row],[Employee_ID]])</f>
        <v>EMP1454</v>
      </c>
      <c r="Q456" t="str">
        <f>TRIM(PROPER(Before_Tbl[[#This Row],[First_Name]]))</f>
        <v>Charlie</v>
      </c>
      <c r="R456" t="str">
        <f>TRIM(PROPER(Before_Tbl[[#This Row],[Last_Name]]))</f>
        <v>Jones</v>
      </c>
      <c r="S456" s="25">
        <f t="shared" si="7"/>
        <v>35</v>
      </c>
      <c r="T456" t="str">
        <f>LEFT(Before_Tbl[[#This Row],[Department_Region]],FIND("-",Before_Tbl[[#This Row],[Department_Region]])-1)</f>
        <v>DevOps</v>
      </c>
      <c r="U456" t="str">
        <f>RIGHT(Before_Tbl[[#This Row],[Department_Region]],LEN(Before_Tbl[[#This Row],[Department_Region]])-FIND("-",Before_Tbl[[#This Row],[Department_Region]]))</f>
        <v>New York</v>
      </c>
      <c r="V456" t="str">
        <f>TRIM(PROPER(Before_Tbl[[#This Row],[Status]]))</f>
        <v>Inactive</v>
      </c>
      <c r="W456" s="26">
        <v>43835</v>
      </c>
      <c r="X456" s="4">
        <v>51533.9</v>
      </c>
      <c r="Y456" t="str">
        <f>TRIM(LOWER(Before_Tbl[[#This Row],[Email]]))</f>
        <v>charlie.jones@example.com</v>
      </c>
      <c r="Z456" s="2" t="str">
        <f>SUBSTITUTE(Before_Tbl[[#This Row],[Phone]],"-","")</f>
        <v>3896086</v>
      </c>
      <c r="AA456" t="str">
        <f>TRIM(PROPER(Before_Tbl[[#This Row],[Performance_Score]]))</f>
        <v>Poor</v>
      </c>
      <c r="AB456" s="2" t="str">
        <f>TRIM(UPPER(Before_Tbl[[#This Row],[Remote_Work]]))</f>
        <v>TRUE</v>
      </c>
    </row>
    <row r="457" spans="1:28" x14ac:dyDescent="0.35">
      <c r="A457" t="s">
        <v>832</v>
      </c>
      <c r="B457" t="s">
        <v>54</v>
      </c>
      <c r="C457" t="s">
        <v>38</v>
      </c>
      <c r="D457">
        <v>25</v>
      </c>
      <c r="E457" t="s">
        <v>177</v>
      </c>
      <c r="F457" t="s">
        <v>16</v>
      </c>
      <c r="G457" s="1">
        <v>44653</v>
      </c>
      <c r="H457">
        <v>99317.66</v>
      </c>
      <c r="I457" t="s">
        <v>90</v>
      </c>
      <c r="J457">
        <v>-662668216</v>
      </c>
      <c r="K457" t="s">
        <v>41</v>
      </c>
      <c r="L457" t="b">
        <v>0</v>
      </c>
      <c r="P457" t="str">
        <f>TRIM(Before_Tbl[[#This Row],[Employee_ID]])</f>
        <v>EMP1455</v>
      </c>
      <c r="Q457" t="str">
        <f>TRIM(PROPER(Before_Tbl[[#This Row],[First_Name]]))</f>
        <v>Charlie</v>
      </c>
      <c r="R457" t="str">
        <f>TRIM(PROPER(Before_Tbl[[#This Row],[Last_Name]]))</f>
        <v>Williams</v>
      </c>
      <c r="S457" s="25">
        <f t="shared" si="7"/>
        <v>25</v>
      </c>
      <c r="T457" t="str">
        <f>LEFT(Before_Tbl[[#This Row],[Department_Region]],FIND("-",Before_Tbl[[#This Row],[Department_Region]])-1)</f>
        <v>Sales</v>
      </c>
      <c r="U457" t="str">
        <f>RIGHT(Before_Tbl[[#This Row],[Department_Region]],LEN(Before_Tbl[[#This Row],[Department_Region]])-FIND("-",Before_Tbl[[#This Row],[Department_Region]]))</f>
        <v>California</v>
      </c>
      <c r="V457" t="str">
        <f>TRIM(PROPER(Before_Tbl[[#This Row],[Status]]))</f>
        <v>Active</v>
      </c>
      <c r="W457" s="26">
        <v>44653</v>
      </c>
      <c r="X457" s="4">
        <v>99317.66</v>
      </c>
      <c r="Y457" t="str">
        <f>TRIM(LOWER(Before_Tbl[[#This Row],[Email]]))</f>
        <v>charlie.williams@example.com</v>
      </c>
      <c r="Z457" s="2" t="str">
        <f>SUBSTITUTE(Before_Tbl[[#This Row],[Phone]],"-","")</f>
        <v>662668216</v>
      </c>
      <c r="AA457" t="str">
        <f>TRIM(PROPER(Before_Tbl[[#This Row],[Performance_Score]]))</f>
        <v>Poor</v>
      </c>
      <c r="AB457" s="2" t="str">
        <f>TRIM(UPPER(Before_Tbl[[#This Row],[Remote_Work]]))</f>
        <v>FALSE</v>
      </c>
    </row>
    <row r="458" spans="1:28" x14ac:dyDescent="0.35">
      <c r="A458" t="s">
        <v>833</v>
      </c>
      <c r="B458" t="s">
        <v>13</v>
      </c>
      <c r="C458" t="s">
        <v>92</v>
      </c>
      <c r="D458">
        <v>35</v>
      </c>
      <c r="E458" t="s">
        <v>146</v>
      </c>
      <c r="F458" t="s">
        <v>16</v>
      </c>
      <c r="G458" t="s">
        <v>834</v>
      </c>
      <c r="H458">
        <v>101264.64</v>
      </c>
      <c r="I458" t="s">
        <v>93</v>
      </c>
      <c r="J458">
        <v>-1955356032</v>
      </c>
      <c r="K458" t="s">
        <v>18</v>
      </c>
      <c r="L458" t="b">
        <v>0</v>
      </c>
      <c r="P458" t="str">
        <f>TRIM(Before_Tbl[[#This Row],[Employee_ID]])</f>
        <v>EMP1456</v>
      </c>
      <c r="Q458" t="str">
        <f>TRIM(PROPER(Before_Tbl[[#This Row],[First_Name]]))</f>
        <v>Bob</v>
      </c>
      <c r="R458" t="str">
        <f>TRIM(PROPER(Before_Tbl[[#This Row],[Last_Name]]))</f>
        <v>Miller</v>
      </c>
      <c r="S458" s="25">
        <f t="shared" si="7"/>
        <v>35</v>
      </c>
      <c r="T458" t="str">
        <f>LEFT(Before_Tbl[[#This Row],[Department_Region]],FIND("-",Before_Tbl[[#This Row],[Department_Region]])-1)</f>
        <v>HR</v>
      </c>
      <c r="U458" t="str">
        <f>RIGHT(Before_Tbl[[#This Row],[Department_Region]],LEN(Before_Tbl[[#This Row],[Department_Region]])-FIND("-",Before_Tbl[[#This Row],[Department_Region]]))</f>
        <v>California</v>
      </c>
      <c r="V458" t="str">
        <f>TRIM(PROPER(Before_Tbl[[#This Row],[Status]]))</f>
        <v>Active</v>
      </c>
      <c r="W458" s="26">
        <v>44153</v>
      </c>
      <c r="X458" s="4">
        <v>101264.64</v>
      </c>
      <c r="Y458" t="str">
        <f>TRIM(LOWER(Before_Tbl[[#This Row],[Email]]))</f>
        <v>bob.miller@example.com</v>
      </c>
      <c r="Z458" s="2" t="str">
        <f>SUBSTITUTE(Before_Tbl[[#This Row],[Phone]],"-","")</f>
        <v>1955356032</v>
      </c>
      <c r="AA458" t="str">
        <f>TRIM(PROPER(Before_Tbl[[#This Row],[Performance_Score]]))</f>
        <v>Average</v>
      </c>
      <c r="AB458" s="2" t="str">
        <f>TRIM(UPPER(Before_Tbl[[#This Row],[Remote_Work]]))</f>
        <v>FALSE</v>
      </c>
    </row>
    <row r="459" spans="1:28" x14ac:dyDescent="0.35">
      <c r="A459" t="s">
        <v>835</v>
      </c>
      <c r="B459" t="s">
        <v>65</v>
      </c>
      <c r="C459" t="s">
        <v>43</v>
      </c>
      <c r="D459">
        <v>35</v>
      </c>
      <c r="E459" t="s">
        <v>27</v>
      </c>
      <c r="F459" t="s">
        <v>28</v>
      </c>
      <c r="G459" t="s">
        <v>836</v>
      </c>
      <c r="H459">
        <v>112272.02</v>
      </c>
      <c r="I459" t="s">
        <v>257</v>
      </c>
      <c r="J459">
        <v>-1903689002</v>
      </c>
      <c r="K459" t="s">
        <v>41</v>
      </c>
      <c r="L459" t="b">
        <v>0</v>
      </c>
      <c r="P459" t="str">
        <f>TRIM(Before_Tbl[[#This Row],[Employee_ID]])</f>
        <v>EMP1457</v>
      </c>
      <c r="Q459" t="str">
        <f>TRIM(PROPER(Before_Tbl[[#This Row],[First_Name]]))</f>
        <v>Heidi</v>
      </c>
      <c r="R459" t="str">
        <f>TRIM(PROPER(Before_Tbl[[#This Row],[Last_Name]]))</f>
        <v>Garcia</v>
      </c>
      <c r="S459" s="25">
        <f t="shared" si="7"/>
        <v>35</v>
      </c>
      <c r="T459" t="str">
        <f>LEFT(Before_Tbl[[#This Row],[Department_Region]],FIND("-",Before_Tbl[[#This Row],[Department_Region]])-1)</f>
        <v>Admin</v>
      </c>
      <c r="U459" t="str">
        <f>RIGHT(Before_Tbl[[#This Row],[Department_Region]],LEN(Before_Tbl[[#This Row],[Department_Region]])-FIND("-",Before_Tbl[[#This Row],[Department_Region]]))</f>
        <v>Nevada</v>
      </c>
      <c r="V459" t="str">
        <f>TRIM(PROPER(Before_Tbl[[#This Row],[Status]]))</f>
        <v>Pending</v>
      </c>
      <c r="W459" s="26">
        <v>45251</v>
      </c>
      <c r="X459" s="4">
        <v>112272.02</v>
      </c>
      <c r="Y459" t="str">
        <f>TRIM(LOWER(Before_Tbl[[#This Row],[Email]]))</f>
        <v>heidi.garcia@example.com</v>
      </c>
      <c r="Z459" s="2" t="str">
        <f>SUBSTITUTE(Before_Tbl[[#This Row],[Phone]],"-","")</f>
        <v>1903689002</v>
      </c>
      <c r="AA459" t="str">
        <f>TRIM(PROPER(Before_Tbl[[#This Row],[Performance_Score]]))</f>
        <v>Poor</v>
      </c>
      <c r="AB459" s="2" t="str">
        <f>TRIM(UPPER(Before_Tbl[[#This Row],[Remote_Work]]))</f>
        <v>FALSE</v>
      </c>
    </row>
    <row r="460" spans="1:28" x14ac:dyDescent="0.35">
      <c r="A460" t="s">
        <v>837</v>
      </c>
      <c r="B460" t="s">
        <v>37</v>
      </c>
      <c r="C460" t="s">
        <v>38</v>
      </c>
      <c r="D460">
        <v>30</v>
      </c>
      <c r="E460" t="s">
        <v>78</v>
      </c>
      <c r="F460" t="s">
        <v>16</v>
      </c>
      <c r="G460" t="s">
        <v>838</v>
      </c>
      <c r="H460">
        <v>71477.63</v>
      </c>
      <c r="I460" t="s">
        <v>40</v>
      </c>
      <c r="J460">
        <v>-102724054</v>
      </c>
      <c r="K460" t="s">
        <v>30</v>
      </c>
      <c r="L460" t="b">
        <v>1</v>
      </c>
      <c r="P460" t="str">
        <f>TRIM(Before_Tbl[[#This Row],[Employee_ID]])</f>
        <v>EMP1458</v>
      </c>
      <c r="Q460" t="str">
        <f>TRIM(PROPER(Before_Tbl[[#This Row],[First_Name]]))</f>
        <v>Frank</v>
      </c>
      <c r="R460" t="str">
        <f>TRIM(PROPER(Before_Tbl[[#This Row],[Last_Name]]))</f>
        <v>Williams</v>
      </c>
      <c r="S460" s="25">
        <f t="shared" si="7"/>
        <v>30</v>
      </c>
      <c r="T460" t="str">
        <f>LEFT(Before_Tbl[[#This Row],[Department_Region]],FIND("-",Before_Tbl[[#This Row],[Department_Region]])-1)</f>
        <v>DevOps</v>
      </c>
      <c r="U460" t="str">
        <f>RIGHT(Before_Tbl[[#This Row],[Department_Region]],LEN(Before_Tbl[[#This Row],[Department_Region]])-FIND("-",Before_Tbl[[#This Row],[Department_Region]]))</f>
        <v>Illinois</v>
      </c>
      <c r="V460" t="str">
        <f>TRIM(PROPER(Before_Tbl[[#This Row],[Status]]))</f>
        <v>Active</v>
      </c>
      <c r="W460" s="26">
        <v>44605</v>
      </c>
      <c r="X460" s="4">
        <v>71477.63</v>
      </c>
      <c r="Y460" t="str">
        <f>TRIM(LOWER(Before_Tbl[[#This Row],[Email]]))</f>
        <v>frank.williams@example.com</v>
      </c>
      <c r="Z460" s="2" t="str">
        <f>SUBSTITUTE(Before_Tbl[[#This Row],[Phone]],"-","")</f>
        <v>102724054</v>
      </c>
      <c r="AA460" t="str">
        <f>TRIM(PROPER(Before_Tbl[[#This Row],[Performance_Score]]))</f>
        <v>Good</v>
      </c>
      <c r="AB460" s="2" t="str">
        <f>TRIM(UPPER(Before_Tbl[[#This Row],[Remote_Work]]))</f>
        <v>TRUE</v>
      </c>
    </row>
    <row r="461" spans="1:28" x14ac:dyDescent="0.35">
      <c r="A461" t="s">
        <v>839</v>
      </c>
      <c r="B461" t="s">
        <v>54</v>
      </c>
      <c r="C461" t="s">
        <v>38</v>
      </c>
      <c r="D461">
        <v>30</v>
      </c>
      <c r="E461" t="s">
        <v>237</v>
      </c>
      <c r="F461" t="s">
        <v>28</v>
      </c>
      <c r="G461" t="s">
        <v>840</v>
      </c>
      <c r="H461">
        <v>77412.100000000006</v>
      </c>
      <c r="I461" t="s">
        <v>90</v>
      </c>
      <c r="J461">
        <v>-9342967110</v>
      </c>
      <c r="K461" t="s">
        <v>41</v>
      </c>
      <c r="L461" t="b">
        <v>0</v>
      </c>
      <c r="P461" t="str">
        <f>TRIM(Before_Tbl[[#This Row],[Employee_ID]])</f>
        <v>EMP1459</v>
      </c>
      <c r="Q461" t="str">
        <f>TRIM(PROPER(Before_Tbl[[#This Row],[First_Name]]))</f>
        <v>Charlie</v>
      </c>
      <c r="R461" t="str">
        <f>TRIM(PROPER(Before_Tbl[[#This Row],[Last_Name]]))</f>
        <v>Williams</v>
      </c>
      <c r="S461" s="25">
        <f t="shared" si="7"/>
        <v>30</v>
      </c>
      <c r="T461" t="str">
        <f>LEFT(Before_Tbl[[#This Row],[Department_Region]],FIND("-",Before_Tbl[[#This Row],[Department_Region]])-1)</f>
        <v>DevOps</v>
      </c>
      <c r="U461" t="str">
        <f>RIGHT(Before_Tbl[[#This Row],[Department_Region]],LEN(Before_Tbl[[#This Row],[Department_Region]])-FIND("-",Before_Tbl[[#This Row],[Department_Region]]))</f>
        <v>Texas</v>
      </c>
      <c r="V461" t="str">
        <f>TRIM(PROPER(Before_Tbl[[#This Row],[Status]]))</f>
        <v>Pending</v>
      </c>
      <c r="W461" s="26">
        <v>45004</v>
      </c>
      <c r="X461" s="4">
        <v>77412.100000000006</v>
      </c>
      <c r="Y461" t="str">
        <f>TRIM(LOWER(Before_Tbl[[#This Row],[Email]]))</f>
        <v>charlie.williams@example.com</v>
      </c>
      <c r="Z461" s="2" t="str">
        <f>SUBSTITUTE(Before_Tbl[[#This Row],[Phone]],"-","")</f>
        <v>9342967110</v>
      </c>
      <c r="AA461" t="str">
        <f>TRIM(PROPER(Before_Tbl[[#This Row],[Performance_Score]]))</f>
        <v>Poor</v>
      </c>
      <c r="AB461" s="2" t="str">
        <f>TRIM(UPPER(Before_Tbl[[#This Row],[Remote_Work]]))</f>
        <v>FALSE</v>
      </c>
    </row>
    <row r="462" spans="1:28" x14ac:dyDescent="0.35">
      <c r="A462" t="s">
        <v>841</v>
      </c>
      <c r="B462" t="s">
        <v>25</v>
      </c>
      <c r="C462" t="s">
        <v>55</v>
      </c>
      <c r="D462">
        <v>30</v>
      </c>
      <c r="E462" t="s">
        <v>177</v>
      </c>
      <c r="F462" t="s">
        <v>28</v>
      </c>
      <c r="G462" t="s">
        <v>842</v>
      </c>
      <c r="H462">
        <v>94775.27</v>
      </c>
      <c r="I462" t="s">
        <v>150</v>
      </c>
      <c r="J462">
        <v>-4837537457</v>
      </c>
      <c r="K462" t="s">
        <v>18</v>
      </c>
      <c r="L462" t="b">
        <v>0</v>
      </c>
      <c r="P462" t="str">
        <f>TRIM(Before_Tbl[[#This Row],[Employee_ID]])</f>
        <v>EMP1460</v>
      </c>
      <c r="Q462" t="str">
        <f>TRIM(PROPER(Before_Tbl[[#This Row],[First_Name]]))</f>
        <v>Alice</v>
      </c>
      <c r="R462" t="str">
        <f>TRIM(PROPER(Before_Tbl[[#This Row],[Last_Name]]))</f>
        <v>Johnson</v>
      </c>
      <c r="S462" s="25">
        <f t="shared" si="7"/>
        <v>30</v>
      </c>
      <c r="T462" t="str">
        <f>LEFT(Before_Tbl[[#This Row],[Department_Region]],FIND("-",Before_Tbl[[#This Row],[Department_Region]])-1)</f>
        <v>Sales</v>
      </c>
      <c r="U462" t="str">
        <f>RIGHT(Before_Tbl[[#This Row],[Department_Region]],LEN(Before_Tbl[[#This Row],[Department_Region]])-FIND("-",Before_Tbl[[#This Row],[Department_Region]]))</f>
        <v>California</v>
      </c>
      <c r="V462" t="str">
        <f>TRIM(PROPER(Before_Tbl[[#This Row],[Status]]))</f>
        <v>Pending</v>
      </c>
      <c r="W462" s="26">
        <v>44283</v>
      </c>
      <c r="X462" s="4">
        <v>94775.27</v>
      </c>
      <c r="Y462" t="str">
        <f>TRIM(LOWER(Before_Tbl[[#This Row],[Email]]))</f>
        <v>alice.johnson@example.com</v>
      </c>
      <c r="Z462" s="2" t="str">
        <f>SUBSTITUTE(Before_Tbl[[#This Row],[Phone]],"-","")</f>
        <v>4837537457</v>
      </c>
      <c r="AA462" t="str">
        <f>TRIM(PROPER(Before_Tbl[[#This Row],[Performance_Score]]))</f>
        <v>Average</v>
      </c>
      <c r="AB462" s="2" t="str">
        <f>TRIM(UPPER(Before_Tbl[[#This Row],[Remote_Work]]))</f>
        <v>FALSE</v>
      </c>
    </row>
    <row r="463" spans="1:28" x14ac:dyDescent="0.35">
      <c r="A463" t="s">
        <v>843</v>
      </c>
      <c r="B463" t="s">
        <v>65</v>
      </c>
      <c r="C463" t="s">
        <v>26</v>
      </c>
      <c r="D463">
        <v>30</v>
      </c>
      <c r="E463" t="s">
        <v>149</v>
      </c>
      <c r="F463" t="s">
        <v>16</v>
      </c>
      <c r="G463" s="1">
        <v>44232</v>
      </c>
      <c r="H463">
        <v>74276.710000000006</v>
      </c>
      <c r="I463" t="s">
        <v>320</v>
      </c>
      <c r="J463">
        <v>-4384588104</v>
      </c>
      <c r="K463" t="s">
        <v>23</v>
      </c>
      <c r="L463" t="b">
        <v>1</v>
      </c>
      <c r="P463" t="str">
        <f>TRIM(Before_Tbl[[#This Row],[Employee_ID]])</f>
        <v>EMP1461</v>
      </c>
      <c r="Q463" t="str">
        <f>TRIM(PROPER(Before_Tbl[[#This Row],[First_Name]]))</f>
        <v>Heidi</v>
      </c>
      <c r="R463" t="str">
        <f>TRIM(PROPER(Before_Tbl[[#This Row],[Last_Name]]))</f>
        <v>Jones</v>
      </c>
      <c r="S463" s="25">
        <f t="shared" si="7"/>
        <v>30</v>
      </c>
      <c r="T463" t="str">
        <f>LEFT(Before_Tbl[[#This Row],[Department_Region]],FIND("-",Before_Tbl[[#This Row],[Department_Region]])-1)</f>
        <v>HR</v>
      </c>
      <c r="U463" t="str">
        <f>RIGHT(Before_Tbl[[#This Row],[Department_Region]],LEN(Before_Tbl[[#This Row],[Department_Region]])-FIND("-",Before_Tbl[[#This Row],[Department_Region]]))</f>
        <v>Nevada</v>
      </c>
      <c r="V463" t="str">
        <f>TRIM(PROPER(Before_Tbl[[#This Row],[Status]]))</f>
        <v>Active</v>
      </c>
      <c r="W463" s="26">
        <v>44232</v>
      </c>
      <c r="X463" s="4">
        <v>74276.710000000006</v>
      </c>
      <c r="Y463" t="str">
        <f>TRIM(LOWER(Before_Tbl[[#This Row],[Email]]))</f>
        <v>heidi.jones@example.com</v>
      </c>
      <c r="Z463" s="2" t="str">
        <f>SUBSTITUTE(Before_Tbl[[#This Row],[Phone]],"-","")</f>
        <v>4384588104</v>
      </c>
      <c r="AA463" t="str">
        <f>TRIM(PROPER(Before_Tbl[[#This Row],[Performance_Score]]))</f>
        <v>Excellent</v>
      </c>
      <c r="AB463" s="2" t="str">
        <f>TRIM(UPPER(Before_Tbl[[#This Row],[Remote_Work]]))</f>
        <v>TRUE</v>
      </c>
    </row>
    <row r="464" spans="1:28" x14ac:dyDescent="0.35">
      <c r="A464" t="s">
        <v>844</v>
      </c>
      <c r="B464" t="s">
        <v>13</v>
      </c>
      <c r="C464" t="s">
        <v>92</v>
      </c>
      <c r="D464">
        <v>35</v>
      </c>
      <c r="E464" t="s">
        <v>21</v>
      </c>
      <c r="F464" t="s">
        <v>33</v>
      </c>
      <c r="G464" s="1">
        <v>44319</v>
      </c>
      <c r="H464">
        <v>67467.86</v>
      </c>
      <c r="I464" t="s">
        <v>93</v>
      </c>
      <c r="J464">
        <v>-6974132833</v>
      </c>
      <c r="K464" t="s">
        <v>30</v>
      </c>
      <c r="L464" t="b">
        <v>1</v>
      </c>
      <c r="P464" t="str">
        <f>TRIM(Before_Tbl[[#This Row],[Employee_ID]])</f>
        <v>EMP1462</v>
      </c>
      <c r="Q464" t="str">
        <f>TRIM(PROPER(Before_Tbl[[#This Row],[First_Name]]))</f>
        <v>Bob</v>
      </c>
      <c r="R464" t="str">
        <f>TRIM(PROPER(Before_Tbl[[#This Row],[Last_Name]]))</f>
        <v>Miller</v>
      </c>
      <c r="S464" s="25">
        <f t="shared" si="7"/>
        <v>35</v>
      </c>
      <c r="T464" t="str">
        <f>LEFT(Before_Tbl[[#This Row],[Department_Region]],FIND("-",Before_Tbl[[#This Row],[Department_Region]])-1)</f>
        <v>Finance</v>
      </c>
      <c r="U464" t="str">
        <f>RIGHT(Before_Tbl[[#This Row],[Department_Region]],LEN(Before_Tbl[[#This Row],[Department_Region]])-FIND("-",Before_Tbl[[#This Row],[Department_Region]]))</f>
        <v>Texas</v>
      </c>
      <c r="V464" t="str">
        <f>TRIM(PROPER(Before_Tbl[[#This Row],[Status]]))</f>
        <v>Inactive</v>
      </c>
      <c r="W464" s="26">
        <v>44319</v>
      </c>
      <c r="X464" s="4">
        <v>67467.86</v>
      </c>
      <c r="Y464" t="str">
        <f>TRIM(LOWER(Before_Tbl[[#This Row],[Email]]))</f>
        <v>bob.miller@example.com</v>
      </c>
      <c r="Z464" s="2" t="str">
        <f>SUBSTITUTE(Before_Tbl[[#This Row],[Phone]],"-","")</f>
        <v>6974132833</v>
      </c>
      <c r="AA464" t="str">
        <f>TRIM(PROPER(Before_Tbl[[#This Row],[Performance_Score]]))</f>
        <v>Good</v>
      </c>
      <c r="AB464" s="2" t="str">
        <f>TRIM(UPPER(Before_Tbl[[#This Row],[Remote_Work]]))</f>
        <v>TRUE</v>
      </c>
    </row>
    <row r="465" spans="1:28" x14ac:dyDescent="0.35">
      <c r="A465" t="s">
        <v>845</v>
      </c>
      <c r="B465" t="s">
        <v>32</v>
      </c>
      <c r="C465" t="s">
        <v>122</v>
      </c>
      <c r="D465">
        <v>25</v>
      </c>
      <c r="E465" t="s">
        <v>237</v>
      </c>
      <c r="F465" t="s">
        <v>16</v>
      </c>
      <c r="G465" s="1">
        <v>44564</v>
      </c>
      <c r="H465">
        <v>80675.41</v>
      </c>
      <c r="I465" t="s">
        <v>522</v>
      </c>
      <c r="J465">
        <v>-8315203770</v>
      </c>
      <c r="K465" t="s">
        <v>23</v>
      </c>
      <c r="L465" t="b">
        <v>0</v>
      </c>
      <c r="P465" t="str">
        <f>TRIM(Before_Tbl[[#This Row],[Employee_ID]])</f>
        <v>EMP1463</v>
      </c>
      <c r="Q465" t="str">
        <f>TRIM(PROPER(Before_Tbl[[#This Row],[First_Name]]))</f>
        <v>Eva</v>
      </c>
      <c r="R465" t="str">
        <f>TRIM(PROPER(Before_Tbl[[#This Row],[Last_Name]]))</f>
        <v>Smith</v>
      </c>
      <c r="S465" s="25">
        <f t="shared" si="7"/>
        <v>25</v>
      </c>
      <c r="T465" t="str">
        <f>LEFT(Before_Tbl[[#This Row],[Department_Region]],FIND("-",Before_Tbl[[#This Row],[Department_Region]])-1)</f>
        <v>DevOps</v>
      </c>
      <c r="U465" t="str">
        <f>RIGHT(Before_Tbl[[#This Row],[Department_Region]],LEN(Before_Tbl[[#This Row],[Department_Region]])-FIND("-",Before_Tbl[[#This Row],[Department_Region]]))</f>
        <v>Texas</v>
      </c>
      <c r="V465" t="str">
        <f>TRIM(PROPER(Before_Tbl[[#This Row],[Status]]))</f>
        <v>Active</v>
      </c>
      <c r="W465" s="26">
        <v>44564</v>
      </c>
      <c r="X465" s="4">
        <v>80675.41</v>
      </c>
      <c r="Y465" t="str">
        <f>TRIM(LOWER(Before_Tbl[[#This Row],[Email]]))</f>
        <v>eva.smith@example.com</v>
      </c>
      <c r="Z465" s="2" t="str">
        <f>SUBSTITUTE(Before_Tbl[[#This Row],[Phone]],"-","")</f>
        <v>8315203770</v>
      </c>
      <c r="AA465" t="str">
        <f>TRIM(PROPER(Before_Tbl[[#This Row],[Performance_Score]]))</f>
        <v>Excellent</v>
      </c>
      <c r="AB465" s="2" t="str">
        <f>TRIM(UPPER(Before_Tbl[[#This Row],[Remote_Work]]))</f>
        <v>FALSE</v>
      </c>
    </row>
    <row r="466" spans="1:28" x14ac:dyDescent="0.35">
      <c r="A466" t="s">
        <v>846</v>
      </c>
      <c r="B466" t="s">
        <v>54</v>
      </c>
      <c r="C466" t="s">
        <v>20</v>
      </c>
      <c r="D466">
        <v>40</v>
      </c>
      <c r="E466" t="s">
        <v>112</v>
      </c>
      <c r="F466" t="s">
        <v>33</v>
      </c>
      <c r="G466" t="s">
        <v>847</v>
      </c>
      <c r="H466">
        <v>76274.33</v>
      </c>
      <c r="I466" t="s">
        <v>125</v>
      </c>
      <c r="J466">
        <v>-704496409</v>
      </c>
      <c r="K466" t="s">
        <v>18</v>
      </c>
      <c r="L466" t="b">
        <v>0</v>
      </c>
      <c r="P466" t="str">
        <f>TRIM(Before_Tbl[[#This Row],[Employee_ID]])</f>
        <v>EMP1464</v>
      </c>
      <c r="Q466" t="str">
        <f>TRIM(PROPER(Before_Tbl[[#This Row],[First_Name]]))</f>
        <v>Charlie</v>
      </c>
      <c r="R466" t="str">
        <f>TRIM(PROPER(Before_Tbl[[#This Row],[Last_Name]]))</f>
        <v>Brown</v>
      </c>
      <c r="S466" s="25">
        <f t="shared" si="7"/>
        <v>40</v>
      </c>
      <c r="T466" t="str">
        <f>LEFT(Before_Tbl[[#This Row],[Department_Region]],FIND("-",Before_Tbl[[#This Row],[Department_Region]])-1)</f>
        <v>Finance</v>
      </c>
      <c r="U466" t="str">
        <f>RIGHT(Before_Tbl[[#This Row],[Department_Region]],LEN(Before_Tbl[[#This Row],[Department_Region]])-FIND("-",Before_Tbl[[#This Row],[Department_Region]]))</f>
        <v>Florida</v>
      </c>
      <c r="V466" t="str">
        <f>TRIM(PROPER(Before_Tbl[[#This Row],[Status]]))</f>
        <v>Inactive</v>
      </c>
      <c r="W466" s="26">
        <v>44949</v>
      </c>
      <c r="X466" s="4">
        <v>76274.33</v>
      </c>
      <c r="Y466" t="str">
        <f>TRIM(LOWER(Before_Tbl[[#This Row],[Email]]))</f>
        <v>charlie.brown@example.com</v>
      </c>
      <c r="Z466" s="2" t="str">
        <f>SUBSTITUTE(Before_Tbl[[#This Row],[Phone]],"-","")</f>
        <v>704496409</v>
      </c>
      <c r="AA466" t="str">
        <f>TRIM(PROPER(Before_Tbl[[#This Row],[Performance_Score]]))</f>
        <v>Average</v>
      </c>
      <c r="AB466" s="2" t="str">
        <f>TRIM(UPPER(Before_Tbl[[#This Row],[Remote_Work]]))</f>
        <v>FALSE</v>
      </c>
    </row>
    <row r="467" spans="1:28" x14ac:dyDescent="0.35">
      <c r="A467" t="s">
        <v>848</v>
      </c>
      <c r="B467" t="s">
        <v>59</v>
      </c>
      <c r="C467" t="s">
        <v>14</v>
      </c>
      <c r="D467">
        <v>30</v>
      </c>
      <c r="E467" t="s">
        <v>21</v>
      </c>
      <c r="F467" t="s">
        <v>16</v>
      </c>
      <c r="G467" t="s">
        <v>849</v>
      </c>
      <c r="H467">
        <v>51405.46</v>
      </c>
      <c r="I467" t="s">
        <v>63</v>
      </c>
      <c r="J467">
        <v>-4967066702</v>
      </c>
      <c r="K467" t="s">
        <v>18</v>
      </c>
      <c r="L467" t="b">
        <v>1</v>
      </c>
      <c r="P467" t="str">
        <f>TRIM(Before_Tbl[[#This Row],[Employee_ID]])</f>
        <v>EMP1465</v>
      </c>
      <c r="Q467" t="str">
        <f>TRIM(PROPER(Before_Tbl[[#This Row],[First_Name]]))</f>
        <v>David</v>
      </c>
      <c r="R467" t="str">
        <f>TRIM(PROPER(Before_Tbl[[#This Row],[Last_Name]]))</f>
        <v>Davis</v>
      </c>
      <c r="S467" s="25">
        <f t="shared" si="7"/>
        <v>30</v>
      </c>
      <c r="T467" t="str">
        <f>LEFT(Before_Tbl[[#This Row],[Department_Region]],FIND("-",Before_Tbl[[#This Row],[Department_Region]])-1)</f>
        <v>Finance</v>
      </c>
      <c r="U467" t="str">
        <f>RIGHT(Before_Tbl[[#This Row],[Department_Region]],LEN(Before_Tbl[[#This Row],[Department_Region]])-FIND("-",Before_Tbl[[#This Row],[Department_Region]]))</f>
        <v>Texas</v>
      </c>
      <c r="V467" t="str">
        <f>TRIM(PROPER(Before_Tbl[[#This Row],[Status]]))</f>
        <v>Active</v>
      </c>
      <c r="W467" s="26">
        <v>44434</v>
      </c>
      <c r="X467" s="4">
        <v>51405.46</v>
      </c>
      <c r="Y467" t="str">
        <f>TRIM(LOWER(Before_Tbl[[#This Row],[Email]]))</f>
        <v>david.davis@example.com</v>
      </c>
      <c r="Z467" s="2" t="str">
        <f>SUBSTITUTE(Before_Tbl[[#This Row],[Phone]],"-","")</f>
        <v>4967066702</v>
      </c>
      <c r="AA467" t="str">
        <f>TRIM(PROPER(Before_Tbl[[#This Row],[Performance_Score]]))</f>
        <v>Average</v>
      </c>
      <c r="AB467" s="2" t="str">
        <f>TRIM(UPPER(Before_Tbl[[#This Row],[Remote_Work]]))</f>
        <v>TRUE</v>
      </c>
    </row>
    <row r="468" spans="1:28" x14ac:dyDescent="0.35">
      <c r="A468" t="s">
        <v>850</v>
      </c>
      <c r="B468" t="s">
        <v>13</v>
      </c>
      <c r="C468" t="s">
        <v>43</v>
      </c>
      <c r="D468">
        <v>25</v>
      </c>
      <c r="E468" t="s">
        <v>66</v>
      </c>
      <c r="F468" t="s">
        <v>33</v>
      </c>
      <c r="G468" t="s">
        <v>851</v>
      </c>
      <c r="H468">
        <v>101238.96</v>
      </c>
      <c r="I468" t="s">
        <v>153</v>
      </c>
      <c r="J468">
        <v>-3626804084</v>
      </c>
      <c r="K468" t="s">
        <v>18</v>
      </c>
      <c r="L468" t="b">
        <v>1</v>
      </c>
      <c r="P468" t="str">
        <f>TRIM(Before_Tbl[[#This Row],[Employee_ID]])</f>
        <v>EMP1466</v>
      </c>
      <c r="Q468" t="str">
        <f>TRIM(PROPER(Before_Tbl[[#This Row],[First_Name]]))</f>
        <v>Bob</v>
      </c>
      <c r="R468" t="str">
        <f>TRIM(PROPER(Before_Tbl[[#This Row],[Last_Name]]))</f>
        <v>Garcia</v>
      </c>
      <c r="S468" s="25">
        <f t="shared" si="7"/>
        <v>25</v>
      </c>
      <c r="T468" t="str">
        <f>LEFT(Before_Tbl[[#This Row],[Department_Region]],FIND("-",Before_Tbl[[#This Row],[Department_Region]])-1)</f>
        <v>HR</v>
      </c>
      <c r="U468" t="str">
        <f>RIGHT(Before_Tbl[[#This Row],[Department_Region]],LEN(Before_Tbl[[#This Row],[Department_Region]])-FIND("-",Before_Tbl[[#This Row],[Department_Region]]))</f>
        <v>New York</v>
      </c>
      <c r="V468" t="str">
        <f>TRIM(PROPER(Before_Tbl[[#This Row],[Status]]))</f>
        <v>Inactive</v>
      </c>
      <c r="W468" s="26">
        <v>44160</v>
      </c>
      <c r="X468" s="4">
        <v>101238.96</v>
      </c>
      <c r="Y468" t="str">
        <f>TRIM(LOWER(Before_Tbl[[#This Row],[Email]]))</f>
        <v>bob.garcia@example.com</v>
      </c>
      <c r="Z468" s="2" t="str">
        <f>SUBSTITUTE(Before_Tbl[[#This Row],[Phone]],"-","")</f>
        <v>3626804084</v>
      </c>
      <c r="AA468" t="str">
        <f>TRIM(PROPER(Before_Tbl[[#This Row],[Performance_Score]]))</f>
        <v>Average</v>
      </c>
      <c r="AB468" s="2" t="str">
        <f>TRIM(UPPER(Before_Tbl[[#This Row],[Remote_Work]]))</f>
        <v>TRUE</v>
      </c>
    </row>
    <row r="469" spans="1:28" x14ac:dyDescent="0.35">
      <c r="A469" t="s">
        <v>852</v>
      </c>
      <c r="B469" t="s">
        <v>13</v>
      </c>
      <c r="C469" t="s">
        <v>122</v>
      </c>
      <c r="D469">
        <v>35</v>
      </c>
      <c r="E469" t="s">
        <v>98</v>
      </c>
      <c r="F469" t="s">
        <v>33</v>
      </c>
      <c r="G469" t="s">
        <v>853</v>
      </c>
      <c r="H469">
        <v>52169.52</v>
      </c>
      <c r="I469" t="s">
        <v>123</v>
      </c>
      <c r="J469">
        <v>-954930595</v>
      </c>
      <c r="K469" t="s">
        <v>23</v>
      </c>
      <c r="L469" t="b">
        <v>0</v>
      </c>
      <c r="P469" t="str">
        <f>TRIM(Before_Tbl[[#This Row],[Employee_ID]])</f>
        <v>EMP1467</v>
      </c>
      <c r="Q469" t="str">
        <f>TRIM(PROPER(Before_Tbl[[#This Row],[First_Name]]))</f>
        <v>Bob</v>
      </c>
      <c r="R469" t="str">
        <f>TRIM(PROPER(Before_Tbl[[#This Row],[Last_Name]]))</f>
        <v>Smith</v>
      </c>
      <c r="S469" s="25">
        <f t="shared" si="7"/>
        <v>35</v>
      </c>
      <c r="T469" t="str">
        <f>LEFT(Before_Tbl[[#This Row],[Department_Region]],FIND("-",Before_Tbl[[#This Row],[Department_Region]])-1)</f>
        <v>Sales</v>
      </c>
      <c r="U469" t="str">
        <f>RIGHT(Before_Tbl[[#This Row],[Department_Region]],LEN(Before_Tbl[[#This Row],[Department_Region]])-FIND("-",Before_Tbl[[#This Row],[Department_Region]]))</f>
        <v>Illinois</v>
      </c>
      <c r="V469" t="str">
        <f>TRIM(PROPER(Before_Tbl[[#This Row],[Status]]))</f>
        <v>Inactive</v>
      </c>
      <c r="W469" s="26">
        <v>45273</v>
      </c>
      <c r="X469" s="4">
        <v>52169.52</v>
      </c>
      <c r="Y469" t="str">
        <f>TRIM(LOWER(Before_Tbl[[#This Row],[Email]]))</f>
        <v>bob.smith@example.com</v>
      </c>
      <c r="Z469" s="2" t="str">
        <f>SUBSTITUTE(Before_Tbl[[#This Row],[Phone]],"-","")</f>
        <v>954930595</v>
      </c>
      <c r="AA469" t="str">
        <f>TRIM(PROPER(Before_Tbl[[#This Row],[Performance_Score]]))</f>
        <v>Excellent</v>
      </c>
      <c r="AB469" s="2" t="str">
        <f>TRIM(UPPER(Before_Tbl[[#This Row],[Remote_Work]]))</f>
        <v>FALSE</v>
      </c>
    </row>
    <row r="470" spans="1:28" x14ac:dyDescent="0.35">
      <c r="A470" t="s">
        <v>854</v>
      </c>
      <c r="B470" t="s">
        <v>54</v>
      </c>
      <c r="C470" t="s">
        <v>26</v>
      </c>
      <c r="E470" t="s">
        <v>227</v>
      </c>
      <c r="F470" t="s">
        <v>16</v>
      </c>
      <c r="G470" t="s">
        <v>855</v>
      </c>
      <c r="H470">
        <v>73176.62</v>
      </c>
      <c r="I470" t="s">
        <v>120</v>
      </c>
      <c r="J470">
        <v>-6018648768</v>
      </c>
      <c r="K470" t="s">
        <v>23</v>
      </c>
      <c r="L470" t="b">
        <v>0</v>
      </c>
      <c r="P470" t="str">
        <f>TRIM(Before_Tbl[[#This Row],[Employee_ID]])</f>
        <v>EMP1468</v>
      </c>
      <c r="Q470" t="str">
        <f>TRIM(PROPER(Before_Tbl[[#This Row],[First_Name]]))</f>
        <v>Charlie</v>
      </c>
      <c r="R470" t="str">
        <f>TRIM(PROPER(Before_Tbl[[#This Row],[Last_Name]]))</f>
        <v>Jones</v>
      </c>
      <c r="S470" s="25">
        <f t="shared" si="7"/>
        <v>30</v>
      </c>
      <c r="T470" t="str">
        <f>LEFT(Before_Tbl[[#This Row],[Department_Region]],FIND("-",Before_Tbl[[#This Row],[Department_Region]])-1)</f>
        <v>Finance</v>
      </c>
      <c r="U470" t="str">
        <f>RIGHT(Before_Tbl[[#This Row],[Department_Region]],LEN(Before_Tbl[[#This Row],[Department_Region]])-FIND("-",Before_Tbl[[#This Row],[Department_Region]]))</f>
        <v>New York</v>
      </c>
      <c r="V470" t="str">
        <f>TRIM(PROPER(Before_Tbl[[#This Row],[Status]]))</f>
        <v>Active</v>
      </c>
      <c r="W470" s="26">
        <v>44038</v>
      </c>
      <c r="X470" s="4">
        <v>73176.62</v>
      </c>
      <c r="Y470" t="str">
        <f>TRIM(LOWER(Before_Tbl[[#This Row],[Email]]))</f>
        <v>charlie.jones@example.com</v>
      </c>
      <c r="Z470" s="2" t="str">
        <f>SUBSTITUTE(Before_Tbl[[#This Row],[Phone]],"-","")</f>
        <v>6018648768</v>
      </c>
      <c r="AA470" t="str">
        <f>TRIM(PROPER(Before_Tbl[[#This Row],[Performance_Score]]))</f>
        <v>Excellent</v>
      </c>
      <c r="AB470" s="2" t="str">
        <f>TRIM(UPPER(Before_Tbl[[#This Row],[Remote_Work]]))</f>
        <v>FALSE</v>
      </c>
    </row>
    <row r="471" spans="1:28" x14ac:dyDescent="0.35">
      <c r="A471" t="s">
        <v>856</v>
      </c>
      <c r="B471" t="s">
        <v>69</v>
      </c>
      <c r="C471" t="s">
        <v>20</v>
      </c>
      <c r="E471" t="s">
        <v>329</v>
      </c>
      <c r="F471" t="s">
        <v>28</v>
      </c>
      <c r="G471" t="s">
        <v>143</v>
      </c>
      <c r="H471">
        <v>96241.85</v>
      </c>
      <c r="I471" t="s">
        <v>201</v>
      </c>
      <c r="J471">
        <v>-9842673203</v>
      </c>
      <c r="K471" t="s">
        <v>23</v>
      </c>
      <c r="L471" t="b">
        <v>0</v>
      </c>
      <c r="P471" t="str">
        <f>TRIM(Before_Tbl[[#This Row],[Employee_ID]])</f>
        <v>EMP1469</v>
      </c>
      <c r="Q471" t="str">
        <f>TRIM(PROPER(Before_Tbl[[#This Row],[First_Name]]))</f>
        <v>Grace</v>
      </c>
      <c r="R471" t="str">
        <f>TRIM(PROPER(Before_Tbl[[#This Row],[Last_Name]]))</f>
        <v>Brown</v>
      </c>
      <c r="S471" s="25">
        <f t="shared" si="7"/>
        <v>30</v>
      </c>
      <c r="T471" t="str">
        <f>LEFT(Before_Tbl[[#This Row],[Department_Region]],FIND("-",Before_Tbl[[#This Row],[Department_Region]])-1)</f>
        <v>DevOps</v>
      </c>
      <c r="U471" t="str">
        <f>RIGHT(Before_Tbl[[#This Row],[Department_Region]],LEN(Before_Tbl[[#This Row],[Department_Region]])-FIND("-",Before_Tbl[[#This Row],[Department_Region]]))</f>
        <v>Nevada</v>
      </c>
      <c r="V471" t="str">
        <f>TRIM(PROPER(Before_Tbl[[#This Row],[Status]]))</f>
        <v>Pending</v>
      </c>
      <c r="W471" s="26">
        <v>44374</v>
      </c>
      <c r="X471" s="4">
        <v>96241.85</v>
      </c>
      <c r="Y471" t="str">
        <f>TRIM(LOWER(Before_Tbl[[#This Row],[Email]]))</f>
        <v>grace.brown@example.com</v>
      </c>
      <c r="Z471" s="2" t="str">
        <f>SUBSTITUTE(Before_Tbl[[#This Row],[Phone]],"-","")</f>
        <v>9842673203</v>
      </c>
      <c r="AA471" t="str">
        <f>TRIM(PROPER(Before_Tbl[[#This Row],[Performance_Score]]))</f>
        <v>Excellent</v>
      </c>
      <c r="AB471" s="2" t="str">
        <f>TRIM(UPPER(Before_Tbl[[#This Row],[Remote_Work]]))</f>
        <v>FALSE</v>
      </c>
    </row>
    <row r="472" spans="1:28" x14ac:dyDescent="0.35">
      <c r="A472" t="s">
        <v>857</v>
      </c>
      <c r="B472" t="s">
        <v>13</v>
      </c>
      <c r="C472" t="s">
        <v>26</v>
      </c>
      <c r="D472">
        <v>25</v>
      </c>
      <c r="E472" t="s">
        <v>265</v>
      </c>
      <c r="F472" t="s">
        <v>28</v>
      </c>
      <c r="G472" t="s">
        <v>210</v>
      </c>
      <c r="H472">
        <v>84366.38</v>
      </c>
      <c r="I472" t="s">
        <v>50</v>
      </c>
      <c r="J472">
        <v>-4138459608</v>
      </c>
      <c r="K472" t="s">
        <v>23</v>
      </c>
      <c r="L472" t="b">
        <v>0</v>
      </c>
      <c r="P472" t="str">
        <f>TRIM(Before_Tbl[[#This Row],[Employee_ID]])</f>
        <v>EMP1470</v>
      </c>
      <c r="Q472" t="str">
        <f>TRIM(PROPER(Before_Tbl[[#This Row],[First_Name]]))</f>
        <v>Bob</v>
      </c>
      <c r="R472" t="str">
        <f>TRIM(PROPER(Before_Tbl[[#This Row],[Last_Name]]))</f>
        <v>Jones</v>
      </c>
      <c r="S472" s="25">
        <f t="shared" si="7"/>
        <v>25</v>
      </c>
      <c r="T472" t="str">
        <f>LEFT(Before_Tbl[[#This Row],[Department_Region]],FIND("-",Before_Tbl[[#This Row],[Department_Region]])-1)</f>
        <v>Finance</v>
      </c>
      <c r="U472" t="str">
        <f>RIGHT(Before_Tbl[[#This Row],[Department_Region]],LEN(Before_Tbl[[#This Row],[Department_Region]])-FIND("-",Before_Tbl[[#This Row],[Department_Region]]))</f>
        <v>Illinois</v>
      </c>
      <c r="V472" t="str">
        <f>TRIM(PROPER(Before_Tbl[[#This Row],[Status]]))</f>
        <v>Pending</v>
      </c>
      <c r="W472" s="26">
        <v>45551</v>
      </c>
      <c r="X472" s="4">
        <v>84366.38</v>
      </c>
      <c r="Y472" t="str">
        <f>TRIM(LOWER(Before_Tbl[[#This Row],[Email]]))</f>
        <v>bob.jones@example.com</v>
      </c>
      <c r="Z472" s="2" t="str">
        <f>SUBSTITUTE(Before_Tbl[[#This Row],[Phone]],"-","")</f>
        <v>4138459608</v>
      </c>
      <c r="AA472" t="str">
        <f>TRIM(PROPER(Before_Tbl[[#This Row],[Performance_Score]]))</f>
        <v>Excellent</v>
      </c>
      <c r="AB472" s="2" t="str">
        <f>TRIM(UPPER(Before_Tbl[[#This Row],[Remote_Work]]))</f>
        <v>FALSE</v>
      </c>
    </row>
    <row r="473" spans="1:28" x14ac:dyDescent="0.35">
      <c r="A473" t="s">
        <v>858</v>
      </c>
      <c r="B473" t="s">
        <v>25</v>
      </c>
      <c r="C473" t="s">
        <v>43</v>
      </c>
      <c r="D473">
        <v>40</v>
      </c>
      <c r="E473" t="s">
        <v>268</v>
      </c>
      <c r="F473" t="s">
        <v>28</v>
      </c>
      <c r="G473" s="1">
        <v>45023</v>
      </c>
      <c r="H473">
        <v>92015.09</v>
      </c>
      <c r="I473" t="s">
        <v>45</v>
      </c>
      <c r="J473">
        <v>-4544901494</v>
      </c>
      <c r="K473" t="s">
        <v>18</v>
      </c>
      <c r="L473" t="b">
        <v>1</v>
      </c>
      <c r="P473" t="str">
        <f>TRIM(Before_Tbl[[#This Row],[Employee_ID]])</f>
        <v>EMP1471</v>
      </c>
      <c r="Q473" t="str">
        <f>TRIM(PROPER(Before_Tbl[[#This Row],[First_Name]]))</f>
        <v>Alice</v>
      </c>
      <c r="R473" t="str">
        <f>TRIM(PROPER(Before_Tbl[[#This Row],[Last_Name]]))</f>
        <v>Garcia</v>
      </c>
      <c r="S473" s="25">
        <f t="shared" si="7"/>
        <v>40</v>
      </c>
      <c r="T473" t="str">
        <f>LEFT(Before_Tbl[[#This Row],[Department_Region]],FIND("-",Before_Tbl[[#This Row],[Department_Region]])-1)</f>
        <v>Cloud Tech</v>
      </c>
      <c r="U473" t="str">
        <f>RIGHT(Before_Tbl[[#This Row],[Department_Region]],LEN(Before_Tbl[[#This Row],[Department_Region]])-FIND("-",Before_Tbl[[#This Row],[Department_Region]]))</f>
        <v>California</v>
      </c>
      <c r="V473" t="str">
        <f>TRIM(PROPER(Before_Tbl[[#This Row],[Status]]))</f>
        <v>Pending</v>
      </c>
      <c r="W473" s="26">
        <v>45023</v>
      </c>
      <c r="X473" s="4">
        <v>92015.09</v>
      </c>
      <c r="Y473" t="str">
        <f>TRIM(LOWER(Before_Tbl[[#This Row],[Email]]))</f>
        <v>alice.garcia@example.com</v>
      </c>
      <c r="Z473" s="2" t="str">
        <f>SUBSTITUTE(Before_Tbl[[#This Row],[Phone]],"-","")</f>
        <v>4544901494</v>
      </c>
      <c r="AA473" t="str">
        <f>TRIM(PROPER(Before_Tbl[[#This Row],[Performance_Score]]))</f>
        <v>Average</v>
      </c>
      <c r="AB473" s="2" t="str">
        <f>TRIM(UPPER(Before_Tbl[[#This Row],[Remote_Work]]))</f>
        <v>TRUE</v>
      </c>
    </row>
    <row r="474" spans="1:28" x14ac:dyDescent="0.35">
      <c r="A474" t="s">
        <v>859</v>
      </c>
      <c r="B474" t="s">
        <v>25</v>
      </c>
      <c r="C474" t="s">
        <v>38</v>
      </c>
      <c r="D474">
        <v>30</v>
      </c>
      <c r="E474" t="s">
        <v>27</v>
      </c>
      <c r="F474" t="s">
        <v>33</v>
      </c>
      <c r="G474" t="s">
        <v>860</v>
      </c>
      <c r="H474">
        <v>83149.95</v>
      </c>
      <c r="I474" t="s">
        <v>363</v>
      </c>
      <c r="J474">
        <v>-4277070704</v>
      </c>
      <c r="K474" t="s">
        <v>18</v>
      </c>
      <c r="L474" t="b">
        <v>0</v>
      </c>
      <c r="P474" t="str">
        <f>TRIM(Before_Tbl[[#This Row],[Employee_ID]])</f>
        <v>EMP1472</v>
      </c>
      <c r="Q474" t="str">
        <f>TRIM(PROPER(Before_Tbl[[#This Row],[First_Name]]))</f>
        <v>Alice</v>
      </c>
      <c r="R474" t="str">
        <f>TRIM(PROPER(Before_Tbl[[#This Row],[Last_Name]]))</f>
        <v>Williams</v>
      </c>
      <c r="S474" s="25">
        <f t="shared" si="7"/>
        <v>30</v>
      </c>
      <c r="T474" t="str">
        <f>LEFT(Before_Tbl[[#This Row],[Department_Region]],FIND("-",Before_Tbl[[#This Row],[Department_Region]])-1)</f>
        <v>Admin</v>
      </c>
      <c r="U474" t="str">
        <f>RIGHT(Before_Tbl[[#This Row],[Department_Region]],LEN(Before_Tbl[[#This Row],[Department_Region]])-FIND("-",Before_Tbl[[#This Row],[Department_Region]]))</f>
        <v>Nevada</v>
      </c>
      <c r="V474" t="str">
        <f>TRIM(PROPER(Before_Tbl[[#This Row],[Status]]))</f>
        <v>Inactive</v>
      </c>
      <c r="W474" s="26">
        <v>43998</v>
      </c>
      <c r="X474" s="4">
        <v>83149.95</v>
      </c>
      <c r="Y474" t="str">
        <f>TRIM(LOWER(Before_Tbl[[#This Row],[Email]]))</f>
        <v>alice.williams@example.com</v>
      </c>
      <c r="Z474" s="2" t="str">
        <f>SUBSTITUTE(Before_Tbl[[#This Row],[Phone]],"-","")</f>
        <v>4277070704</v>
      </c>
      <c r="AA474" t="str">
        <f>TRIM(PROPER(Before_Tbl[[#This Row],[Performance_Score]]))</f>
        <v>Average</v>
      </c>
      <c r="AB474" s="2" t="str">
        <f>TRIM(UPPER(Before_Tbl[[#This Row],[Remote_Work]]))</f>
        <v>FALSE</v>
      </c>
    </row>
    <row r="475" spans="1:28" x14ac:dyDescent="0.35">
      <c r="A475" t="s">
        <v>861</v>
      </c>
      <c r="B475" t="s">
        <v>69</v>
      </c>
      <c r="C475" t="s">
        <v>20</v>
      </c>
      <c r="D475">
        <v>40</v>
      </c>
      <c r="E475" t="s">
        <v>100</v>
      </c>
      <c r="F475" t="s">
        <v>33</v>
      </c>
      <c r="G475" s="1">
        <v>43958</v>
      </c>
      <c r="H475">
        <v>94930.65</v>
      </c>
      <c r="I475" t="s">
        <v>201</v>
      </c>
      <c r="J475">
        <v>-7836091497</v>
      </c>
      <c r="K475" t="s">
        <v>30</v>
      </c>
      <c r="L475" t="b">
        <v>0</v>
      </c>
      <c r="P475" t="str">
        <f>TRIM(Before_Tbl[[#This Row],[Employee_ID]])</f>
        <v>EMP1473</v>
      </c>
      <c r="Q475" t="str">
        <f>TRIM(PROPER(Before_Tbl[[#This Row],[First_Name]]))</f>
        <v>Grace</v>
      </c>
      <c r="R475" t="str">
        <f>TRIM(PROPER(Before_Tbl[[#This Row],[Last_Name]]))</f>
        <v>Brown</v>
      </c>
      <c r="S475" s="25">
        <f t="shared" si="7"/>
        <v>40</v>
      </c>
      <c r="T475" t="str">
        <f>LEFT(Before_Tbl[[#This Row],[Department_Region]],FIND("-",Before_Tbl[[#This Row],[Department_Region]])-1)</f>
        <v>Finance</v>
      </c>
      <c r="U475" t="str">
        <f>RIGHT(Before_Tbl[[#This Row],[Department_Region]],LEN(Before_Tbl[[#This Row],[Department_Region]])-FIND("-",Before_Tbl[[#This Row],[Department_Region]]))</f>
        <v>Nevada</v>
      </c>
      <c r="V475" t="str">
        <f>TRIM(PROPER(Before_Tbl[[#This Row],[Status]]))</f>
        <v>Inactive</v>
      </c>
      <c r="W475" s="26">
        <v>43958</v>
      </c>
      <c r="X475" s="4">
        <v>94930.65</v>
      </c>
      <c r="Y475" t="str">
        <f>TRIM(LOWER(Before_Tbl[[#This Row],[Email]]))</f>
        <v>grace.brown@example.com</v>
      </c>
      <c r="Z475" s="2" t="str">
        <f>SUBSTITUTE(Before_Tbl[[#This Row],[Phone]],"-","")</f>
        <v>7836091497</v>
      </c>
      <c r="AA475" t="str">
        <f>TRIM(PROPER(Before_Tbl[[#This Row],[Performance_Score]]))</f>
        <v>Good</v>
      </c>
      <c r="AB475" s="2" t="str">
        <f>TRIM(UPPER(Before_Tbl[[#This Row],[Remote_Work]]))</f>
        <v>FALSE</v>
      </c>
    </row>
    <row r="476" spans="1:28" x14ac:dyDescent="0.35">
      <c r="A476" t="s">
        <v>862</v>
      </c>
      <c r="B476" t="s">
        <v>37</v>
      </c>
      <c r="C476" t="s">
        <v>38</v>
      </c>
      <c r="D476">
        <v>40</v>
      </c>
      <c r="E476" t="s">
        <v>66</v>
      </c>
      <c r="F476" t="s">
        <v>33</v>
      </c>
      <c r="G476" s="1">
        <v>43834</v>
      </c>
      <c r="H476">
        <v>68430.720000000001</v>
      </c>
      <c r="I476" t="s">
        <v>40</v>
      </c>
      <c r="J476">
        <v>-5172444722</v>
      </c>
      <c r="K476" t="s">
        <v>30</v>
      </c>
      <c r="L476" t="b">
        <v>1</v>
      </c>
      <c r="P476" t="str">
        <f>TRIM(Before_Tbl[[#This Row],[Employee_ID]])</f>
        <v>EMP1474</v>
      </c>
      <c r="Q476" t="str">
        <f>TRIM(PROPER(Before_Tbl[[#This Row],[First_Name]]))</f>
        <v>Frank</v>
      </c>
      <c r="R476" t="str">
        <f>TRIM(PROPER(Before_Tbl[[#This Row],[Last_Name]]))</f>
        <v>Williams</v>
      </c>
      <c r="S476" s="25">
        <f t="shared" si="7"/>
        <v>40</v>
      </c>
      <c r="T476" t="str">
        <f>LEFT(Before_Tbl[[#This Row],[Department_Region]],FIND("-",Before_Tbl[[#This Row],[Department_Region]])-1)</f>
        <v>HR</v>
      </c>
      <c r="U476" t="str">
        <f>RIGHT(Before_Tbl[[#This Row],[Department_Region]],LEN(Before_Tbl[[#This Row],[Department_Region]])-FIND("-",Before_Tbl[[#This Row],[Department_Region]]))</f>
        <v>New York</v>
      </c>
      <c r="V476" t="str">
        <f>TRIM(PROPER(Before_Tbl[[#This Row],[Status]]))</f>
        <v>Inactive</v>
      </c>
      <c r="W476" s="26">
        <v>43834</v>
      </c>
      <c r="X476" s="4">
        <v>68430.720000000001</v>
      </c>
      <c r="Y476" t="str">
        <f>TRIM(LOWER(Before_Tbl[[#This Row],[Email]]))</f>
        <v>frank.williams@example.com</v>
      </c>
      <c r="Z476" s="2" t="str">
        <f>SUBSTITUTE(Before_Tbl[[#This Row],[Phone]],"-","")</f>
        <v>5172444722</v>
      </c>
      <c r="AA476" t="str">
        <f>TRIM(PROPER(Before_Tbl[[#This Row],[Performance_Score]]))</f>
        <v>Good</v>
      </c>
      <c r="AB476" s="2" t="str">
        <f>TRIM(UPPER(Before_Tbl[[#This Row],[Remote_Work]]))</f>
        <v>TRUE</v>
      </c>
    </row>
    <row r="477" spans="1:28" x14ac:dyDescent="0.35">
      <c r="A477" t="s">
        <v>863</v>
      </c>
      <c r="B477" t="s">
        <v>59</v>
      </c>
      <c r="C477" t="s">
        <v>43</v>
      </c>
      <c r="D477">
        <v>35</v>
      </c>
      <c r="E477" t="s">
        <v>44</v>
      </c>
      <c r="F477" t="s">
        <v>16</v>
      </c>
      <c r="G477" t="s">
        <v>864</v>
      </c>
      <c r="H477">
        <v>98752.97</v>
      </c>
      <c r="I477" t="s">
        <v>101</v>
      </c>
      <c r="J477">
        <v>-2290310286</v>
      </c>
      <c r="K477" t="s">
        <v>23</v>
      </c>
      <c r="L477" t="b">
        <v>0</v>
      </c>
      <c r="P477" t="str">
        <f>TRIM(Before_Tbl[[#This Row],[Employee_ID]])</f>
        <v>EMP1475</v>
      </c>
      <c r="Q477" t="str">
        <f>TRIM(PROPER(Before_Tbl[[#This Row],[First_Name]]))</f>
        <v>David</v>
      </c>
      <c r="R477" t="str">
        <f>TRIM(PROPER(Before_Tbl[[#This Row],[Last_Name]]))</f>
        <v>Garcia</v>
      </c>
      <c r="S477" s="25">
        <f t="shared" si="7"/>
        <v>35</v>
      </c>
      <c r="T477" t="str">
        <f>LEFT(Before_Tbl[[#This Row],[Department_Region]],FIND("-",Before_Tbl[[#This Row],[Department_Region]])-1)</f>
        <v>Sales</v>
      </c>
      <c r="U477" t="str">
        <f>RIGHT(Before_Tbl[[#This Row],[Department_Region]],LEN(Before_Tbl[[#This Row],[Department_Region]])-FIND("-",Before_Tbl[[#This Row],[Department_Region]]))</f>
        <v>Texas</v>
      </c>
      <c r="V477" t="str">
        <f>TRIM(PROPER(Before_Tbl[[#This Row],[Status]]))</f>
        <v>Active</v>
      </c>
      <c r="W477" s="26">
        <v>45371</v>
      </c>
      <c r="X477" s="4">
        <v>98752.97</v>
      </c>
      <c r="Y477" t="str">
        <f>TRIM(LOWER(Before_Tbl[[#This Row],[Email]]))</f>
        <v>david.garcia@example.com</v>
      </c>
      <c r="Z477" s="2" t="str">
        <f>SUBSTITUTE(Before_Tbl[[#This Row],[Phone]],"-","")</f>
        <v>2290310286</v>
      </c>
      <c r="AA477" t="str">
        <f>TRIM(PROPER(Before_Tbl[[#This Row],[Performance_Score]]))</f>
        <v>Excellent</v>
      </c>
      <c r="AB477" s="2" t="str">
        <f>TRIM(UPPER(Before_Tbl[[#This Row],[Remote_Work]]))</f>
        <v>FALSE</v>
      </c>
    </row>
    <row r="478" spans="1:28" x14ac:dyDescent="0.35">
      <c r="A478" t="s">
        <v>865</v>
      </c>
      <c r="B478" t="s">
        <v>37</v>
      </c>
      <c r="C478" t="s">
        <v>122</v>
      </c>
      <c r="E478" t="s">
        <v>265</v>
      </c>
      <c r="F478" t="s">
        <v>16</v>
      </c>
      <c r="G478" s="1">
        <v>45109</v>
      </c>
      <c r="H478">
        <v>54268.86</v>
      </c>
      <c r="I478" t="s">
        <v>137</v>
      </c>
      <c r="J478">
        <v>-9508304404</v>
      </c>
      <c r="K478" t="s">
        <v>41</v>
      </c>
      <c r="L478" t="b">
        <v>1</v>
      </c>
      <c r="P478" t="str">
        <f>TRIM(Before_Tbl[[#This Row],[Employee_ID]])</f>
        <v>EMP1476</v>
      </c>
      <c r="Q478" t="str">
        <f>TRIM(PROPER(Before_Tbl[[#This Row],[First_Name]]))</f>
        <v>Frank</v>
      </c>
      <c r="R478" t="str">
        <f>TRIM(PROPER(Before_Tbl[[#This Row],[Last_Name]]))</f>
        <v>Smith</v>
      </c>
      <c r="S478" s="25">
        <f t="shared" si="7"/>
        <v>30</v>
      </c>
      <c r="T478" t="str">
        <f>LEFT(Before_Tbl[[#This Row],[Department_Region]],FIND("-",Before_Tbl[[#This Row],[Department_Region]])-1)</f>
        <v>Finance</v>
      </c>
      <c r="U478" t="str">
        <f>RIGHT(Before_Tbl[[#This Row],[Department_Region]],LEN(Before_Tbl[[#This Row],[Department_Region]])-FIND("-",Before_Tbl[[#This Row],[Department_Region]]))</f>
        <v>Illinois</v>
      </c>
      <c r="V478" t="str">
        <f>TRIM(PROPER(Before_Tbl[[#This Row],[Status]]))</f>
        <v>Active</v>
      </c>
      <c r="W478" s="26">
        <v>45109</v>
      </c>
      <c r="X478" s="4">
        <v>54268.86</v>
      </c>
      <c r="Y478" t="str">
        <f>TRIM(LOWER(Before_Tbl[[#This Row],[Email]]))</f>
        <v>frank.smith@example.com</v>
      </c>
      <c r="Z478" s="2" t="str">
        <f>SUBSTITUTE(Before_Tbl[[#This Row],[Phone]],"-","")</f>
        <v>9508304404</v>
      </c>
      <c r="AA478" t="str">
        <f>TRIM(PROPER(Before_Tbl[[#This Row],[Performance_Score]]))</f>
        <v>Poor</v>
      </c>
      <c r="AB478" s="2" t="str">
        <f>TRIM(UPPER(Before_Tbl[[#This Row],[Remote_Work]]))</f>
        <v>TRUE</v>
      </c>
    </row>
    <row r="479" spans="1:28" x14ac:dyDescent="0.35">
      <c r="A479" t="s">
        <v>866</v>
      </c>
      <c r="B479" t="s">
        <v>69</v>
      </c>
      <c r="C479" t="s">
        <v>43</v>
      </c>
      <c r="E479" t="s">
        <v>230</v>
      </c>
      <c r="F479" t="s">
        <v>28</v>
      </c>
      <c r="G479" s="1">
        <v>45577</v>
      </c>
      <c r="H479">
        <v>66494.94</v>
      </c>
      <c r="I479" t="s">
        <v>83</v>
      </c>
      <c r="J479">
        <v>-8093511870</v>
      </c>
      <c r="K479" t="s">
        <v>41</v>
      </c>
      <c r="L479" t="b">
        <v>0</v>
      </c>
      <c r="P479" t="str">
        <f>TRIM(Before_Tbl[[#This Row],[Employee_ID]])</f>
        <v>EMP1477</v>
      </c>
      <c r="Q479" t="str">
        <f>TRIM(PROPER(Before_Tbl[[#This Row],[First_Name]]))</f>
        <v>Grace</v>
      </c>
      <c r="R479" t="str">
        <f>TRIM(PROPER(Before_Tbl[[#This Row],[Last_Name]]))</f>
        <v>Garcia</v>
      </c>
      <c r="S479" s="25">
        <f t="shared" si="7"/>
        <v>30</v>
      </c>
      <c r="T479" t="str">
        <f>LEFT(Before_Tbl[[#This Row],[Department_Region]],FIND("-",Before_Tbl[[#This Row],[Department_Region]])-1)</f>
        <v>DevOps</v>
      </c>
      <c r="U479" t="str">
        <f>RIGHT(Before_Tbl[[#This Row],[Department_Region]],LEN(Before_Tbl[[#This Row],[Department_Region]])-FIND("-",Before_Tbl[[#This Row],[Department_Region]]))</f>
        <v>Florida</v>
      </c>
      <c r="V479" t="str">
        <f>TRIM(PROPER(Before_Tbl[[#This Row],[Status]]))</f>
        <v>Pending</v>
      </c>
      <c r="W479" s="26">
        <v>45577</v>
      </c>
      <c r="X479" s="4">
        <v>66494.94</v>
      </c>
      <c r="Y479" t="str">
        <f>TRIM(LOWER(Before_Tbl[[#This Row],[Email]]))</f>
        <v>grace.garcia@example.com</v>
      </c>
      <c r="Z479" s="2" t="str">
        <f>SUBSTITUTE(Before_Tbl[[#This Row],[Phone]],"-","")</f>
        <v>8093511870</v>
      </c>
      <c r="AA479" t="str">
        <f>TRIM(PROPER(Before_Tbl[[#This Row],[Performance_Score]]))</f>
        <v>Poor</v>
      </c>
      <c r="AB479" s="2" t="str">
        <f>TRIM(UPPER(Before_Tbl[[#This Row],[Remote_Work]]))</f>
        <v>FALSE</v>
      </c>
    </row>
    <row r="480" spans="1:28" x14ac:dyDescent="0.35">
      <c r="A480" t="s">
        <v>867</v>
      </c>
      <c r="B480" t="s">
        <v>69</v>
      </c>
      <c r="C480" t="s">
        <v>122</v>
      </c>
      <c r="D480">
        <v>25</v>
      </c>
      <c r="E480" t="s">
        <v>98</v>
      </c>
      <c r="F480" t="s">
        <v>28</v>
      </c>
      <c r="G480" t="s">
        <v>868</v>
      </c>
      <c r="H480">
        <v>90003.98</v>
      </c>
      <c r="I480" t="s">
        <v>135</v>
      </c>
      <c r="J480">
        <v>-8133595615</v>
      </c>
      <c r="K480" t="s">
        <v>18</v>
      </c>
      <c r="L480" t="b">
        <v>0</v>
      </c>
      <c r="P480" t="str">
        <f>TRIM(Before_Tbl[[#This Row],[Employee_ID]])</f>
        <v>EMP1478</v>
      </c>
      <c r="Q480" t="str">
        <f>TRIM(PROPER(Before_Tbl[[#This Row],[First_Name]]))</f>
        <v>Grace</v>
      </c>
      <c r="R480" t="str">
        <f>TRIM(PROPER(Before_Tbl[[#This Row],[Last_Name]]))</f>
        <v>Smith</v>
      </c>
      <c r="S480" s="25">
        <f t="shared" si="7"/>
        <v>25</v>
      </c>
      <c r="T480" t="str">
        <f>LEFT(Before_Tbl[[#This Row],[Department_Region]],FIND("-",Before_Tbl[[#This Row],[Department_Region]])-1)</f>
        <v>Sales</v>
      </c>
      <c r="U480" t="str">
        <f>RIGHT(Before_Tbl[[#This Row],[Department_Region]],LEN(Before_Tbl[[#This Row],[Department_Region]])-FIND("-",Before_Tbl[[#This Row],[Department_Region]]))</f>
        <v>Illinois</v>
      </c>
      <c r="V480" t="str">
        <f>TRIM(PROPER(Before_Tbl[[#This Row],[Status]]))</f>
        <v>Pending</v>
      </c>
      <c r="W480" s="26">
        <v>45470</v>
      </c>
      <c r="X480" s="4">
        <v>90003.98</v>
      </c>
      <c r="Y480" t="str">
        <f>TRIM(LOWER(Before_Tbl[[#This Row],[Email]]))</f>
        <v>grace.smith@example.com</v>
      </c>
      <c r="Z480" s="2" t="str">
        <f>SUBSTITUTE(Before_Tbl[[#This Row],[Phone]],"-","")</f>
        <v>8133595615</v>
      </c>
      <c r="AA480" t="str">
        <f>TRIM(PROPER(Before_Tbl[[#This Row],[Performance_Score]]))</f>
        <v>Average</v>
      </c>
      <c r="AB480" s="2" t="str">
        <f>TRIM(UPPER(Before_Tbl[[#This Row],[Remote_Work]]))</f>
        <v>FALSE</v>
      </c>
    </row>
    <row r="481" spans="1:28" x14ac:dyDescent="0.35">
      <c r="A481" t="s">
        <v>869</v>
      </c>
      <c r="B481" t="s">
        <v>54</v>
      </c>
      <c r="C481" t="s">
        <v>20</v>
      </c>
      <c r="D481">
        <v>25</v>
      </c>
      <c r="E481" t="s">
        <v>227</v>
      </c>
      <c r="F481" t="s">
        <v>16</v>
      </c>
      <c r="G481" s="1">
        <v>44442</v>
      </c>
      <c r="H481">
        <v>106592.25</v>
      </c>
      <c r="I481" t="s">
        <v>125</v>
      </c>
      <c r="J481">
        <v>-4205955656</v>
      </c>
      <c r="K481" t="s">
        <v>18</v>
      </c>
      <c r="L481" t="b">
        <v>1</v>
      </c>
      <c r="P481" t="str">
        <f>TRIM(Before_Tbl[[#This Row],[Employee_ID]])</f>
        <v>EMP1479</v>
      </c>
      <c r="Q481" t="str">
        <f>TRIM(PROPER(Before_Tbl[[#This Row],[First_Name]]))</f>
        <v>Charlie</v>
      </c>
      <c r="R481" t="str">
        <f>TRIM(PROPER(Before_Tbl[[#This Row],[Last_Name]]))</f>
        <v>Brown</v>
      </c>
      <c r="S481" s="25">
        <f t="shared" si="7"/>
        <v>25</v>
      </c>
      <c r="T481" t="str">
        <f>LEFT(Before_Tbl[[#This Row],[Department_Region]],FIND("-",Before_Tbl[[#This Row],[Department_Region]])-1)</f>
        <v>Finance</v>
      </c>
      <c r="U481" t="str">
        <f>RIGHT(Before_Tbl[[#This Row],[Department_Region]],LEN(Before_Tbl[[#This Row],[Department_Region]])-FIND("-",Before_Tbl[[#This Row],[Department_Region]]))</f>
        <v>New York</v>
      </c>
      <c r="V481" t="str">
        <f>TRIM(PROPER(Before_Tbl[[#This Row],[Status]]))</f>
        <v>Active</v>
      </c>
      <c r="W481" s="26">
        <v>44442</v>
      </c>
      <c r="X481" s="4">
        <v>106592.25</v>
      </c>
      <c r="Y481" t="str">
        <f>TRIM(LOWER(Before_Tbl[[#This Row],[Email]]))</f>
        <v>charlie.brown@example.com</v>
      </c>
      <c r="Z481" s="2" t="str">
        <f>SUBSTITUTE(Before_Tbl[[#This Row],[Phone]],"-","")</f>
        <v>4205955656</v>
      </c>
      <c r="AA481" t="str">
        <f>TRIM(PROPER(Before_Tbl[[#This Row],[Performance_Score]]))</f>
        <v>Average</v>
      </c>
      <c r="AB481" s="2" t="str">
        <f>TRIM(UPPER(Before_Tbl[[#This Row],[Remote_Work]]))</f>
        <v>TRUE</v>
      </c>
    </row>
    <row r="482" spans="1:28" x14ac:dyDescent="0.35">
      <c r="A482" t="s">
        <v>870</v>
      </c>
      <c r="B482" t="s">
        <v>69</v>
      </c>
      <c r="C482" t="s">
        <v>20</v>
      </c>
      <c r="D482">
        <v>25</v>
      </c>
      <c r="E482" t="s">
        <v>230</v>
      </c>
      <c r="F482" t="s">
        <v>16</v>
      </c>
      <c r="G482" s="1">
        <v>45604</v>
      </c>
      <c r="H482">
        <v>93905.83</v>
      </c>
      <c r="I482" t="s">
        <v>201</v>
      </c>
      <c r="J482">
        <v>-4902504289</v>
      </c>
      <c r="K482" t="s">
        <v>18</v>
      </c>
      <c r="L482" t="b">
        <v>1</v>
      </c>
      <c r="P482" t="str">
        <f>TRIM(Before_Tbl[[#This Row],[Employee_ID]])</f>
        <v>EMP1480</v>
      </c>
      <c r="Q482" t="str">
        <f>TRIM(PROPER(Before_Tbl[[#This Row],[First_Name]]))</f>
        <v>Grace</v>
      </c>
      <c r="R482" t="str">
        <f>TRIM(PROPER(Before_Tbl[[#This Row],[Last_Name]]))</f>
        <v>Brown</v>
      </c>
      <c r="S482" s="25">
        <f t="shared" si="7"/>
        <v>25</v>
      </c>
      <c r="T482" t="str">
        <f>LEFT(Before_Tbl[[#This Row],[Department_Region]],FIND("-",Before_Tbl[[#This Row],[Department_Region]])-1)</f>
        <v>DevOps</v>
      </c>
      <c r="U482" t="str">
        <f>RIGHT(Before_Tbl[[#This Row],[Department_Region]],LEN(Before_Tbl[[#This Row],[Department_Region]])-FIND("-",Before_Tbl[[#This Row],[Department_Region]]))</f>
        <v>Florida</v>
      </c>
      <c r="V482" t="str">
        <f>TRIM(PROPER(Before_Tbl[[#This Row],[Status]]))</f>
        <v>Active</v>
      </c>
      <c r="W482" s="26">
        <v>45604</v>
      </c>
      <c r="X482" s="4">
        <v>93905.83</v>
      </c>
      <c r="Y482" t="str">
        <f>TRIM(LOWER(Before_Tbl[[#This Row],[Email]]))</f>
        <v>grace.brown@example.com</v>
      </c>
      <c r="Z482" s="2" t="str">
        <f>SUBSTITUTE(Before_Tbl[[#This Row],[Phone]],"-","")</f>
        <v>4902504289</v>
      </c>
      <c r="AA482" t="str">
        <f>TRIM(PROPER(Before_Tbl[[#This Row],[Performance_Score]]))</f>
        <v>Average</v>
      </c>
      <c r="AB482" s="2" t="str">
        <f>TRIM(UPPER(Before_Tbl[[#This Row],[Remote_Work]]))</f>
        <v>TRUE</v>
      </c>
    </row>
    <row r="483" spans="1:28" x14ac:dyDescent="0.35">
      <c r="A483" t="s">
        <v>871</v>
      </c>
      <c r="B483" t="s">
        <v>32</v>
      </c>
      <c r="C483" t="s">
        <v>92</v>
      </c>
      <c r="D483">
        <v>35</v>
      </c>
      <c r="E483" t="s">
        <v>237</v>
      </c>
      <c r="F483" t="s">
        <v>16</v>
      </c>
      <c r="G483" s="1">
        <v>44684</v>
      </c>
      <c r="H483">
        <v>88945.49</v>
      </c>
      <c r="I483" t="s">
        <v>263</v>
      </c>
      <c r="J483">
        <v>-1935889535</v>
      </c>
      <c r="K483" t="s">
        <v>30</v>
      </c>
      <c r="L483" t="b">
        <v>0</v>
      </c>
      <c r="P483" t="str">
        <f>TRIM(Before_Tbl[[#This Row],[Employee_ID]])</f>
        <v>EMP1481</v>
      </c>
      <c r="Q483" t="str">
        <f>TRIM(PROPER(Before_Tbl[[#This Row],[First_Name]]))</f>
        <v>Eva</v>
      </c>
      <c r="R483" t="str">
        <f>TRIM(PROPER(Before_Tbl[[#This Row],[Last_Name]]))</f>
        <v>Miller</v>
      </c>
      <c r="S483" s="25">
        <f t="shared" si="7"/>
        <v>35</v>
      </c>
      <c r="T483" t="str">
        <f>LEFT(Before_Tbl[[#This Row],[Department_Region]],FIND("-",Before_Tbl[[#This Row],[Department_Region]])-1)</f>
        <v>DevOps</v>
      </c>
      <c r="U483" t="str">
        <f>RIGHT(Before_Tbl[[#This Row],[Department_Region]],LEN(Before_Tbl[[#This Row],[Department_Region]])-FIND("-",Before_Tbl[[#This Row],[Department_Region]]))</f>
        <v>Texas</v>
      </c>
      <c r="V483" t="str">
        <f>TRIM(PROPER(Before_Tbl[[#This Row],[Status]]))</f>
        <v>Active</v>
      </c>
      <c r="W483" s="26">
        <v>44684</v>
      </c>
      <c r="X483" s="4">
        <v>88945.49</v>
      </c>
      <c r="Y483" t="str">
        <f>TRIM(LOWER(Before_Tbl[[#This Row],[Email]]))</f>
        <v>eva.miller@example.com</v>
      </c>
      <c r="Z483" s="2" t="str">
        <f>SUBSTITUTE(Before_Tbl[[#This Row],[Phone]],"-","")</f>
        <v>1935889535</v>
      </c>
      <c r="AA483" t="str">
        <f>TRIM(PROPER(Before_Tbl[[#This Row],[Performance_Score]]))</f>
        <v>Good</v>
      </c>
      <c r="AB483" s="2" t="str">
        <f>TRIM(UPPER(Before_Tbl[[#This Row],[Remote_Work]]))</f>
        <v>FALSE</v>
      </c>
    </row>
    <row r="484" spans="1:28" x14ac:dyDescent="0.35">
      <c r="A484" t="s">
        <v>872</v>
      </c>
      <c r="B484" t="s">
        <v>32</v>
      </c>
      <c r="C484" t="s">
        <v>26</v>
      </c>
      <c r="E484" t="s">
        <v>21</v>
      </c>
      <c r="F484" t="s">
        <v>28</v>
      </c>
      <c r="G484" t="s">
        <v>333</v>
      </c>
      <c r="H484">
        <v>91130.33</v>
      </c>
      <c r="I484" t="s">
        <v>278</v>
      </c>
      <c r="J484">
        <v>-9026113988</v>
      </c>
      <c r="K484" t="s">
        <v>30</v>
      </c>
      <c r="L484" t="b">
        <v>0</v>
      </c>
      <c r="P484" t="str">
        <f>TRIM(Before_Tbl[[#This Row],[Employee_ID]])</f>
        <v>EMP1482</v>
      </c>
      <c r="Q484" t="str">
        <f>TRIM(PROPER(Before_Tbl[[#This Row],[First_Name]]))</f>
        <v>Eva</v>
      </c>
      <c r="R484" t="str">
        <f>TRIM(PROPER(Before_Tbl[[#This Row],[Last_Name]]))</f>
        <v>Jones</v>
      </c>
      <c r="S484" s="25">
        <f t="shared" si="7"/>
        <v>30</v>
      </c>
      <c r="T484" t="str">
        <f>LEFT(Before_Tbl[[#This Row],[Department_Region]],FIND("-",Before_Tbl[[#This Row],[Department_Region]])-1)</f>
        <v>Finance</v>
      </c>
      <c r="U484" t="str">
        <f>RIGHT(Before_Tbl[[#This Row],[Department_Region]],LEN(Before_Tbl[[#This Row],[Department_Region]])-FIND("-",Before_Tbl[[#This Row],[Department_Region]]))</f>
        <v>Texas</v>
      </c>
      <c r="V484" t="str">
        <f>TRIM(PROPER(Before_Tbl[[#This Row],[Status]]))</f>
        <v>Pending</v>
      </c>
      <c r="W484" s="26">
        <v>45107</v>
      </c>
      <c r="X484" s="4">
        <v>91130.33</v>
      </c>
      <c r="Y484" t="str">
        <f>TRIM(LOWER(Before_Tbl[[#This Row],[Email]]))</f>
        <v>eva.jones@example.com</v>
      </c>
      <c r="Z484" s="2" t="str">
        <f>SUBSTITUTE(Before_Tbl[[#This Row],[Phone]],"-","")</f>
        <v>9026113988</v>
      </c>
      <c r="AA484" t="str">
        <f>TRIM(PROPER(Before_Tbl[[#This Row],[Performance_Score]]))</f>
        <v>Good</v>
      </c>
      <c r="AB484" s="2" t="str">
        <f>TRIM(UPPER(Before_Tbl[[#This Row],[Remote_Work]]))</f>
        <v>FALSE</v>
      </c>
    </row>
    <row r="485" spans="1:28" x14ac:dyDescent="0.35">
      <c r="A485" t="s">
        <v>873</v>
      </c>
      <c r="B485" t="s">
        <v>13</v>
      </c>
      <c r="C485" t="s">
        <v>92</v>
      </c>
      <c r="D485">
        <v>40</v>
      </c>
      <c r="E485" t="s">
        <v>196</v>
      </c>
      <c r="F485" t="s">
        <v>28</v>
      </c>
      <c r="G485" t="s">
        <v>874</v>
      </c>
      <c r="H485">
        <v>90787.4</v>
      </c>
      <c r="I485" t="s">
        <v>93</v>
      </c>
      <c r="J485">
        <v>-8681809787</v>
      </c>
      <c r="K485" t="s">
        <v>18</v>
      </c>
      <c r="L485" t="b">
        <v>0</v>
      </c>
      <c r="P485" t="str">
        <f>TRIM(Before_Tbl[[#This Row],[Employee_ID]])</f>
        <v>EMP1483</v>
      </c>
      <c r="Q485" t="str">
        <f>TRIM(PROPER(Before_Tbl[[#This Row],[First_Name]]))</f>
        <v>Bob</v>
      </c>
      <c r="R485" t="str">
        <f>TRIM(PROPER(Before_Tbl[[#This Row],[Last_Name]]))</f>
        <v>Miller</v>
      </c>
      <c r="S485" s="25">
        <f t="shared" si="7"/>
        <v>40</v>
      </c>
      <c r="T485" t="str">
        <f>LEFT(Before_Tbl[[#This Row],[Department_Region]],FIND("-",Before_Tbl[[#This Row],[Department_Region]])-1)</f>
        <v>Admin</v>
      </c>
      <c r="U485" t="str">
        <f>RIGHT(Before_Tbl[[#This Row],[Department_Region]],LEN(Before_Tbl[[#This Row],[Department_Region]])-FIND("-",Before_Tbl[[#This Row],[Department_Region]]))</f>
        <v>New York</v>
      </c>
      <c r="V485" t="str">
        <f>TRIM(PROPER(Before_Tbl[[#This Row],[Status]]))</f>
        <v>Pending</v>
      </c>
      <c r="W485" s="26">
        <v>45035</v>
      </c>
      <c r="X485" s="4">
        <v>90787.4</v>
      </c>
      <c r="Y485" t="str">
        <f>TRIM(LOWER(Before_Tbl[[#This Row],[Email]]))</f>
        <v>bob.miller@example.com</v>
      </c>
      <c r="Z485" s="2" t="str">
        <f>SUBSTITUTE(Before_Tbl[[#This Row],[Phone]],"-","")</f>
        <v>8681809787</v>
      </c>
      <c r="AA485" t="str">
        <f>TRIM(PROPER(Before_Tbl[[#This Row],[Performance_Score]]))</f>
        <v>Average</v>
      </c>
      <c r="AB485" s="2" t="str">
        <f>TRIM(UPPER(Before_Tbl[[#This Row],[Remote_Work]]))</f>
        <v>FALSE</v>
      </c>
    </row>
    <row r="486" spans="1:28" x14ac:dyDescent="0.35">
      <c r="A486" t="s">
        <v>875</v>
      </c>
      <c r="B486" t="s">
        <v>13</v>
      </c>
      <c r="C486" t="s">
        <v>26</v>
      </c>
      <c r="D486">
        <v>25</v>
      </c>
      <c r="E486" t="s">
        <v>44</v>
      </c>
      <c r="F486" t="s">
        <v>33</v>
      </c>
      <c r="G486" s="1">
        <v>45607</v>
      </c>
      <c r="H486">
        <v>87494.34</v>
      </c>
      <c r="I486" t="s">
        <v>50</v>
      </c>
      <c r="J486">
        <v>-7543943534</v>
      </c>
      <c r="K486" t="s">
        <v>18</v>
      </c>
      <c r="L486" t="b">
        <v>1</v>
      </c>
      <c r="P486" t="str">
        <f>TRIM(Before_Tbl[[#This Row],[Employee_ID]])</f>
        <v>EMP1484</v>
      </c>
      <c r="Q486" t="str">
        <f>TRIM(PROPER(Before_Tbl[[#This Row],[First_Name]]))</f>
        <v>Bob</v>
      </c>
      <c r="R486" t="str">
        <f>TRIM(PROPER(Before_Tbl[[#This Row],[Last_Name]]))</f>
        <v>Jones</v>
      </c>
      <c r="S486" s="25">
        <f t="shared" si="7"/>
        <v>25</v>
      </c>
      <c r="T486" t="str">
        <f>LEFT(Before_Tbl[[#This Row],[Department_Region]],FIND("-",Before_Tbl[[#This Row],[Department_Region]])-1)</f>
        <v>Sales</v>
      </c>
      <c r="U486" t="str">
        <f>RIGHT(Before_Tbl[[#This Row],[Department_Region]],LEN(Before_Tbl[[#This Row],[Department_Region]])-FIND("-",Before_Tbl[[#This Row],[Department_Region]]))</f>
        <v>Texas</v>
      </c>
      <c r="V486" t="str">
        <f>TRIM(PROPER(Before_Tbl[[#This Row],[Status]]))</f>
        <v>Inactive</v>
      </c>
      <c r="W486" s="26">
        <v>45607</v>
      </c>
      <c r="X486" s="4">
        <v>87494.34</v>
      </c>
      <c r="Y486" t="str">
        <f>TRIM(LOWER(Before_Tbl[[#This Row],[Email]]))</f>
        <v>bob.jones@example.com</v>
      </c>
      <c r="Z486" s="2" t="str">
        <f>SUBSTITUTE(Before_Tbl[[#This Row],[Phone]],"-","")</f>
        <v>7543943534</v>
      </c>
      <c r="AA486" t="str">
        <f>TRIM(PROPER(Before_Tbl[[#This Row],[Performance_Score]]))</f>
        <v>Average</v>
      </c>
      <c r="AB486" s="2" t="str">
        <f>TRIM(UPPER(Before_Tbl[[#This Row],[Remote_Work]]))</f>
        <v>TRUE</v>
      </c>
    </row>
    <row r="487" spans="1:28" x14ac:dyDescent="0.35">
      <c r="A487" t="s">
        <v>876</v>
      </c>
      <c r="B487" t="s">
        <v>69</v>
      </c>
      <c r="C487" t="s">
        <v>92</v>
      </c>
      <c r="D487">
        <v>35</v>
      </c>
      <c r="E487" t="s">
        <v>100</v>
      </c>
      <c r="F487" t="s">
        <v>33</v>
      </c>
      <c r="G487" t="s">
        <v>877</v>
      </c>
      <c r="H487">
        <v>92627.35</v>
      </c>
      <c r="I487" t="s">
        <v>168</v>
      </c>
      <c r="J487">
        <v>-3751376514</v>
      </c>
      <c r="K487" t="s">
        <v>18</v>
      </c>
      <c r="L487" t="b">
        <v>0</v>
      </c>
      <c r="P487" t="str">
        <f>TRIM(Before_Tbl[[#This Row],[Employee_ID]])</f>
        <v>EMP1485</v>
      </c>
      <c r="Q487" t="str">
        <f>TRIM(PROPER(Before_Tbl[[#This Row],[First_Name]]))</f>
        <v>Grace</v>
      </c>
      <c r="R487" t="str">
        <f>TRIM(PROPER(Before_Tbl[[#This Row],[Last_Name]]))</f>
        <v>Miller</v>
      </c>
      <c r="S487" s="25">
        <f t="shared" si="7"/>
        <v>35</v>
      </c>
      <c r="T487" t="str">
        <f>LEFT(Before_Tbl[[#This Row],[Department_Region]],FIND("-",Before_Tbl[[#This Row],[Department_Region]])-1)</f>
        <v>Finance</v>
      </c>
      <c r="U487" t="str">
        <f>RIGHT(Before_Tbl[[#This Row],[Department_Region]],LEN(Before_Tbl[[#This Row],[Department_Region]])-FIND("-",Before_Tbl[[#This Row],[Department_Region]]))</f>
        <v>Nevada</v>
      </c>
      <c r="V487" t="str">
        <f>TRIM(PROPER(Before_Tbl[[#This Row],[Status]]))</f>
        <v>Inactive</v>
      </c>
      <c r="W487" s="26">
        <v>45002</v>
      </c>
      <c r="X487" s="4">
        <v>92627.35</v>
      </c>
      <c r="Y487" t="str">
        <f>TRIM(LOWER(Before_Tbl[[#This Row],[Email]]))</f>
        <v>grace.miller@example.com</v>
      </c>
      <c r="Z487" s="2" t="str">
        <f>SUBSTITUTE(Before_Tbl[[#This Row],[Phone]],"-","")</f>
        <v>3751376514</v>
      </c>
      <c r="AA487" t="str">
        <f>TRIM(PROPER(Before_Tbl[[#This Row],[Performance_Score]]))</f>
        <v>Average</v>
      </c>
      <c r="AB487" s="2" t="str">
        <f>TRIM(UPPER(Before_Tbl[[#This Row],[Remote_Work]]))</f>
        <v>FALSE</v>
      </c>
    </row>
    <row r="488" spans="1:28" x14ac:dyDescent="0.35">
      <c r="A488" t="s">
        <v>878</v>
      </c>
      <c r="B488" t="s">
        <v>32</v>
      </c>
      <c r="C488" t="s">
        <v>38</v>
      </c>
      <c r="D488">
        <v>40</v>
      </c>
      <c r="E488" t="s">
        <v>89</v>
      </c>
      <c r="F488" t="s">
        <v>28</v>
      </c>
      <c r="G488" t="s">
        <v>431</v>
      </c>
      <c r="H488">
        <v>98556.29</v>
      </c>
      <c r="I488" t="s">
        <v>141</v>
      </c>
      <c r="J488">
        <v>-8815793762</v>
      </c>
      <c r="K488" t="s">
        <v>41</v>
      </c>
      <c r="L488" t="b">
        <v>1</v>
      </c>
      <c r="P488" t="str">
        <f>TRIM(Before_Tbl[[#This Row],[Employee_ID]])</f>
        <v>EMP1486</v>
      </c>
      <c r="Q488" t="str">
        <f>TRIM(PROPER(Before_Tbl[[#This Row],[First_Name]]))</f>
        <v>Eva</v>
      </c>
      <c r="R488" t="str">
        <f>TRIM(PROPER(Before_Tbl[[#This Row],[Last_Name]]))</f>
        <v>Williams</v>
      </c>
      <c r="S488" s="25">
        <f t="shared" si="7"/>
        <v>40</v>
      </c>
      <c r="T488" t="str">
        <f>LEFT(Before_Tbl[[#This Row],[Department_Region]],FIND("-",Before_Tbl[[#This Row],[Department_Region]])-1)</f>
        <v>Admin</v>
      </c>
      <c r="U488" t="str">
        <f>RIGHT(Before_Tbl[[#This Row],[Department_Region]],LEN(Before_Tbl[[#This Row],[Department_Region]])-FIND("-",Before_Tbl[[#This Row],[Department_Region]]))</f>
        <v>Illinois</v>
      </c>
      <c r="V488" t="str">
        <f>TRIM(PROPER(Before_Tbl[[#This Row],[Status]]))</f>
        <v>Pending</v>
      </c>
      <c r="W488" s="26">
        <v>45225</v>
      </c>
      <c r="X488" s="4">
        <v>98556.29</v>
      </c>
      <c r="Y488" t="str">
        <f>TRIM(LOWER(Before_Tbl[[#This Row],[Email]]))</f>
        <v>eva.williams@example.com</v>
      </c>
      <c r="Z488" s="2" t="str">
        <f>SUBSTITUTE(Before_Tbl[[#This Row],[Phone]],"-","")</f>
        <v>8815793762</v>
      </c>
      <c r="AA488" t="str">
        <f>TRIM(PROPER(Before_Tbl[[#This Row],[Performance_Score]]))</f>
        <v>Poor</v>
      </c>
      <c r="AB488" s="2" t="str">
        <f>TRIM(UPPER(Before_Tbl[[#This Row],[Remote_Work]]))</f>
        <v>TRUE</v>
      </c>
    </row>
    <row r="489" spans="1:28" x14ac:dyDescent="0.35">
      <c r="A489" t="s">
        <v>879</v>
      </c>
      <c r="B489" t="s">
        <v>37</v>
      </c>
      <c r="C489" t="s">
        <v>20</v>
      </c>
      <c r="D489">
        <v>30</v>
      </c>
      <c r="E489" t="s">
        <v>85</v>
      </c>
      <c r="F489" t="s">
        <v>33</v>
      </c>
      <c r="G489" s="1">
        <v>44293</v>
      </c>
      <c r="H489">
        <v>112792.2</v>
      </c>
      <c r="I489" t="s">
        <v>239</v>
      </c>
      <c r="J489">
        <v>-9283692943</v>
      </c>
      <c r="K489" t="s">
        <v>30</v>
      </c>
      <c r="L489" t="b">
        <v>1</v>
      </c>
      <c r="P489" t="str">
        <f>TRIM(Before_Tbl[[#This Row],[Employee_ID]])</f>
        <v>EMP1487</v>
      </c>
      <c r="Q489" t="str">
        <f>TRIM(PROPER(Before_Tbl[[#This Row],[First_Name]]))</f>
        <v>Frank</v>
      </c>
      <c r="R489" t="str">
        <f>TRIM(PROPER(Before_Tbl[[#This Row],[Last_Name]]))</f>
        <v>Brown</v>
      </c>
      <c r="S489" s="25">
        <f t="shared" si="7"/>
        <v>30</v>
      </c>
      <c r="T489" t="str">
        <f>LEFT(Before_Tbl[[#This Row],[Department_Region]],FIND("-",Before_Tbl[[#This Row],[Department_Region]])-1)</f>
        <v>Cloud Tech</v>
      </c>
      <c r="U489" t="str">
        <f>RIGHT(Before_Tbl[[#This Row],[Department_Region]],LEN(Before_Tbl[[#This Row],[Department_Region]])-FIND("-",Before_Tbl[[#This Row],[Department_Region]]))</f>
        <v>Nevada</v>
      </c>
      <c r="V489" t="str">
        <f>TRIM(PROPER(Before_Tbl[[#This Row],[Status]]))</f>
        <v>Inactive</v>
      </c>
      <c r="W489" s="26">
        <v>44293</v>
      </c>
      <c r="X489" s="4">
        <v>112792.2</v>
      </c>
      <c r="Y489" t="str">
        <f>TRIM(LOWER(Before_Tbl[[#This Row],[Email]]))</f>
        <v>frank.brown@example.com</v>
      </c>
      <c r="Z489" s="2" t="str">
        <f>SUBSTITUTE(Before_Tbl[[#This Row],[Phone]],"-","")</f>
        <v>9283692943</v>
      </c>
      <c r="AA489" t="str">
        <f>TRIM(PROPER(Before_Tbl[[#This Row],[Performance_Score]]))</f>
        <v>Good</v>
      </c>
      <c r="AB489" s="2" t="str">
        <f>TRIM(UPPER(Before_Tbl[[#This Row],[Remote_Work]]))</f>
        <v>TRUE</v>
      </c>
    </row>
    <row r="490" spans="1:28" x14ac:dyDescent="0.35">
      <c r="A490" t="s">
        <v>880</v>
      </c>
      <c r="B490" t="s">
        <v>32</v>
      </c>
      <c r="C490" t="s">
        <v>122</v>
      </c>
      <c r="D490">
        <v>35</v>
      </c>
      <c r="E490" t="s">
        <v>212</v>
      </c>
      <c r="F490" t="s">
        <v>28</v>
      </c>
      <c r="G490" s="1">
        <v>44996</v>
      </c>
      <c r="H490">
        <v>56875.22</v>
      </c>
      <c r="I490" t="s">
        <v>522</v>
      </c>
      <c r="J490">
        <v>-5511668296</v>
      </c>
      <c r="K490" t="s">
        <v>41</v>
      </c>
      <c r="L490" t="b">
        <v>0</v>
      </c>
      <c r="P490" t="str">
        <f>TRIM(Before_Tbl[[#This Row],[Employee_ID]])</f>
        <v>EMP1488</v>
      </c>
      <c r="Q490" t="str">
        <f>TRIM(PROPER(Before_Tbl[[#This Row],[First_Name]]))</f>
        <v>Eva</v>
      </c>
      <c r="R490" t="str">
        <f>TRIM(PROPER(Before_Tbl[[#This Row],[Last_Name]]))</f>
        <v>Smith</v>
      </c>
      <c r="S490" s="25">
        <f t="shared" si="7"/>
        <v>35</v>
      </c>
      <c r="T490" t="str">
        <f>LEFT(Before_Tbl[[#This Row],[Department_Region]],FIND("-",Before_Tbl[[#This Row],[Department_Region]])-1)</f>
        <v>HR</v>
      </c>
      <c r="U490" t="str">
        <f>RIGHT(Before_Tbl[[#This Row],[Department_Region]],LEN(Before_Tbl[[#This Row],[Department_Region]])-FIND("-",Before_Tbl[[#This Row],[Department_Region]]))</f>
        <v>Florida</v>
      </c>
      <c r="V490" t="str">
        <f>TRIM(PROPER(Before_Tbl[[#This Row],[Status]]))</f>
        <v>Pending</v>
      </c>
      <c r="W490" s="26">
        <v>44996</v>
      </c>
      <c r="X490" s="4">
        <v>56875.22</v>
      </c>
      <c r="Y490" t="str">
        <f>TRIM(LOWER(Before_Tbl[[#This Row],[Email]]))</f>
        <v>eva.smith@example.com</v>
      </c>
      <c r="Z490" s="2" t="str">
        <f>SUBSTITUTE(Before_Tbl[[#This Row],[Phone]],"-","")</f>
        <v>5511668296</v>
      </c>
      <c r="AA490" t="str">
        <f>TRIM(PROPER(Before_Tbl[[#This Row],[Performance_Score]]))</f>
        <v>Poor</v>
      </c>
      <c r="AB490" s="2" t="str">
        <f>TRIM(UPPER(Before_Tbl[[#This Row],[Remote_Work]]))</f>
        <v>FALSE</v>
      </c>
    </row>
    <row r="491" spans="1:28" x14ac:dyDescent="0.35">
      <c r="A491" t="s">
        <v>881</v>
      </c>
      <c r="B491" t="s">
        <v>54</v>
      </c>
      <c r="C491" t="s">
        <v>26</v>
      </c>
      <c r="D491">
        <v>35</v>
      </c>
      <c r="E491" t="s">
        <v>230</v>
      </c>
      <c r="F491" t="s">
        <v>33</v>
      </c>
      <c r="G491" s="1">
        <v>44323</v>
      </c>
      <c r="H491">
        <v>101015.96</v>
      </c>
      <c r="I491" t="s">
        <v>120</v>
      </c>
      <c r="J491">
        <v>-3270216486</v>
      </c>
      <c r="K491" t="s">
        <v>41</v>
      </c>
      <c r="L491" t="b">
        <v>1</v>
      </c>
      <c r="P491" t="str">
        <f>TRIM(Before_Tbl[[#This Row],[Employee_ID]])</f>
        <v>EMP1489</v>
      </c>
      <c r="Q491" t="str">
        <f>TRIM(PROPER(Before_Tbl[[#This Row],[First_Name]]))</f>
        <v>Charlie</v>
      </c>
      <c r="R491" t="str">
        <f>TRIM(PROPER(Before_Tbl[[#This Row],[Last_Name]]))</f>
        <v>Jones</v>
      </c>
      <c r="S491" s="25">
        <f t="shared" si="7"/>
        <v>35</v>
      </c>
      <c r="T491" t="str">
        <f>LEFT(Before_Tbl[[#This Row],[Department_Region]],FIND("-",Before_Tbl[[#This Row],[Department_Region]])-1)</f>
        <v>DevOps</v>
      </c>
      <c r="U491" t="str">
        <f>RIGHT(Before_Tbl[[#This Row],[Department_Region]],LEN(Before_Tbl[[#This Row],[Department_Region]])-FIND("-",Before_Tbl[[#This Row],[Department_Region]]))</f>
        <v>Florida</v>
      </c>
      <c r="V491" t="str">
        <f>TRIM(PROPER(Before_Tbl[[#This Row],[Status]]))</f>
        <v>Inactive</v>
      </c>
      <c r="W491" s="26">
        <v>44323</v>
      </c>
      <c r="X491" s="4">
        <v>101015.96</v>
      </c>
      <c r="Y491" t="str">
        <f>TRIM(LOWER(Before_Tbl[[#This Row],[Email]]))</f>
        <v>charlie.jones@example.com</v>
      </c>
      <c r="Z491" s="2" t="str">
        <f>SUBSTITUTE(Before_Tbl[[#This Row],[Phone]],"-","")</f>
        <v>3270216486</v>
      </c>
      <c r="AA491" t="str">
        <f>TRIM(PROPER(Before_Tbl[[#This Row],[Performance_Score]]))</f>
        <v>Poor</v>
      </c>
      <c r="AB491" s="2" t="str">
        <f>TRIM(UPPER(Before_Tbl[[#This Row],[Remote_Work]]))</f>
        <v>TRUE</v>
      </c>
    </row>
    <row r="492" spans="1:28" x14ac:dyDescent="0.35">
      <c r="A492" t="s">
        <v>882</v>
      </c>
      <c r="B492" t="s">
        <v>13</v>
      </c>
      <c r="C492" t="s">
        <v>43</v>
      </c>
      <c r="D492">
        <v>30</v>
      </c>
      <c r="E492" t="s">
        <v>227</v>
      </c>
      <c r="F492" t="s">
        <v>33</v>
      </c>
      <c r="G492" t="s">
        <v>883</v>
      </c>
      <c r="H492">
        <v>83912.22</v>
      </c>
      <c r="I492" t="s">
        <v>153</v>
      </c>
      <c r="J492">
        <v>-1206021287</v>
      </c>
      <c r="K492" t="s">
        <v>18</v>
      </c>
      <c r="L492" t="b">
        <v>0</v>
      </c>
      <c r="P492" t="str">
        <f>TRIM(Before_Tbl[[#This Row],[Employee_ID]])</f>
        <v>EMP1490</v>
      </c>
      <c r="Q492" t="str">
        <f>TRIM(PROPER(Before_Tbl[[#This Row],[First_Name]]))</f>
        <v>Bob</v>
      </c>
      <c r="R492" t="str">
        <f>TRIM(PROPER(Before_Tbl[[#This Row],[Last_Name]]))</f>
        <v>Garcia</v>
      </c>
      <c r="S492" s="25">
        <f t="shared" si="7"/>
        <v>30</v>
      </c>
      <c r="T492" t="str">
        <f>LEFT(Before_Tbl[[#This Row],[Department_Region]],FIND("-",Before_Tbl[[#This Row],[Department_Region]])-1)</f>
        <v>Finance</v>
      </c>
      <c r="U492" t="str">
        <f>RIGHT(Before_Tbl[[#This Row],[Department_Region]],LEN(Before_Tbl[[#This Row],[Department_Region]])-FIND("-",Before_Tbl[[#This Row],[Department_Region]]))</f>
        <v>New York</v>
      </c>
      <c r="V492" t="str">
        <f>TRIM(PROPER(Before_Tbl[[#This Row],[Status]]))</f>
        <v>Inactive</v>
      </c>
      <c r="W492" s="26">
        <v>45348</v>
      </c>
      <c r="X492" s="4">
        <v>83912.22</v>
      </c>
      <c r="Y492" t="str">
        <f>TRIM(LOWER(Before_Tbl[[#This Row],[Email]]))</f>
        <v>bob.garcia@example.com</v>
      </c>
      <c r="Z492" s="2" t="str">
        <f>SUBSTITUTE(Before_Tbl[[#This Row],[Phone]],"-","")</f>
        <v>1206021287</v>
      </c>
      <c r="AA492" t="str">
        <f>TRIM(PROPER(Before_Tbl[[#This Row],[Performance_Score]]))</f>
        <v>Average</v>
      </c>
      <c r="AB492" s="2" t="str">
        <f>TRIM(UPPER(Before_Tbl[[#This Row],[Remote_Work]]))</f>
        <v>FALSE</v>
      </c>
    </row>
    <row r="493" spans="1:28" x14ac:dyDescent="0.35">
      <c r="A493" t="s">
        <v>884</v>
      </c>
      <c r="B493" t="s">
        <v>37</v>
      </c>
      <c r="C493" t="s">
        <v>26</v>
      </c>
      <c r="D493">
        <v>25</v>
      </c>
      <c r="E493" t="s">
        <v>109</v>
      </c>
      <c r="F493" t="s">
        <v>16</v>
      </c>
      <c r="G493" t="s">
        <v>885</v>
      </c>
      <c r="H493">
        <v>99669.86</v>
      </c>
      <c r="I493" t="s">
        <v>47</v>
      </c>
      <c r="J493">
        <v>-6652683414</v>
      </c>
      <c r="K493" t="s">
        <v>18</v>
      </c>
      <c r="L493" t="b">
        <v>0</v>
      </c>
      <c r="P493" t="str">
        <f>TRIM(Before_Tbl[[#This Row],[Employee_ID]])</f>
        <v>EMP1491</v>
      </c>
      <c r="Q493" t="str">
        <f>TRIM(PROPER(Before_Tbl[[#This Row],[First_Name]]))</f>
        <v>Frank</v>
      </c>
      <c r="R493" t="str">
        <f>TRIM(PROPER(Before_Tbl[[#This Row],[Last_Name]]))</f>
        <v>Jones</v>
      </c>
      <c r="S493" s="25">
        <f t="shared" si="7"/>
        <v>25</v>
      </c>
      <c r="T493" t="str">
        <f>LEFT(Before_Tbl[[#This Row],[Department_Region]],FIND("-",Before_Tbl[[#This Row],[Department_Region]])-1)</f>
        <v>Sales</v>
      </c>
      <c r="U493" t="str">
        <f>RIGHT(Before_Tbl[[#This Row],[Department_Region]],LEN(Before_Tbl[[#This Row],[Department_Region]])-FIND("-",Before_Tbl[[#This Row],[Department_Region]]))</f>
        <v>New York</v>
      </c>
      <c r="V493" t="str">
        <f>TRIM(PROPER(Before_Tbl[[#This Row],[Status]]))</f>
        <v>Active</v>
      </c>
      <c r="W493" s="26">
        <v>44468</v>
      </c>
      <c r="X493" s="4">
        <v>99669.86</v>
      </c>
      <c r="Y493" t="str">
        <f>TRIM(LOWER(Before_Tbl[[#This Row],[Email]]))</f>
        <v>frank.jones@example.com</v>
      </c>
      <c r="Z493" s="2" t="str">
        <f>SUBSTITUTE(Before_Tbl[[#This Row],[Phone]],"-","")</f>
        <v>6652683414</v>
      </c>
      <c r="AA493" t="str">
        <f>TRIM(PROPER(Before_Tbl[[#This Row],[Performance_Score]]))</f>
        <v>Average</v>
      </c>
      <c r="AB493" s="2" t="str">
        <f>TRIM(UPPER(Before_Tbl[[#This Row],[Remote_Work]]))</f>
        <v>FALSE</v>
      </c>
    </row>
    <row r="494" spans="1:28" x14ac:dyDescent="0.35">
      <c r="A494" t="s">
        <v>886</v>
      </c>
      <c r="B494" t="s">
        <v>25</v>
      </c>
      <c r="C494" t="s">
        <v>122</v>
      </c>
      <c r="D494">
        <v>30</v>
      </c>
      <c r="E494" t="s">
        <v>196</v>
      </c>
      <c r="F494" t="s">
        <v>16</v>
      </c>
      <c r="G494" t="s">
        <v>887</v>
      </c>
      <c r="H494">
        <v>52314.97</v>
      </c>
      <c r="I494" t="s">
        <v>182</v>
      </c>
      <c r="J494">
        <v>-5999101575</v>
      </c>
      <c r="K494" t="s">
        <v>23</v>
      </c>
      <c r="L494" t="b">
        <v>0</v>
      </c>
      <c r="P494" t="str">
        <f>TRIM(Before_Tbl[[#This Row],[Employee_ID]])</f>
        <v>EMP1492</v>
      </c>
      <c r="Q494" t="str">
        <f>TRIM(PROPER(Before_Tbl[[#This Row],[First_Name]]))</f>
        <v>Alice</v>
      </c>
      <c r="R494" t="str">
        <f>TRIM(PROPER(Before_Tbl[[#This Row],[Last_Name]]))</f>
        <v>Smith</v>
      </c>
      <c r="S494" s="25">
        <f t="shared" si="7"/>
        <v>30</v>
      </c>
      <c r="T494" t="str">
        <f>LEFT(Before_Tbl[[#This Row],[Department_Region]],FIND("-",Before_Tbl[[#This Row],[Department_Region]])-1)</f>
        <v>Admin</v>
      </c>
      <c r="U494" t="str">
        <f>RIGHT(Before_Tbl[[#This Row],[Department_Region]],LEN(Before_Tbl[[#This Row],[Department_Region]])-FIND("-",Before_Tbl[[#This Row],[Department_Region]]))</f>
        <v>New York</v>
      </c>
      <c r="V494" t="str">
        <f>TRIM(PROPER(Before_Tbl[[#This Row],[Status]]))</f>
        <v>Active</v>
      </c>
      <c r="W494" s="26">
        <v>44341</v>
      </c>
      <c r="X494" s="4">
        <v>52314.97</v>
      </c>
      <c r="Y494" t="str">
        <f>TRIM(LOWER(Before_Tbl[[#This Row],[Email]]))</f>
        <v>alice.smith@example.com</v>
      </c>
      <c r="Z494" s="2" t="str">
        <f>SUBSTITUTE(Before_Tbl[[#This Row],[Phone]],"-","")</f>
        <v>5999101575</v>
      </c>
      <c r="AA494" t="str">
        <f>TRIM(PROPER(Before_Tbl[[#This Row],[Performance_Score]]))</f>
        <v>Excellent</v>
      </c>
      <c r="AB494" s="2" t="str">
        <f>TRIM(UPPER(Before_Tbl[[#This Row],[Remote_Work]]))</f>
        <v>FALSE</v>
      </c>
    </row>
    <row r="495" spans="1:28" x14ac:dyDescent="0.35">
      <c r="A495" t="s">
        <v>888</v>
      </c>
      <c r="B495" t="s">
        <v>37</v>
      </c>
      <c r="C495" t="s">
        <v>92</v>
      </c>
      <c r="D495">
        <v>30</v>
      </c>
      <c r="E495" t="s">
        <v>146</v>
      </c>
      <c r="F495" t="s">
        <v>33</v>
      </c>
      <c r="G495" t="s">
        <v>889</v>
      </c>
      <c r="H495">
        <v>77785.960000000006</v>
      </c>
      <c r="I495" t="s">
        <v>110</v>
      </c>
      <c r="J495">
        <v>-7647229811</v>
      </c>
      <c r="K495" t="s">
        <v>23</v>
      </c>
      <c r="L495" t="b">
        <v>0</v>
      </c>
      <c r="P495" t="str">
        <f>TRIM(Before_Tbl[[#This Row],[Employee_ID]])</f>
        <v>EMP1493</v>
      </c>
      <c r="Q495" t="str">
        <f>TRIM(PROPER(Before_Tbl[[#This Row],[First_Name]]))</f>
        <v>Frank</v>
      </c>
      <c r="R495" t="str">
        <f>TRIM(PROPER(Before_Tbl[[#This Row],[Last_Name]]))</f>
        <v>Miller</v>
      </c>
      <c r="S495" s="25">
        <f t="shared" si="7"/>
        <v>30</v>
      </c>
      <c r="T495" t="str">
        <f>LEFT(Before_Tbl[[#This Row],[Department_Region]],FIND("-",Before_Tbl[[#This Row],[Department_Region]])-1)</f>
        <v>HR</v>
      </c>
      <c r="U495" t="str">
        <f>RIGHT(Before_Tbl[[#This Row],[Department_Region]],LEN(Before_Tbl[[#This Row],[Department_Region]])-FIND("-",Before_Tbl[[#This Row],[Department_Region]]))</f>
        <v>California</v>
      </c>
      <c r="V495" t="str">
        <f>TRIM(PROPER(Before_Tbl[[#This Row],[Status]]))</f>
        <v>Inactive</v>
      </c>
      <c r="W495" s="26">
        <v>44865</v>
      </c>
      <c r="X495" s="4">
        <v>77785.960000000006</v>
      </c>
      <c r="Y495" t="str">
        <f>TRIM(LOWER(Before_Tbl[[#This Row],[Email]]))</f>
        <v>frank.miller@example.com</v>
      </c>
      <c r="Z495" s="2" t="str">
        <f>SUBSTITUTE(Before_Tbl[[#This Row],[Phone]],"-","")</f>
        <v>7647229811</v>
      </c>
      <c r="AA495" t="str">
        <f>TRIM(PROPER(Before_Tbl[[#This Row],[Performance_Score]]))</f>
        <v>Excellent</v>
      </c>
      <c r="AB495" s="2" t="str">
        <f>TRIM(UPPER(Before_Tbl[[#This Row],[Remote_Work]]))</f>
        <v>FALSE</v>
      </c>
    </row>
    <row r="496" spans="1:28" x14ac:dyDescent="0.35">
      <c r="A496" t="s">
        <v>890</v>
      </c>
      <c r="B496" t="s">
        <v>25</v>
      </c>
      <c r="C496" t="s">
        <v>26</v>
      </c>
      <c r="D496">
        <v>30</v>
      </c>
      <c r="E496" t="s">
        <v>212</v>
      </c>
      <c r="F496" t="s">
        <v>28</v>
      </c>
      <c r="G496" s="1">
        <v>44599</v>
      </c>
      <c r="H496">
        <v>62430.86</v>
      </c>
      <c r="I496" t="s">
        <v>29</v>
      </c>
      <c r="J496">
        <v>-995765727</v>
      </c>
      <c r="K496" t="s">
        <v>41</v>
      </c>
      <c r="L496" t="b">
        <v>0</v>
      </c>
      <c r="P496" t="str">
        <f>TRIM(Before_Tbl[[#This Row],[Employee_ID]])</f>
        <v>EMP1494</v>
      </c>
      <c r="Q496" t="str">
        <f>TRIM(PROPER(Before_Tbl[[#This Row],[First_Name]]))</f>
        <v>Alice</v>
      </c>
      <c r="R496" t="str">
        <f>TRIM(PROPER(Before_Tbl[[#This Row],[Last_Name]]))</f>
        <v>Jones</v>
      </c>
      <c r="S496" s="25">
        <f t="shared" si="7"/>
        <v>30</v>
      </c>
      <c r="T496" t="str">
        <f>LEFT(Before_Tbl[[#This Row],[Department_Region]],FIND("-",Before_Tbl[[#This Row],[Department_Region]])-1)</f>
        <v>HR</v>
      </c>
      <c r="U496" t="str">
        <f>RIGHT(Before_Tbl[[#This Row],[Department_Region]],LEN(Before_Tbl[[#This Row],[Department_Region]])-FIND("-",Before_Tbl[[#This Row],[Department_Region]]))</f>
        <v>Florida</v>
      </c>
      <c r="V496" t="str">
        <f>TRIM(PROPER(Before_Tbl[[#This Row],[Status]]))</f>
        <v>Pending</v>
      </c>
      <c r="W496" s="26">
        <v>44599</v>
      </c>
      <c r="X496" s="4">
        <v>62430.86</v>
      </c>
      <c r="Y496" t="str">
        <f>TRIM(LOWER(Before_Tbl[[#This Row],[Email]]))</f>
        <v>alice.jones@example.com</v>
      </c>
      <c r="Z496" s="2" t="str">
        <f>SUBSTITUTE(Before_Tbl[[#This Row],[Phone]],"-","")</f>
        <v>995765727</v>
      </c>
      <c r="AA496" t="str">
        <f>TRIM(PROPER(Before_Tbl[[#This Row],[Performance_Score]]))</f>
        <v>Poor</v>
      </c>
      <c r="AB496" s="2" t="str">
        <f>TRIM(UPPER(Before_Tbl[[#This Row],[Remote_Work]]))</f>
        <v>FALSE</v>
      </c>
    </row>
    <row r="497" spans="1:28" x14ac:dyDescent="0.35">
      <c r="A497" t="s">
        <v>891</v>
      </c>
      <c r="B497" t="s">
        <v>37</v>
      </c>
      <c r="C497" t="s">
        <v>14</v>
      </c>
      <c r="D497">
        <v>35</v>
      </c>
      <c r="E497" t="s">
        <v>118</v>
      </c>
      <c r="F497" t="s">
        <v>28</v>
      </c>
      <c r="G497" t="s">
        <v>208</v>
      </c>
      <c r="H497">
        <v>98219.54</v>
      </c>
      <c r="I497" t="s">
        <v>52</v>
      </c>
      <c r="J497">
        <v>-9413475097</v>
      </c>
      <c r="K497" t="s">
        <v>30</v>
      </c>
      <c r="L497" t="b">
        <v>1</v>
      </c>
      <c r="P497" t="str">
        <f>TRIM(Before_Tbl[[#This Row],[Employee_ID]])</f>
        <v>EMP1495</v>
      </c>
      <c r="Q497" t="str">
        <f>TRIM(PROPER(Before_Tbl[[#This Row],[First_Name]]))</f>
        <v>Frank</v>
      </c>
      <c r="R497" t="str">
        <f>TRIM(PROPER(Before_Tbl[[#This Row],[Last_Name]]))</f>
        <v>Davis</v>
      </c>
      <c r="S497" s="25">
        <f t="shared" si="7"/>
        <v>35</v>
      </c>
      <c r="T497" t="str">
        <f>LEFT(Before_Tbl[[#This Row],[Department_Region]],FIND("-",Before_Tbl[[#This Row],[Department_Region]])-1)</f>
        <v>Admin</v>
      </c>
      <c r="U497" t="str">
        <f>RIGHT(Before_Tbl[[#This Row],[Department_Region]],LEN(Before_Tbl[[#This Row],[Department_Region]])-FIND("-",Before_Tbl[[#This Row],[Department_Region]]))</f>
        <v>California</v>
      </c>
      <c r="V497" t="str">
        <f>TRIM(PROPER(Before_Tbl[[#This Row],[Status]]))</f>
        <v>Pending</v>
      </c>
      <c r="W497" s="26">
        <v>45532</v>
      </c>
      <c r="X497" s="4">
        <v>98219.54</v>
      </c>
      <c r="Y497" t="str">
        <f>TRIM(LOWER(Before_Tbl[[#This Row],[Email]]))</f>
        <v>frank.davis@example.com</v>
      </c>
      <c r="Z497" s="2" t="str">
        <f>SUBSTITUTE(Before_Tbl[[#This Row],[Phone]],"-","")</f>
        <v>9413475097</v>
      </c>
      <c r="AA497" t="str">
        <f>TRIM(PROPER(Before_Tbl[[#This Row],[Performance_Score]]))</f>
        <v>Good</v>
      </c>
      <c r="AB497" s="2" t="str">
        <f>TRIM(UPPER(Before_Tbl[[#This Row],[Remote_Work]]))</f>
        <v>TRUE</v>
      </c>
    </row>
    <row r="498" spans="1:28" x14ac:dyDescent="0.35">
      <c r="A498" t="s">
        <v>892</v>
      </c>
      <c r="B498" t="s">
        <v>69</v>
      </c>
      <c r="C498" t="s">
        <v>38</v>
      </c>
      <c r="D498">
        <v>25</v>
      </c>
      <c r="E498" t="s">
        <v>89</v>
      </c>
      <c r="F498" t="s">
        <v>16</v>
      </c>
      <c r="G498" t="s">
        <v>893</v>
      </c>
      <c r="H498">
        <v>65494.58</v>
      </c>
      <c r="I498" t="s">
        <v>71</v>
      </c>
      <c r="J498">
        <v>-8986456521</v>
      </c>
      <c r="K498" t="s">
        <v>18</v>
      </c>
      <c r="L498" t="b">
        <v>1</v>
      </c>
      <c r="P498" t="str">
        <f>TRIM(Before_Tbl[[#This Row],[Employee_ID]])</f>
        <v>EMP1496</v>
      </c>
      <c r="Q498" t="str">
        <f>TRIM(PROPER(Before_Tbl[[#This Row],[First_Name]]))</f>
        <v>Grace</v>
      </c>
      <c r="R498" t="str">
        <f>TRIM(PROPER(Before_Tbl[[#This Row],[Last_Name]]))</f>
        <v>Williams</v>
      </c>
      <c r="S498" s="25">
        <f t="shared" si="7"/>
        <v>25</v>
      </c>
      <c r="T498" t="str">
        <f>LEFT(Before_Tbl[[#This Row],[Department_Region]],FIND("-",Before_Tbl[[#This Row],[Department_Region]])-1)</f>
        <v>Admin</v>
      </c>
      <c r="U498" t="str">
        <f>RIGHT(Before_Tbl[[#This Row],[Department_Region]],LEN(Before_Tbl[[#This Row],[Department_Region]])-FIND("-",Before_Tbl[[#This Row],[Department_Region]]))</f>
        <v>Illinois</v>
      </c>
      <c r="V498" t="str">
        <f>TRIM(PROPER(Before_Tbl[[#This Row],[Status]]))</f>
        <v>Active</v>
      </c>
      <c r="W498" s="26">
        <v>45586</v>
      </c>
      <c r="X498" s="4">
        <v>65494.58</v>
      </c>
      <c r="Y498" t="str">
        <f>TRIM(LOWER(Before_Tbl[[#This Row],[Email]]))</f>
        <v>grace.williams@example.com</v>
      </c>
      <c r="Z498" s="2" t="str">
        <f>SUBSTITUTE(Before_Tbl[[#This Row],[Phone]],"-","")</f>
        <v>8986456521</v>
      </c>
      <c r="AA498" t="str">
        <f>TRIM(PROPER(Before_Tbl[[#This Row],[Performance_Score]]))</f>
        <v>Average</v>
      </c>
      <c r="AB498" s="2" t="str">
        <f>TRIM(UPPER(Before_Tbl[[#This Row],[Remote_Work]]))</f>
        <v>TRUE</v>
      </c>
    </row>
    <row r="499" spans="1:28" x14ac:dyDescent="0.35">
      <c r="A499" t="s">
        <v>894</v>
      </c>
      <c r="B499" t="s">
        <v>59</v>
      </c>
      <c r="C499" t="s">
        <v>20</v>
      </c>
      <c r="D499">
        <v>35</v>
      </c>
      <c r="E499" t="s">
        <v>230</v>
      </c>
      <c r="F499" t="s">
        <v>28</v>
      </c>
      <c r="G499" s="1">
        <v>44137</v>
      </c>
      <c r="H499">
        <v>110524.1</v>
      </c>
      <c r="I499" t="s">
        <v>225</v>
      </c>
      <c r="J499">
        <v>-368499514</v>
      </c>
      <c r="K499" t="s">
        <v>18</v>
      </c>
      <c r="L499" t="b">
        <v>0</v>
      </c>
      <c r="P499" t="str">
        <f>TRIM(Before_Tbl[[#This Row],[Employee_ID]])</f>
        <v>EMP1497</v>
      </c>
      <c r="Q499" t="str">
        <f>TRIM(PROPER(Before_Tbl[[#This Row],[First_Name]]))</f>
        <v>David</v>
      </c>
      <c r="R499" t="str">
        <f>TRIM(PROPER(Before_Tbl[[#This Row],[Last_Name]]))</f>
        <v>Brown</v>
      </c>
      <c r="S499" s="25">
        <f t="shared" si="7"/>
        <v>35</v>
      </c>
      <c r="T499" t="str">
        <f>LEFT(Before_Tbl[[#This Row],[Department_Region]],FIND("-",Before_Tbl[[#This Row],[Department_Region]])-1)</f>
        <v>DevOps</v>
      </c>
      <c r="U499" t="str">
        <f>RIGHT(Before_Tbl[[#This Row],[Department_Region]],LEN(Before_Tbl[[#This Row],[Department_Region]])-FIND("-",Before_Tbl[[#This Row],[Department_Region]]))</f>
        <v>Florida</v>
      </c>
      <c r="V499" t="str">
        <f>TRIM(PROPER(Before_Tbl[[#This Row],[Status]]))</f>
        <v>Pending</v>
      </c>
      <c r="W499" s="26">
        <v>44137</v>
      </c>
      <c r="X499" s="4">
        <v>110524.1</v>
      </c>
      <c r="Y499" t="str">
        <f>TRIM(LOWER(Before_Tbl[[#This Row],[Email]]))</f>
        <v>david.brown@example.com</v>
      </c>
      <c r="Z499" s="2" t="str">
        <f>SUBSTITUTE(Before_Tbl[[#This Row],[Phone]],"-","")</f>
        <v>368499514</v>
      </c>
      <c r="AA499" t="str">
        <f>TRIM(PROPER(Before_Tbl[[#This Row],[Performance_Score]]))</f>
        <v>Average</v>
      </c>
      <c r="AB499" s="2" t="str">
        <f>TRIM(UPPER(Before_Tbl[[#This Row],[Remote_Work]]))</f>
        <v>FALSE</v>
      </c>
    </row>
    <row r="500" spans="1:28" x14ac:dyDescent="0.35">
      <c r="A500" t="s">
        <v>895</v>
      </c>
      <c r="B500" t="s">
        <v>25</v>
      </c>
      <c r="C500" t="s">
        <v>122</v>
      </c>
      <c r="D500">
        <v>40</v>
      </c>
      <c r="E500" t="s">
        <v>27</v>
      </c>
      <c r="F500" t="s">
        <v>16</v>
      </c>
      <c r="G500" t="s">
        <v>896</v>
      </c>
      <c r="H500">
        <v>106060.54</v>
      </c>
      <c r="I500" t="s">
        <v>182</v>
      </c>
      <c r="J500">
        <v>-4214477323</v>
      </c>
      <c r="K500" t="s">
        <v>41</v>
      </c>
      <c r="L500" t="b">
        <v>0</v>
      </c>
      <c r="P500" t="str">
        <f>TRIM(Before_Tbl[[#This Row],[Employee_ID]])</f>
        <v>EMP1498</v>
      </c>
      <c r="Q500" t="str">
        <f>TRIM(PROPER(Before_Tbl[[#This Row],[First_Name]]))</f>
        <v>Alice</v>
      </c>
      <c r="R500" t="str">
        <f>TRIM(PROPER(Before_Tbl[[#This Row],[Last_Name]]))</f>
        <v>Smith</v>
      </c>
      <c r="S500" s="25">
        <f t="shared" si="7"/>
        <v>40</v>
      </c>
      <c r="T500" t="str">
        <f>LEFT(Before_Tbl[[#This Row],[Department_Region]],FIND("-",Before_Tbl[[#This Row],[Department_Region]])-1)</f>
        <v>Admin</v>
      </c>
      <c r="U500" t="str">
        <f>RIGHT(Before_Tbl[[#This Row],[Department_Region]],LEN(Before_Tbl[[#This Row],[Department_Region]])-FIND("-",Before_Tbl[[#This Row],[Department_Region]]))</f>
        <v>Nevada</v>
      </c>
      <c r="V500" t="str">
        <f>TRIM(PROPER(Before_Tbl[[#This Row],[Status]]))</f>
        <v>Active</v>
      </c>
      <c r="W500" s="26">
        <v>45062</v>
      </c>
      <c r="X500" s="4">
        <v>106060.54</v>
      </c>
      <c r="Y500" t="str">
        <f>TRIM(LOWER(Before_Tbl[[#This Row],[Email]]))</f>
        <v>alice.smith@example.com</v>
      </c>
      <c r="Z500" s="2" t="str">
        <f>SUBSTITUTE(Before_Tbl[[#This Row],[Phone]],"-","")</f>
        <v>4214477323</v>
      </c>
      <c r="AA500" t="str">
        <f>TRIM(PROPER(Before_Tbl[[#This Row],[Performance_Score]]))</f>
        <v>Poor</v>
      </c>
      <c r="AB500" s="2" t="str">
        <f>TRIM(UPPER(Before_Tbl[[#This Row],[Remote_Work]]))</f>
        <v>FALSE</v>
      </c>
    </row>
    <row r="501" spans="1:28" x14ac:dyDescent="0.35">
      <c r="A501" t="s">
        <v>897</v>
      </c>
      <c r="B501" t="s">
        <v>32</v>
      </c>
      <c r="C501" t="s">
        <v>20</v>
      </c>
      <c r="D501">
        <v>35</v>
      </c>
      <c r="E501" t="s">
        <v>112</v>
      </c>
      <c r="F501" t="s">
        <v>33</v>
      </c>
      <c r="G501" t="s">
        <v>898</v>
      </c>
      <c r="H501">
        <v>67639.91</v>
      </c>
      <c r="I501" t="s">
        <v>155</v>
      </c>
      <c r="J501">
        <v>-4913421387</v>
      </c>
      <c r="K501" t="s">
        <v>23</v>
      </c>
      <c r="L501" t="b">
        <v>1</v>
      </c>
      <c r="P501" t="str">
        <f>TRIM(Before_Tbl[[#This Row],[Employee_ID]])</f>
        <v>EMP1499</v>
      </c>
      <c r="Q501" t="str">
        <f>TRIM(PROPER(Before_Tbl[[#This Row],[First_Name]]))</f>
        <v>Eva</v>
      </c>
      <c r="R501" t="str">
        <f>TRIM(PROPER(Before_Tbl[[#This Row],[Last_Name]]))</f>
        <v>Brown</v>
      </c>
      <c r="S501" s="25">
        <f t="shared" si="7"/>
        <v>35</v>
      </c>
      <c r="T501" t="str">
        <f>LEFT(Before_Tbl[[#This Row],[Department_Region]],FIND("-",Before_Tbl[[#This Row],[Department_Region]])-1)</f>
        <v>Finance</v>
      </c>
      <c r="U501" t="str">
        <f>RIGHT(Before_Tbl[[#This Row],[Department_Region]],LEN(Before_Tbl[[#This Row],[Department_Region]])-FIND("-",Before_Tbl[[#This Row],[Department_Region]]))</f>
        <v>Florida</v>
      </c>
      <c r="V501" t="str">
        <f>TRIM(PROPER(Before_Tbl[[#This Row],[Status]]))</f>
        <v>Inactive</v>
      </c>
      <c r="W501" s="26">
        <v>44771</v>
      </c>
      <c r="X501" s="4">
        <v>67639.91</v>
      </c>
      <c r="Y501" t="str">
        <f>TRIM(LOWER(Before_Tbl[[#This Row],[Email]]))</f>
        <v>eva.brown@example.com</v>
      </c>
      <c r="Z501" s="2" t="str">
        <f>SUBSTITUTE(Before_Tbl[[#This Row],[Phone]],"-","")</f>
        <v>4913421387</v>
      </c>
      <c r="AA501" t="str">
        <f>TRIM(PROPER(Before_Tbl[[#This Row],[Performance_Score]]))</f>
        <v>Excellent</v>
      </c>
      <c r="AB501" s="2" t="str">
        <f>TRIM(UPPER(Before_Tbl[[#This Row],[Remote_Work]]))</f>
        <v>TRUE</v>
      </c>
    </row>
    <row r="502" spans="1:28" x14ac:dyDescent="0.35">
      <c r="A502" t="s">
        <v>899</v>
      </c>
      <c r="B502" t="s">
        <v>69</v>
      </c>
      <c r="C502" t="s">
        <v>14</v>
      </c>
      <c r="E502" t="s">
        <v>159</v>
      </c>
      <c r="F502" t="s">
        <v>28</v>
      </c>
      <c r="G502" t="s">
        <v>900</v>
      </c>
      <c r="H502">
        <v>117653.98</v>
      </c>
      <c r="I502" t="s">
        <v>235</v>
      </c>
      <c r="J502">
        <v>-2090883069</v>
      </c>
      <c r="K502" t="s">
        <v>30</v>
      </c>
      <c r="L502" t="b">
        <v>1</v>
      </c>
      <c r="P502" t="str">
        <f>TRIM(Before_Tbl[[#This Row],[Employee_ID]])</f>
        <v>EMP1500</v>
      </c>
      <c r="Q502" t="str">
        <f>TRIM(PROPER(Before_Tbl[[#This Row],[First_Name]]))</f>
        <v>Grace</v>
      </c>
      <c r="R502" t="str">
        <f>TRIM(PROPER(Before_Tbl[[#This Row],[Last_Name]]))</f>
        <v>Davis</v>
      </c>
      <c r="S502" s="25">
        <f t="shared" si="7"/>
        <v>30</v>
      </c>
      <c r="T502" t="str">
        <f>LEFT(Before_Tbl[[#This Row],[Department_Region]],FIND("-",Before_Tbl[[#This Row],[Department_Region]])-1)</f>
        <v>Cloud Tech</v>
      </c>
      <c r="U502" t="str">
        <f>RIGHT(Before_Tbl[[#This Row],[Department_Region]],LEN(Before_Tbl[[#This Row],[Department_Region]])-FIND("-",Before_Tbl[[#This Row],[Department_Region]]))</f>
        <v>Texas</v>
      </c>
      <c r="V502" t="str">
        <f>TRIM(PROPER(Before_Tbl[[#This Row],[Status]]))</f>
        <v>Pending</v>
      </c>
      <c r="W502" s="26">
        <v>45187</v>
      </c>
      <c r="X502" s="4">
        <v>117653.98</v>
      </c>
      <c r="Y502" t="str">
        <f>TRIM(LOWER(Before_Tbl[[#This Row],[Email]]))</f>
        <v>grace.davis@example.com</v>
      </c>
      <c r="Z502" s="2" t="str">
        <f>SUBSTITUTE(Before_Tbl[[#This Row],[Phone]],"-","")</f>
        <v>2090883069</v>
      </c>
      <c r="AA502" t="str">
        <f>TRIM(PROPER(Before_Tbl[[#This Row],[Performance_Score]]))</f>
        <v>Good</v>
      </c>
      <c r="AB502" s="2" t="str">
        <f>TRIM(UPPER(Before_Tbl[[#This Row],[Remote_Work]]))</f>
        <v>TRUE</v>
      </c>
    </row>
    <row r="503" spans="1:28" x14ac:dyDescent="0.35">
      <c r="A503" t="s">
        <v>901</v>
      </c>
      <c r="B503" t="s">
        <v>32</v>
      </c>
      <c r="C503" t="s">
        <v>26</v>
      </c>
      <c r="D503">
        <v>35</v>
      </c>
      <c r="E503" t="s">
        <v>237</v>
      </c>
      <c r="F503" t="s">
        <v>33</v>
      </c>
      <c r="G503" s="1">
        <v>44109</v>
      </c>
      <c r="H503">
        <v>73539.86</v>
      </c>
      <c r="I503" t="s">
        <v>278</v>
      </c>
      <c r="J503">
        <v>-5349678273</v>
      </c>
      <c r="K503" t="s">
        <v>23</v>
      </c>
      <c r="L503" t="b">
        <v>1</v>
      </c>
      <c r="P503" t="str">
        <f>TRIM(Before_Tbl[[#This Row],[Employee_ID]])</f>
        <v>EMP1501</v>
      </c>
      <c r="Q503" t="str">
        <f>TRIM(PROPER(Before_Tbl[[#This Row],[First_Name]]))</f>
        <v>Eva</v>
      </c>
      <c r="R503" t="str">
        <f>TRIM(PROPER(Before_Tbl[[#This Row],[Last_Name]]))</f>
        <v>Jones</v>
      </c>
      <c r="S503" s="25">
        <f t="shared" si="7"/>
        <v>35</v>
      </c>
      <c r="T503" t="str">
        <f>LEFT(Before_Tbl[[#This Row],[Department_Region]],FIND("-",Before_Tbl[[#This Row],[Department_Region]])-1)</f>
        <v>DevOps</v>
      </c>
      <c r="U503" t="str">
        <f>RIGHT(Before_Tbl[[#This Row],[Department_Region]],LEN(Before_Tbl[[#This Row],[Department_Region]])-FIND("-",Before_Tbl[[#This Row],[Department_Region]]))</f>
        <v>Texas</v>
      </c>
      <c r="V503" t="str">
        <f>TRIM(PROPER(Before_Tbl[[#This Row],[Status]]))</f>
        <v>Inactive</v>
      </c>
      <c r="W503" s="26">
        <v>44109</v>
      </c>
      <c r="X503" s="4">
        <v>73539.86</v>
      </c>
      <c r="Y503" t="str">
        <f>TRIM(LOWER(Before_Tbl[[#This Row],[Email]]))</f>
        <v>eva.jones@example.com</v>
      </c>
      <c r="Z503" s="2" t="str">
        <f>SUBSTITUTE(Before_Tbl[[#This Row],[Phone]],"-","")</f>
        <v>5349678273</v>
      </c>
      <c r="AA503" t="str">
        <f>TRIM(PROPER(Before_Tbl[[#This Row],[Performance_Score]]))</f>
        <v>Excellent</v>
      </c>
      <c r="AB503" s="2" t="str">
        <f>TRIM(UPPER(Before_Tbl[[#This Row],[Remote_Work]]))</f>
        <v>TRUE</v>
      </c>
    </row>
    <row r="504" spans="1:28" x14ac:dyDescent="0.35">
      <c r="A504" t="s">
        <v>902</v>
      </c>
      <c r="B504" t="s">
        <v>37</v>
      </c>
      <c r="C504" t="s">
        <v>26</v>
      </c>
      <c r="D504">
        <v>35</v>
      </c>
      <c r="E504" t="s">
        <v>149</v>
      </c>
      <c r="F504" t="s">
        <v>28</v>
      </c>
      <c r="G504" t="s">
        <v>903</v>
      </c>
      <c r="H504">
        <v>70915.38</v>
      </c>
      <c r="I504" t="s">
        <v>47</v>
      </c>
      <c r="J504">
        <v>-1176741240</v>
      </c>
      <c r="K504" t="s">
        <v>23</v>
      </c>
      <c r="L504" t="b">
        <v>1</v>
      </c>
      <c r="P504" t="str">
        <f>TRIM(Before_Tbl[[#This Row],[Employee_ID]])</f>
        <v>EMP1502</v>
      </c>
      <c r="Q504" t="str">
        <f>TRIM(PROPER(Before_Tbl[[#This Row],[First_Name]]))</f>
        <v>Frank</v>
      </c>
      <c r="R504" t="str">
        <f>TRIM(PROPER(Before_Tbl[[#This Row],[Last_Name]]))</f>
        <v>Jones</v>
      </c>
      <c r="S504" s="25">
        <f t="shared" si="7"/>
        <v>35</v>
      </c>
      <c r="T504" t="str">
        <f>LEFT(Before_Tbl[[#This Row],[Department_Region]],FIND("-",Before_Tbl[[#This Row],[Department_Region]])-1)</f>
        <v>HR</v>
      </c>
      <c r="U504" t="str">
        <f>RIGHT(Before_Tbl[[#This Row],[Department_Region]],LEN(Before_Tbl[[#This Row],[Department_Region]])-FIND("-",Before_Tbl[[#This Row],[Department_Region]]))</f>
        <v>Nevada</v>
      </c>
      <c r="V504" t="str">
        <f>TRIM(PROPER(Before_Tbl[[#This Row],[Status]]))</f>
        <v>Pending</v>
      </c>
      <c r="W504" s="26">
        <v>45165</v>
      </c>
      <c r="X504" s="4">
        <v>70915.38</v>
      </c>
      <c r="Y504" t="str">
        <f>TRIM(LOWER(Before_Tbl[[#This Row],[Email]]))</f>
        <v>frank.jones@example.com</v>
      </c>
      <c r="Z504" s="2" t="str">
        <f>SUBSTITUTE(Before_Tbl[[#This Row],[Phone]],"-","")</f>
        <v>1176741240</v>
      </c>
      <c r="AA504" t="str">
        <f>TRIM(PROPER(Before_Tbl[[#This Row],[Performance_Score]]))</f>
        <v>Excellent</v>
      </c>
      <c r="AB504" s="2" t="str">
        <f>TRIM(UPPER(Before_Tbl[[#This Row],[Remote_Work]]))</f>
        <v>TRUE</v>
      </c>
    </row>
    <row r="505" spans="1:28" x14ac:dyDescent="0.35">
      <c r="A505" t="s">
        <v>904</v>
      </c>
      <c r="B505" t="s">
        <v>59</v>
      </c>
      <c r="C505" t="s">
        <v>43</v>
      </c>
      <c r="D505">
        <v>25</v>
      </c>
      <c r="E505" t="s">
        <v>74</v>
      </c>
      <c r="F505" t="s">
        <v>28</v>
      </c>
      <c r="G505" t="s">
        <v>905</v>
      </c>
      <c r="H505">
        <v>97652.9</v>
      </c>
      <c r="I505" t="s">
        <v>101</v>
      </c>
      <c r="J505">
        <v>-5131528546</v>
      </c>
      <c r="K505" t="s">
        <v>23</v>
      </c>
      <c r="L505" t="b">
        <v>0</v>
      </c>
      <c r="P505" t="str">
        <f>TRIM(Before_Tbl[[#This Row],[Employee_ID]])</f>
        <v>EMP1503</v>
      </c>
      <c r="Q505" t="str">
        <f>TRIM(PROPER(Before_Tbl[[#This Row],[First_Name]]))</f>
        <v>David</v>
      </c>
      <c r="R505" t="str">
        <f>TRIM(PROPER(Before_Tbl[[#This Row],[Last_Name]]))</f>
        <v>Garcia</v>
      </c>
      <c r="S505" s="25">
        <f t="shared" si="7"/>
        <v>25</v>
      </c>
      <c r="T505" t="str">
        <f>LEFT(Before_Tbl[[#This Row],[Department_Region]],FIND("-",Before_Tbl[[#This Row],[Department_Region]])-1)</f>
        <v>Sales</v>
      </c>
      <c r="U505" t="str">
        <f>RIGHT(Before_Tbl[[#This Row],[Department_Region]],LEN(Before_Tbl[[#This Row],[Department_Region]])-FIND("-",Before_Tbl[[#This Row],[Department_Region]]))</f>
        <v>Florida</v>
      </c>
      <c r="V505" t="str">
        <f>TRIM(PROPER(Before_Tbl[[#This Row],[Status]]))</f>
        <v>Pending</v>
      </c>
      <c r="W505" s="26">
        <v>44485</v>
      </c>
      <c r="X505" s="4">
        <v>97652.9</v>
      </c>
      <c r="Y505" t="str">
        <f>TRIM(LOWER(Before_Tbl[[#This Row],[Email]]))</f>
        <v>david.garcia@example.com</v>
      </c>
      <c r="Z505" s="2" t="str">
        <f>SUBSTITUTE(Before_Tbl[[#This Row],[Phone]],"-","")</f>
        <v>5131528546</v>
      </c>
      <c r="AA505" t="str">
        <f>TRIM(PROPER(Before_Tbl[[#This Row],[Performance_Score]]))</f>
        <v>Excellent</v>
      </c>
      <c r="AB505" s="2" t="str">
        <f>TRIM(UPPER(Before_Tbl[[#This Row],[Remote_Work]]))</f>
        <v>FALSE</v>
      </c>
    </row>
    <row r="506" spans="1:28" x14ac:dyDescent="0.35">
      <c r="A506" t="s">
        <v>906</v>
      </c>
      <c r="B506" t="s">
        <v>65</v>
      </c>
      <c r="C506" t="s">
        <v>14</v>
      </c>
      <c r="D506">
        <v>35</v>
      </c>
      <c r="E506" t="s">
        <v>212</v>
      </c>
      <c r="F506" t="s">
        <v>33</v>
      </c>
      <c r="G506" s="1">
        <v>44715</v>
      </c>
      <c r="H506">
        <v>101571.25</v>
      </c>
      <c r="I506" t="s">
        <v>395</v>
      </c>
      <c r="J506">
        <v>-8150618537</v>
      </c>
      <c r="K506" t="s">
        <v>23</v>
      </c>
      <c r="L506" t="b">
        <v>0</v>
      </c>
      <c r="P506" t="str">
        <f>TRIM(Before_Tbl[[#This Row],[Employee_ID]])</f>
        <v>EMP1504</v>
      </c>
      <c r="Q506" t="str">
        <f>TRIM(PROPER(Before_Tbl[[#This Row],[First_Name]]))</f>
        <v>Heidi</v>
      </c>
      <c r="R506" t="str">
        <f>TRIM(PROPER(Before_Tbl[[#This Row],[Last_Name]]))</f>
        <v>Davis</v>
      </c>
      <c r="S506" s="25">
        <f t="shared" si="7"/>
        <v>35</v>
      </c>
      <c r="T506" t="str">
        <f>LEFT(Before_Tbl[[#This Row],[Department_Region]],FIND("-",Before_Tbl[[#This Row],[Department_Region]])-1)</f>
        <v>HR</v>
      </c>
      <c r="U506" t="str">
        <f>RIGHT(Before_Tbl[[#This Row],[Department_Region]],LEN(Before_Tbl[[#This Row],[Department_Region]])-FIND("-",Before_Tbl[[#This Row],[Department_Region]]))</f>
        <v>Florida</v>
      </c>
      <c r="V506" t="str">
        <f>TRIM(PROPER(Before_Tbl[[#This Row],[Status]]))</f>
        <v>Inactive</v>
      </c>
      <c r="W506" s="26">
        <v>44715</v>
      </c>
      <c r="X506" s="4">
        <v>101571.25</v>
      </c>
      <c r="Y506" t="str">
        <f>TRIM(LOWER(Before_Tbl[[#This Row],[Email]]))</f>
        <v>heidi.davis@example.com</v>
      </c>
      <c r="Z506" s="2" t="str">
        <f>SUBSTITUTE(Before_Tbl[[#This Row],[Phone]],"-","")</f>
        <v>8150618537</v>
      </c>
      <c r="AA506" t="str">
        <f>TRIM(PROPER(Before_Tbl[[#This Row],[Performance_Score]]))</f>
        <v>Excellent</v>
      </c>
      <c r="AB506" s="2" t="str">
        <f>TRIM(UPPER(Before_Tbl[[#This Row],[Remote_Work]]))</f>
        <v>FALSE</v>
      </c>
    </row>
    <row r="507" spans="1:28" x14ac:dyDescent="0.35">
      <c r="A507" t="s">
        <v>907</v>
      </c>
      <c r="B507" t="s">
        <v>59</v>
      </c>
      <c r="C507" t="s">
        <v>122</v>
      </c>
      <c r="D507">
        <v>35</v>
      </c>
      <c r="E507" t="s">
        <v>329</v>
      </c>
      <c r="F507" t="s">
        <v>16</v>
      </c>
      <c r="G507" s="1">
        <v>45088</v>
      </c>
      <c r="H507">
        <v>87424.46</v>
      </c>
      <c r="I507" t="s">
        <v>341</v>
      </c>
      <c r="J507">
        <v>-32963346</v>
      </c>
      <c r="K507" t="s">
        <v>18</v>
      </c>
      <c r="L507" t="b">
        <v>1</v>
      </c>
      <c r="P507" t="str">
        <f>TRIM(Before_Tbl[[#This Row],[Employee_ID]])</f>
        <v>EMP1505</v>
      </c>
      <c r="Q507" t="str">
        <f>TRIM(PROPER(Before_Tbl[[#This Row],[First_Name]]))</f>
        <v>David</v>
      </c>
      <c r="R507" t="str">
        <f>TRIM(PROPER(Before_Tbl[[#This Row],[Last_Name]]))</f>
        <v>Smith</v>
      </c>
      <c r="S507" s="25">
        <f t="shared" si="7"/>
        <v>35</v>
      </c>
      <c r="T507" t="str">
        <f>LEFT(Before_Tbl[[#This Row],[Department_Region]],FIND("-",Before_Tbl[[#This Row],[Department_Region]])-1)</f>
        <v>DevOps</v>
      </c>
      <c r="U507" t="str">
        <f>RIGHT(Before_Tbl[[#This Row],[Department_Region]],LEN(Before_Tbl[[#This Row],[Department_Region]])-FIND("-",Before_Tbl[[#This Row],[Department_Region]]))</f>
        <v>Nevada</v>
      </c>
      <c r="V507" t="str">
        <f>TRIM(PROPER(Before_Tbl[[#This Row],[Status]]))</f>
        <v>Active</v>
      </c>
      <c r="W507" s="26">
        <v>45088</v>
      </c>
      <c r="X507" s="4">
        <v>87424.46</v>
      </c>
      <c r="Y507" t="str">
        <f>TRIM(LOWER(Before_Tbl[[#This Row],[Email]]))</f>
        <v>david.smith@example.com</v>
      </c>
      <c r="Z507" s="2" t="str">
        <f>SUBSTITUTE(Before_Tbl[[#This Row],[Phone]],"-","")</f>
        <v>32963346</v>
      </c>
      <c r="AA507" t="str">
        <f>TRIM(PROPER(Before_Tbl[[#This Row],[Performance_Score]]))</f>
        <v>Average</v>
      </c>
      <c r="AB507" s="2" t="str">
        <f>TRIM(UPPER(Before_Tbl[[#This Row],[Remote_Work]]))</f>
        <v>TRUE</v>
      </c>
    </row>
    <row r="508" spans="1:28" x14ac:dyDescent="0.35">
      <c r="A508" t="s">
        <v>908</v>
      </c>
      <c r="B508" t="s">
        <v>37</v>
      </c>
      <c r="C508" t="s">
        <v>43</v>
      </c>
      <c r="E508" t="s">
        <v>66</v>
      </c>
      <c r="F508" t="s">
        <v>28</v>
      </c>
      <c r="G508" t="s">
        <v>909</v>
      </c>
      <c r="H508">
        <v>89077.36</v>
      </c>
      <c r="I508" t="s">
        <v>180</v>
      </c>
      <c r="J508">
        <v>-2727423182</v>
      </c>
      <c r="K508" t="s">
        <v>18</v>
      </c>
      <c r="L508" t="b">
        <v>0</v>
      </c>
      <c r="P508" t="str">
        <f>TRIM(Before_Tbl[[#This Row],[Employee_ID]])</f>
        <v>EMP1506</v>
      </c>
      <c r="Q508" t="str">
        <f>TRIM(PROPER(Before_Tbl[[#This Row],[First_Name]]))</f>
        <v>Frank</v>
      </c>
      <c r="R508" t="str">
        <f>TRIM(PROPER(Before_Tbl[[#This Row],[Last_Name]]))</f>
        <v>Garcia</v>
      </c>
      <c r="S508" s="25">
        <f t="shared" si="7"/>
        <v>30</v>
      </c>
      <c r="T508" t="str">
        <f>LEFT(Before_Tbl[[#This Row],[Department_Region]],FIND("-",Before_Tbl[[#This Row],[Department_Region]])-1)</f>
        <v>HR</v>
      </c>
      <c r="U508" t="str">
        <f>RIGHT(Before_Tbl[[#This Row],[Department_Region]],LEN(Before_Tbl[[#This Row],[Department_Region]])-FIND("-",Before_Tbl[[#This Row],[Department_Region]]))</f>
        <v>New York</v>
      </c>
      <c r="V508" t="str">
        <f>TRIM(PROPER(Before_Tbl[[#This Row],[Status]]))</f>
        <v>Pending</v>
      </c>
      <c r="W508" s="26">
        <v>45626</v>
      </c>
      <c r="X508" s="4">
        <v>89077.36</v>
      </c>
      <c r="Y508" t="str">
        <f>TRIM(LOWER(Before_Tbl[[#This Row],[Email]]))</f>
        <v>frank.garcia@example.com</v>
      </c>
      <c r="Z508" s="2" t="str">
        <f>SUBSTITUTE(Before_Tbl[[#This Row],[Phone]],"-","")</f>
        <v>2727423182</v>
      </c>
      <c r="AA508" t="str">
        <f>TRIM(PROPER(Before_Tbl[[#This Row],[Performance_Score]]))</f>
        <v>Average</v>
      </c>
      <c r="AB508" s="2" t="str">
        <f>TRIM(UPPER(Before_Tbl[[#This Row],[Remote_Work]]))</f>
        <v>FALSE</v>
      </c>
    </row>
    <row r="509" spans="1:28" x14ac:dyDescent="0.35">
      <c r="A509" t="s">
        <v>910</v>
      </c>
      <c r="B509" t="s">
        <v>65</v>
      </c>
      <c r="C509" t="s">
        <v>38</v>
      </c>
      <c r="D509">
        <v>30</v>
      </c>
      <c r="E509" t="s">
        <v>15</v>
      </c>
      <c r="F509" t="s">
        <v>28</v>
      </c>
      <c r="G509" t="s">
        <v>911</v>
      </c>
      <c r="H509">
        <v>89132.22</v>
      </c>
      <c r="I509" t="s">
        <v>67</v>
      </c>
      <c r="J509">
        <v>-617893205</v>
      </c>
      <c r="K509" t="s">
        <v>23</v>
      </c>
      <c r="L509" t="b">
        <v>1</v>
      </c>
      <c r="P509" t="str">
        <f>TRIM(Before_Tbl[[#This Row],[Employee_ID]])</f>
        <v>EMP1507</v>
      </c>
      <c r="Q509" t="str">
        <f>TRIM(PROPER(Before_Tbl[[#This Row],[First_Name]]))</f>
        <v>Heidi</v>
      </c>
      <c r="R509" t="str">
        <f>TRIM(PROPER(Before_Tbl[[#This Row],[Last_Name]]))</f>
        <v>Williams</v>
      </c>
      <c r="S509" s="25">
        <f t="shared" si="7"/>
        <v>30</v>
      </c>
      <c r="T509" t="str">
        <f>LEFT(Before_Tbl[[#This Row],[Department_Region]],FIND("-",Before_Tbl[[#This Row],[Department_Region]])-1)</f>
        <v>DevOps</v>
      </c>
      <c r="U509" t="str">
        <f>RIGHT(Before_Tbl[[#This Row],[Department_Region]],LEN(Before_Tbl[[#This Row],[Department_Region]])-FIND("-",Before_Tbl[[#This Row],[Department_Region]]))</f>
        <v>California</v>
      </c>
      <c r="V509" t="str">
        <f>TRIM(PROPER(Before_Tbl[[#This Row],[Status]]))</f>
        <v>Pending</v>
      </c>
      <c r="W509" s="26">
        <v>45486</v>
      </c>
      <c r="X509" s="4">
        <v>89132.22</v>
      </c>
      <c r="Y509" t="str">
        <f>TRIM(LOWER(Before_Tbl[[#This Row],[Email]]))</f>
        <v>heidi.williams@example.com</v>
      </c>
      <c r="Z509" s="2" t="str">
        <f>SUBSTITUTE(Before_Tbl[[#This Row],[Phone]],"-","")</f>
        <v>617893205</v>
      </c>
      <c r="AA509" t="str">
        <f>TRIM(PROPER(Before_Tbl[[#This Row],[Performance_Score]]))</f>
        <v>Excellent</v>
      </c>
      <c r="AB509" s="2" t="str">
        <f>TRIM(UPPER(Before_Tbl[[#This Row],[Remote_Work]]))</f>
        <v>TRUE</v>
      </c>
    </row>
    <row r="510" spans="1:28" x14ac:dyDescent="0.35">
      <c r="A510" t="s">
        <v>912</v>
      </c>
      <c r="B510" t="s">
        <v>37</v>
      </c>
      <c r="C510" t="s">
        <v>43</v>
      </c>
      <c r="D510">
        <v>25</v>
      </c>
      <c r="E510" t="s">
        <v>118</v>
      </c>
      <c r="F510" t="s">
        <v>16</v>
      </c>
      <c r="G510" s="1">
        <v>45385</v>
      </c>
      <c r="H510">
        <v>111000.26</v>
      </c>
      <c r="I510" t="s">
        <v>180</v>
      </c>
      <c r="J510">
        <v>-4969357823</v>
      </c>
      <c r="K510" t="s">
        <v>30</v>
      </c>
      <c r="L510" t="b">
        <v>0</v>
      </c>
      <c r="P510" t="str">
        <f>TRIM(Before_Tbl[[#This Row],[Employee_ID]])</f>
        <v>EMP1508</v>
      </c>
      <c r="Q510" t="str">
        <f>TRIM(PROPER(Before_Tbl[[#This Row],[First_Name]]))</f>
        <v>Frank</v>
      </c>
      <c r="R510" t="str">
        <f>TRIM(PROPER(Before_Tbl[[#This Row],[Last_Name]]))</f>
        <v>Garcia</v>
      </c>
      <c r="S510" s="25">
        <f t="shared" si="7"/>
        <v>25</v>
      </c>
      <c r="T510" t="str">
        <f>LEFT(Before_Tbl[[#This Row],[Department_Region]],FIND("-",Before_Tbl[[#This Row],[Department_Region]])-1)</f>
        <v>Admin</v>
      </c>
      <c r="U510" t="str">
        <f>RIGHT(Before_Tbl[[#This Row],[Department_Region]],LEN(Before_Tbl[[#This Row],[Department_Region]])-FIND("-",Before_Tbl[[#This Row],[Department_Region]]))</f>
        <v>California</v>
      </c>
      <c r="V510" t="str">
        <f>TRIM(PROPER(Before_Tbl[[#This Row],[Status]]))</f>
        <v>Active</v>
      </c>
      <c r="W510" s="26">
        <v>45385</v>
      </c>
      <c r="X510" s="4">
        <v>111000.26</v>
      </c>
      <c r="Y510" t="str">
        <f>TRIM(LOWER(Before_Tbl[[#This Row],[Email]]))</f>
        <v>frank.garcia@example.com</v>
      </c>
      <c r="Z510" s="2" t="str">
        <f>SUBSTITUTE(Before_Tbl[[#This Row],[Phone]],"-","")</f>
        <v>4969357823</v>
      </c>
      <c r="AA510" t="str">
        <f>TRIM(PROPER(Before_Tbl[[#This Row],[Performance_Score]]))</f>
        <v>Good</v>
      </c>
      <c r="AB510" s="2" t="str">
        <f>TRIM(UPPER(Before_Tbl[[#This Row],[Remote_Work]]))</f>
        <v>FALSE</v>
      </c>
    </row>
    <row r="511" spans="1:28" x14ac:dyDescent="0.35">
      <c r="A511" t="s">
        <v>913</v>
      </c>
      <c r="B511" t="s">
        <v>37</v>
      </c>
      <c r="C511" t="s">
        <v>55</v>
      </c>
      <c r="D511">
        <v>35</v>
      </c>
      <c r="E511" t="s">
        <v>192</v>
      </c>
      <c r="F511" t="s">
        <v>33</v>
      </c>
      <c r="G511" s="1">
        <v>44750</v>
      </c>
      <c r="H511">
        <v>109584.97</v>
      </c>
      <c r="I511" t="s">
        <v>271</v>
      </c>
      <c r="J511">
        <v>-3477695873</v>
      </c>
      <c r="K511" t="s">
        <v>41</v>
      </c>
      <c r="L511" t="b">
        <v>1</v>
      </c>
      <c r="P511" t="str">
        <f>TRIM(Before_Tbl[[#This Row],[Employee_ID]])</f>
        <v>EMP1509</v>
      </c>
      <c r="Q511" t="str">
        <f>TRIM(PROPER(Before_Tbl[[#This Row],[First_Name]]))</f>
        <v>Frank</v>
      </c>
      <c r="R511" t="str">
        <f>TRIM(PROPER(Before_Tbl[[#This Row],[Last_Name]]))</f>
        <v>Johnson</v>
      </c>
      <c r="S511" s="25">
        <f t="shared" si="7"/>
        <v>35</v>
      </c>
      <c r="T511" t="str">
        <f>LEFT(Before_Tbl[[#This Row],[Department_Region]],FIND("-",Before_Tbl[[#This Row],[Department_Region]])-1)</f>
        <v>HR</v>
      </c>
      <c r="U511" t="str">
        <f>RIGHT(Before_Tbl[[#This Row],[Department_Region]],LEN(Before_Tbl[[#This Row],[Department_Region]])-FIND("-",Before_Tbl[[#This Row],[Department_Region]]))</f>
        <v>Illinois</v>
      </c>
      <c r="V511" t="str">
        <f>TRIM(PROPER(Before_Tbl[[#This Row],[Status]]))</f>
        <v>Inactive</v>
      </c>
      <c r="W511" s="26">
        <v>44750</v>
      </c>
      <c r="X511" s="4">
        <v>109584.97</v>
      </c>
      <c r="Y511" t="str">
        <f>TRIM(LOWER(Before_Tbl[[#This Row],[Email]]))</f>
        <v>frank.johnson@example.com</v>
      </c>
      <c r="Z511" s="2" t="str">
        <f>SUBSTITUTE(Before_Tbl[[#This Row],[Phone]],"-","")</f>
        <v>3477695873</v>
      </c>
      <c r="AA511" t="str">
        <f>TRIM(PROPER(Before_Tbl[[#This Row],[Performance_Score]]))</f>
        <v>Poor</v>
      </c>
      <c r="AB511" s="2" t="str">
        <f>TRIM(UPPER(Before_Tbl[[#This Row],[Remote_Work]]))</f>
        <v>TRUE</v>
      </c>
    </row>
    <row r="512" spans="1:28" x14ac:dyDescent="0.35">
      <c r="A512" t="s">
        <v>914</v>
      </c>
      <c r="B512" t="s">
        <v>13</v>
      </c>
      <c r="C512" t="s">
        <v>122</v>
      </c>
      <c r="D512">
        <v>40</v>
      </c>
      <c r="E512" t="s">
        <v>89</v>
      </c>
      <c r="F512" t="s">
        <v>16</v>
      </c>
      <c r="G512" s="1">
        <v>45607</v>
      </c>
      <c r="H512">
        <v>97648.84</v>
      </c>
      <c r="I512" t="s">
        <v>123</v>
      </c>
      <c r="J512">
        <v>-1314675360</v>
      </c>
      <c r="K512" t="s">
        <v>30</v>
      </c>
      <c r="L512" t="b">
        <v>0</v>
      </c>
      <c r="P512" t="str">
        <f>TRIM(Before_Tbl[[#This Row],[Employee_ID]])</f>
        <v>EMP1510</v>
      </c>
      <c r="Q512" t="str">
        <f>TRIM(PROPER(Before_Tbl[[#This Row],[First_Name]]))</f>
        <v>Bob</v>
      </c>
      <c r="R512" t="str">
        <f>TRIM(PROPER(Before_Tbl[[#This Row],[Last_Name]]))</f>
        <v>Smith</v>
      </c>
      <c r="S512" s="25">
        <f t="shared" si="7"/>
        <v>40</v>
      </c>
      <c r="T512" t="str">
        <f>LEFT(Before_Tbl[[#This Row],[Department_Region]],FIND("-",Before_Tbl[[#This Row],[Department_Region]])-1)</f>
        <v>Admin</v>
      </c>
      <c r="U512" t="str">
        <f>RIGHT(Before_Tbl[[#This Row],[Department_Region]],LEN(Before_Tbl[[#This Row],[Department_Region]])-FIND("-",Before_Tbl[[#This Row],[Department_Region]]))</f>
        <v>Illinois</v>
      </c>
      <c r="V512" t="str">
        <f>TRIM(PROPER(Before_Tbl[[#This Row],[Status]]))</f>
        <v>Active</v>
      </c>
      <c r="W512" s="26">
        <v>45607</v>
      </c>
      <c r="X512" s="4">
        <v>97648.84</v>
      </c>
      <c r="Y512" t="str">
        <f>TRIM(LOWER(Before_Tbl[[#This Row],[Email]]))</f>
        <v>bob.smith@example.com</v>
      </c>
      <c r="Z512" s="2" t="str">
        <f>SUBSTITUTE(Before_Tbl[[#This Row],[Phone]],"-","")</f>
        <v>1314675360</v>
      </c>
      <c r="AA512" t="str">
        <f>TRIM(PROPER(Before_Tbl[[#This Row],[Performance_Score]]))</f>
        <v>Good</v>
      </c>
      <c r="AB512" s="2" t="str">
        <f>TRIM(UPPER(Before_Tbl[[#This Row],[Remote_Work]]))</f>
        <v>FALSE</v>
      </c>
    </row>
    <row r="513" spans="1:28" x14ac:dyDescent="0.35">
      <c r="A513" t="s">
        <v>915</v>
      </c>
      <c r="B513" t="s">
        <v>69</v>
      </c>
      <c r="C513" t="s">
        <v>55</v>
      </c>
      <c r="D513">
        <v>25</v>
      </c>
      <c r="E513" t="s">
        <v>196</v>
      </c>
      <c r="F513" t="s">
        <v>16</v>
      </c>
      <c r="G513" s="1">
        <v>44239</v>
      </c>
      <c r="H513">
        <v>78643.429999999993</v>
      </c>
      <c r="I513" t="s">
        <v>127</v>
      </c>
      <c r="J513">
        <v>-2751562778</v>
      </c>
      <c r="K513" t="s">
        <v>30</v>
      </c>
      <c r="L513" t="b">
        <v>1</v>
      </c>
      <c r="P513" t="str">
        <f>TRIM(Before_Tbl[[#This Row],[Employee_ID]])</f>
        <v>EMP1511</v>
      </c>
      <c r="Q513" t="str">
        <f>TRIM(PROPER(Before_Tbl[[#This Row],[First_Name]]))</f>
        <v>Grace</v>
      </c>
      <c r="R513" t="str">
        <f>TRIM(PROPER(Before_Tbl[[#This Row],[Last_Name]]))</f>
        <v>Johnson</v>
      </c>
      <c r="S513" s="25">
        <f t="shared" si="7"/>
        <v>25</v>
      </c>
      <c r="T513" t="str">
        <f>LEFT(Before_Tbl[[#This Row],[Department_Region]],FIND("-",Before_Tbl[[#This Row],[Department_Region]])-1)</f>
        <v>Admin</v>
      </c>
      <c r="U513" t="str">
        <f>RIGHT(Before_Tbl[[#This Row],[Department_Region]],LEN(Before_Tbl[[#This Row],[Department_Region]])-FIND("-",Before_Tbl[[#This Row],[Department_Region]]))</f>
        <v>New York</v>
      </c>
      <c r="V513" t="str">
        <f>TRIM(PROPER(Before_Tbl[[#This Row],[Status]]))</f>
        <v>Active</v>
      </c>
      <c r="W513" s="26">
        <v>44239</v>
      </c>
      <c r="X513" s="4">
        <v>78643.429999999993</v>
      </c>
      <c r="Y513" t="str">
        <f>TRIM(LOWER(Before_Tbl[[#This Row],[Email]]))</f>
        <v>grace.johnson@example.com</v>
      </c>
      <c r="Z513" s="2" t="str">
        <f>SUBSTITUTE(Before_Tbl[[#This Row],[Phone]],"-","")</f>
        <v>2751562778</v>
      </c>
      <c r="AA513" t="str">
        <f>TRIM(PROPER(Before_Tbl[[#This Row],[Performance_Score]]))</f>
        <v>Good</v>
      </c>
      <c r="AB513" s="2" t="str">
        <f>TRIM(UPPER(Before_Tbl[[#This Row],[Remote_Work]]))</f>
        <v>TRUE</v>
      </c>
    </row>
    <row r="514" spans="1:28" x14ac:dyDescent="0.35">
      <c r="A514" t="s">
        <v>916</v>
      </c>
      <c r="B514" t="s">
        <v>65</v>
      </c>
      <c r="C514" t="s">
        <v>14</v>
      </c>
      <c r="D514">
        <v>30</v>
      </c>
      <c r="E514" t="s">
        <v>149</v>
      </c>
      <c r="F514" t="s">
        <v>16</v>
      </c>
      <c r="G514" t="s">
        <v>917</v>
      </c>
      <c r="H514">
        <v>55656.800000000003</v>
      </c>
      <c r="I514" t="s">
        <v>395</v>
      </c>
      <c r="J514">
        <v>-6304483607</v>
      </c>
      <c r="K514" t="s">
        <v>30</v>
      </c>
      <c r="L514" t="b">
        <v>1</v>
      </c>
      <c r="P514" t="str">
        <f>TRIM(Before_Tbl[[#This Row],[Employee_ID]])</f>
        <v>EMP1512</v>
      </c>
      <c r="Q514" t="str">
        <f>TRIM(PROPER(Before_Tbl[[#This Row],[First_Name]]))</f>
        <v>Heidi</v>
      </c>
      <c r="R514" t="str">
        <f>TRIM(PROPER(Before_Tbl[[#This Row],[Last_Name]]))</f>
        <v>Davis</v>
      </c>
      <c r="S514" s="25">
        <f t="shared" ref="S514:S577" si="8">IF(ISBLANK(D514),30,D514)</f>
        <v>30</v>
      </c>
      <c r="T514" t="str">
        <f>LEFT(Before_Tbl[[#This Row],[Department_Region]],FIND("-",Before_Tbl[[#This Row],[Department_Region]])-1)</f>
        <v>HR</v>
      </c>
      <c r="U514" t="str">
        <f>RIGHT(Before_Tbl[[#This Row],[Department_Region]],LEN(Before_Tbl[[#This Row],[Department_Region]])-FIND("-",Before_Tbl[[#This Row],[Department_Region]]))</f>
        <v>Nevada</v>
      </c>
      <c r="V514" t="str">
        <f>TRIM(PROPER(Before_Tbl[[#This Row],[Status]]))</f>
        <v>Active</v>
      </c>
      <c r="W514" s="26">
        <v>45426</v>
      </c>
      <c r="X514" s="4">
        <v>55656.800000000003</v>
      </c>
      <c r="Y514" t="str">
        <f>TRIM(LOWER(Before_Tbl[[#This Row],[Email]]))</f>
        <v>heidi.davis@example.com</v>
      </c>
      <c r="Z514" s="2" t="str">
        <f>SUBSTITUTE(Before_Tbl[[#This Row],[Phone]],"-","")</f>
        <v>6304483607</v>
      </c>
      <c r="AA514" t="str">
        <f>TRIM(PROPER(Before_Tbl[[#This Row],[Performance_Score]]))</f>
        <v>Good</v>
      </c>
      <c r="AB514" s="2" t="str">
        <f>TRIM(UPPER(Before_Tbl[[#This Row],[Remote_Work]]))</f>
        <v>TRUE</v>
      </c>
    </row>
    <row r="515" spans="1:28" x14ac:dyDescent="0.35">
      <c r="A515" t="s">
        <v>918</v>
      </c>
      <c r="B515" t="s">
        <v>54</v>
      </c>
      <c r="C515" t="s">
        <v>92</v>
      </c>
      <c r="D515">
        <v>35</v>
      </c>
      <c r="E515" t="s">
        <v>237</v>
      </c>
      <c r="F515" t="s">
        <v>16</v>
      </c>
      <c r="G515" t="s">
        <v>919</v>
      </c>
      <c r="H515">
        <v>69146.95</v>
      </c>
      <c r="I515" t="s">
        <v>502</v>
      </c>
      <c r="J515">
        <v>-5456676639</v>
      </c>
      <c r="K515" t="s">
        <v>23</v>
      </c>
      <c r="L515" t="b">
        <v>0</v>
      </c>
      <c r="P515" t="str">
        <f>TRIM(Before_Tbl[[#This Row],[Employee_ID]])</f>
        <v>EMP1513</v>
      </c>
      <c r="Q515" t="str">
        <f>TRIM(PROPER(Before_Tbl[[#This Row],[First_Name]]))</f>
        <v>Charlie</v>
      </c>
      <c r="R515" t="str">
        <f>TRIM(PROPER(Before_Tbl[[#This Row],[Last_Name]]))</f>
        <v>Miller</v>
      </c>
      <c r="S515" s="25">
        <f t="shared" si="8"/>
        <v>35</v>
      </c>
      <c r="T515" t="str">
        <f>LEFT(Before_Tbl[[#This Row],[Department_Region]],FIND("-",Before_Tbl[[#This Row],[Department_Region]])-1)</f>
        <v>DevOps</v>
      </c>
      <c r="U515" t="str">
        <f>RIGHT(Before_Tbl[[#This Row],[Department_Region]],LEN(Before_Tbl[[#This Row],[Department_Region]])-FIND("-",Before_Tbl[[#This Row],[Department_Region]]))</f>
        <v>Texas</v>
      </c>
      <c r="V515" t="str">
        <f>TRIM(PROPER(Before_Tbl[[#This Row],[Status]]))</f>
        <v>Active</v>
      </c>
      <c r="W515" s="26">
        <v>44756</v>
      </c>
      <c r="X515" s="4">
        <v>69146.95</v>
      </c>
      <c r="Y515" t="str">
        <f>TRIM(LOWER(Before_Tbl[[#This Row],[Email]]))</f>
        <v>charlie.miller@example.com</v>
      </c>
      <c r="Z515" s="2" t="str">
        <f>SUBSTITUTE(Before_Tbl[[#This Row],[Phone]],"-","")</f>
        <v>5456676639</v>
      </c>
      <c r="AA515" t="str">
        <f>TRIM(PROPER(Before_Tbl[[#This Row],[Performance_Score]]))</f>
        <v>Excellent</v>
      </c>
      <c r="AB515" s="2" t="str">
        <f>TRIM(UPPER(Before_Tbl[[#This Row],[Remote_Work]]))</f>
        <v>FALSE</v>
      </c>
    </row>
    <row r="516" spans="1:28" x14ac:dyDescent="0.35">
      <c r="A516" t="s">
        <v>920</v>
      </c>
      <c r="B516" t="s">
        <v>54</v>
      </c>
      <c r="C516" t="s">
        <v>55</v>
      </c>
      <c r="E516" t="s">
        <v>205</v>
      </c>
      <c r="F516" t="s">
        <v>16</v>
      </c>
      <c r="G516" t="s">
        <v>921</v>
      </c>
      <c r="H516">
        <v>93013.58</v>
      </c>
      <c r="I516" t="s">
        <v>57</v>
      </c>
      <c r="J516">
        <v>-4735047638</v>
      </c>
      <c r="K516" t="s">
        <v>18</v>
      </c>
      <c r="L516" t="b">
        <v>1</v>
      </c>
      <c r="P516" t="str">
        <f>TRIM(Before_Tbl[[#This Row],[Employee_ID]])</f>
        <v>EMP1514</v>
      </c>
      <c r="Q516" t="str">
        <f>TRIM(PROPER(Before_Tbl[[#This Row],[First_Name]]))</f>
        <v>Charlie</v>
      </c>
      <c r="R516" t="str">
        <f>TRIM(PROPER(Before_Tbl[[#This Row],[Last_Name]]))</f>
        <v>Johnson</v>
      </c>
      <c r="S516" s="25">
        <f t="shared" si="8"/>
        <v>30</v>
      </c>
      <c r="T516" t="str">
        <f>LEFT(Before_Tbl[[#This Row],[Department_Region]],FIND("-",Before_Tbl[[#This Row],[Department_Region]])-1)</f>
        <v>Admin</v>
      </c>
      <c r="U516" t="str">
        <f>RIGHT(Before_Tbl[[#This Row],[Department_Region]],LEN(Before_Tbl[[#This Row],[Department_Region]])-FIND("-",Before_Tbl[[#This Row],[Department_Region]]))</f>
        <v>Florida</v>
      </c>
      <c r="V516" t="str">
        <f>TRIM(PROPER(Before_Tbl[[#This Row],[Status]]))</f>
        <v>Active</v>
      </c>
      <c r="W516" s="26">
        <v>44096</v>
      </c>
      <c r="X516" s="4">
        <v>93013.58</v>
      </c>
      <c r="Y516" t="str">
        <f>TRIM(LOWER(Before_Tbl[[#This Row],[Email]]))</f>
        <v>charlie.johnson@example.com</v>
      </c>
      <c r="Z516" s="2" t="str">
        <f>SUBSTITUTE(Before_Tbl[[#This Row],[Phone]],"-","")</f>
        <v>4735047638</v>
      </c>
      <c r="AA516" t="str">
        <f>TRIM(PROPER(Before_Tbl[[#This Row],[Performance_Score]]))</f>
        <v>Average</v>
      </c>
      <c r="AB516" s="2" t="str">
        <f>TRIM(UPPER(Before_Tbl[[#This Row],[Remote_Work]]))</f>
        <v>TRUE</v>
      </c>
    </row>
    <row r="517" spans="1:28" x14ac:dyDescent="0.35">
      <c r="A517" t="s">
        <v>922</v>
      </c>
      <c r="B517" t="s">
        <v>69</v>
      </c>
      <c r="C517" t="s">
        <v>38</v>
      </c>
      <c r="D517">
        <v>40</v>
      </c>
      <c r="E517" t="s">
        <v>112</v>
      </c>
      <c r="F517" t="s">
        <v>16</v>
      </c>
      <c r="G517" t="s">
        <v>829</v>
      </c>
      <c r="H517">
        <v>87364.78</v>
      </c>
      <c r="I517" t="s">
        <v>71</v>
      </c>
      <c r="J517">
        <v>-2831995297</v>
      </c>
      <c r="K517" t="s">
        <v>30</v>
      </c>
      <c r="L517" t="b">
        <v>0</v>
      </c>
      <c r="P517" t="str">
        <f>TRIM(Before_Tbl[[#This Row],[Employee_ID]])</f>
        <v>EMP1515</v>
      </c>
      <c r="Q517" t="str">
        <f>TRIM(PROPER(Before_Tbl[[#This Row],[First_Name]]))</f>
        <v>Grace</v>
      </c>
      <c r="R517" t="str">
        <f>TRIM(PROPER(Before_Tbl[[#This Row],[Last_Name]]))</f>
        <v>Williams</v>
      </c>
      <c r="S517" s="25">
        <f t="shared" si="8"/>
        <v>40</v>
      </c>
      <c r="T517" t="str">
        <f>LEFT(Before_Tbl[[#This Row],[Department_Region]],FIND("-",Before_Tbl[[#This Row],[Department_Region]])-1)</f>
        <v>Finance</v>
      </c>
      <c r="U517" t="str">
        <f>RIGHT(Before_Tbl[[#This Row],[Department_Region]],LEN(Before_Tbl[[#This Row],[Department_Region]])-FIND("-",Before_Tbl[[#This Row],[Department_Region]]))</f>
        <v>Florida</v>
      </c>
      <c r="V517" t="str">
        <f>TRIM(PROPER(Before_Tbl[[#This Row],[Status]]))</f>
        <v>Active</v>
      </c>
      <c r="W517" s="26">
        <v>43908</v>
      </c>
      <c r="X517" s="4">
        <v>87364.78</v>
      </c>
      <c r="Y517" t="str">
        <f>TRIM(LOWER(Before_Tbl[[#This Row],[Email]]))</f>
        <v>grace.williams@example.com</v>
      </c>
      <c r="Z517" s="2" t="str">
        <f>SUBSTITUTE(Before_Tbl[[#This Row],[Phone]],"-","")</f>
        <v>2831995297</v>
      </c>
      <c r="AA517" t="str">
        <f>TRIM(PROPER(Before_Tbl[[#This Row],[Performance_Score]]))</f>
        <v>Good</v>
      </c>
      <c r="AB517" s="2" t="str">
        <f>TRIM(UPPER(Before_Tbl[[#This Row],[Remote_Work]]))</f>
        <v>FALSE</v>
      </c>
    </row>
    <row r="518" spans="1:28" x14ac:dyDescent="0.35">
      <c r="A518" t="s">
        <v>923</v>
      </c>
      <c r="B518" t="s">
        <v>25</v>
      </c>
      <c r="C518" t="s">
        <v>43</v>
      </c>
      <c r="D518">
        <v>35</v>
      </c>
      <c r="E518" t="s">
        <v>109</v>
      </c>
      <c r="F518" t="s">
        <v>16</v>
      </c>
      <c r="G518" t="s">
        <v>455</v>
      </c>
      <c r="H518">
        <v>50288.67</v>
      </c>
      <c r="I518" t="s">
        <v>45</v>
      </c>
      <c r="J518">
        <v>-61558107</v>
      </c>
      <c r="K518" t="s">
        <v>23</v>
      </c>
      <c r="L518" t="b">
        <v>0</v>
      </c>
      <c r="P518" t="str">
        <f>TRIM(Before_Tbl[[#This Row],[Employee_ID]])</f>
        <v>EMP1516</v>
      </c>
      <c r="Q518" t="str">
        <f>TRIM(PROPER(Before_Tbl[[#This Row],[First_Name]]))</f>
        <v>Alice</v>
      </c>
      <c r="R518" t="str">
        <f>TRIM(PROPER(Before_Tbl[[#This Row],[Last_Name]]))</f>
        <v>Garcia</v>
      </c>
      <c r="S518" s="25">
        <f t="shared" si="8"/>
        <v>35</v>
      </c>
      <c r="T518" t="str">
        <f>LEFT(Before_Tbl[[#This Row],[Department_Region]],FIND("-",Before_Tbl[[#This Row],[Department_Region]])-1)</f>
        <v>Sales</v>
      </c>
      <c r="U518" t="str">
        <f>RIGHT(Before_Tbl[[#This Row],[Department_Region]],LEN(Before_Tbl[[#This Row],[Department_Region]])-FIND("-",Before_Tbl[[#This Row],[Department_Region]]))</f>
        <v>New York</v>
      </c>
      <c r="V518" t="str">
        <f>TRIM(PROPER(Before_Tbl[[#This Row],[Status]]))</f>
        <v>Active</v>
      </c>
      <c r="W518" s="26">
        <v>45216</v>
      </c>
      <c r="X518" s="4">
        <v>50288.67</v>
      </c>
      <c r="Y518" t="str">
        <f>TRIM(LOWER(Before_Tbl[[#This Row],[Email]]))</f>
        <v>alice.garcia@example.com</v>
      </c>
      <c r="Z518" s="2" t="str">
        <f>SUBSTITUTE(Before_Tbl[[#This Row],[Phone]],"-","")</f>
        <v>61558107</v>
      </c>
      <c r="AA518" t="str">
        <f>TRIM(PROPER(Before_Tbl[[#This Row],[Performance_Score]]))</f>
        <v>Excellent</v>
      </c>
      <c r="AB518" s="2" t="str">
        <f>TRIM(UPPER(Before_Tbl[[#This Row],[Remote_Work]]))</f>
        <v>FALSE</v>
      </c>
    </row>
    <row r="519" spans="1:28" x14ac:dyDescent="0.35">
      <c r="A519" t="s">
        <v>924</v>
      </c>
      <c r="B519" t="s">
        <v>59</v>
      </c>
      <c r="C519" t="s">
        <v>92</v>
      </c>
      <c r="D519">
        <v>35</v>
      </c>
      <c r="E519" t="s">
        <v>66</v>
      </c>
      <c r="F519" t="s">
        <v>16</v>
      </c>
      <c r="G519" t="s">
        <v>925</v>
      </c>
      <c r="H519">
        <v>85233.55</v>
      </c>
      <c r="I519" t="s">
        <v>107</v>
      </c>
      <c r="J519">
        <v>-3583286341</v>
      </c>
      <c r="K519" t="s">
        <v>30</v>
      </c>
      <c r="L519" t="b">
        <v>1</v>
      </c>
      <c r="P519" t="str">
        <f>TRIM(Before_Tbl[[#This Row],[Employee_ID]])</f>
        <v>EMP1517</v>
      </c>
      <c r="Q519" t="str">
        <f>TRIM(PROPER(Before_Tbl[[#This Row],[First_Name]]))</f>
        <v>David</v>
      </c>
      <c r="R519" t="str">
        <f>TRIM(PROPER(Before_Tbl[[#This Row],[Last_Name]]))</f>
        <v>Miller</v>
      </c>
      <c r="S519" s="25">
        <f t="shared" si="8"/>
        <v>35</v>
      </c>
      <c r="T519" t="str">
        <f>LEFT(Before_Tbl[[#This Row],[Department_Region]],FIND("-",Before_Tbl[[#This Row],[Department_Region]])-1)</f>
        <v>HR</v>
      </c>
      <c r="U519" t="str">
        <f>RIGHT(Before_Tbl[[#This Row],[Department_Region]],LEN(Before_Tbl[[#This Row],[Department_Region]])-FIND("-",Before_Tbl[[#This Row],[Department_Region]]))</f>
        <v>New York</v>
      </c>
      <c r="V519" t="str">
        <f>TRIM(PROPER(Before_Tbl[[#This Row],[Status]]))</f>
        <v>Active</v>
      </c>
      <c r="W519" s="26">
        <v>44616</v>
      </c>
      <c r="X519" s="4">
        <v>85233.55</v>
      </c>
      <c r="Y519" t="str">
        <f>TRIM(LOWER(Before_Tbl[[#This Row],[Email]]))</f>
        <v>david.miller@example.com</v>
      </c>
      <c r="Z519" s="2" t="str">
        <f>SUBSTITUTE(Before_Tbl[[#This Row],[Phone]],"-","")</f>
        <v>3583286341</v>
      </c>
      <c r="AA519" t="str">
        <f>TRIM(PROPER(Before_Tbl[[#This Row],[Performance_Score]]))</f>
        <v>Good</v>
      </c>
      <c r="AB519" s="2" t="str">
        <f>TRIM(UPPER(Before_Tbl[[#This Row],[Remote_Work]]))</f>
        <v>TRUE</v>
      </c>
    </row>
    <row r="520" spans="1:28" x14ac:dyDescent="0.35">
      <c r="A520" t="s">
        <v>926</v>
      </c>
      <c r="B520" t="s">
        <v>13</v>
      </c>
      <c r="C520" t="s">
        <v>43</v>
      </c>
      <c r="D520">
        <v>25</v>
      </c>
      <c r="E520" t="s">
        <v>146</v>
      </c>
      <c r="F520" t="s">
        <v>33</v>
      </c>
      <c r="G520" t="s">
        <v>927</v>
      </c>
      <c r="H520">
        <v>86420.19</v>
      </c>
      <c r="I520" t="s">
        <v>153</v>
      </c>
      <c r="J520">
        <v>-5563830007</v>
      </c>
      <c r="K520" t="s">
        <v>30</v>
      </c>
      <c r="L520" t="b">
        <v>0</v>
      </c>
      <c r="P520" t="str">
        <f>TRIM(Before_Tbl[[#This Row],[Employee_ID]])</f>
        <v>EMP1518</v>
      </c>
      <c r="Q520" t="str">
        <f>TRIM(PROPER(Before_Tbl[[#This Row],[First_Name]]))</f>
        <v>Bob</v>
      </c>
      <c r="R520" t="str">
        <f>TRIM(PROPER(Before_Tbl[[#This Row],[Last_Name]]))</f>
        <v>Garcia</v>
      </c>
      <c r="S520" s="25">
        <f t="shared" si="8"/>
        <v>25</v>
      </c>
      <c r="T520" t="str">
        <f>LEFT(Before_Tbl[[#This Row],[Department_Region]],FIND("-",Before_Tbl[[#This Row],[Department_Region]])-1)</f>
        <v>HR</v>
      </c>
      <c r="U520" t="str">
        <f>RIGHT(Before_Tbl[[#This Row],[Department_Region]],LEN(Before_Tbl[[#This Row],[Department_Region]])-FIND("-",Before_Tbl[[#This Row],[Department_Region]]))</f>
        <v>California</v>
      </c>
      <c r="V520" t="str">
        <f>TRIM(PROPER(Before_Tbl[[#This Row],[Status]]))</f>
        <v>Inactive</v>
      </c>
      <c r="W520" s="26">
        <v>45321</v>
      </c>
      <c r="X520" s="4">
        <v>86420.19</v>
      </c>
      <c r="Y520" t="str">
        <f>TRIM(LOWER(Before_Tbl[[#This Row],[Email]]))</f>
        <v>bob.garcia@example.com</v>
      </c>
      <c r="Z520" s="2" t="str">
        <f>SUBSTITUTE(Before_Tbl[[#This Row],[Phone]],"-","")</f>
        <v>5563830007</v>
      </c>
      <c r="AA520" t="str">
        <f>TRIM(PROPER(Before_Tbl[[#This Row],[Performance_Score]]))</f>
        <v>Good</v>
      </c>
      <c r="AB520" s="2" t="str">
        <f>TRIM(UPPER(Before_Tbl[[#This Row],[Remote_Work]]))</f>
        <v>FALSE</v>
      </c>
    </row>
    <row r="521" spans="1:28" x14ac:dyDescent="0.35">
      <c r="A521" t="s">
        <v>928</v>
      </c>
      <c r="B521" t="s">
        <v>69</v>
      </c>
      <c r="C521" t="s">
        <v>55</v>
      </c>
      <c r="D521">
        <v>30</v>
      </c>
      <c r="E521" t="s">
        <v>212</v>
      </c>
      <c r="F521" t="s">
        <v>33</v>
      </c>
      <c r="G521" t="s">
        <v>929</v>
      </c>
      <c r="H521">
        <v>63189.82</v>
      </c>
      <c r="I521" t="s">
        <v>127</v>
      </c>
      <c r="J521">
        <v>-1867024402</v>
      </c>
      <c r="K521" t="s">
        <v>23</v>
      </c>
      <c r="L521" t="b">
        <v>0</v>
      </c>
      <c r="P521" t="str">
        <f>TRIM(Before_Tbl[[#This Row],[Employee_ID]])</f>
        <v>EMP1519</v>
      </c>
      <c r="Q521" t="str">
        <f>TRIM(PROPER(Before_Tbl[[#This Row],[First_Name]]))</f>
        <v>Grace</v>
      </c>
      <c r="R521" t="str">
        <f>TRIM(PROPER(Before_Tbl[[#This Row],[Last_Name]]))</f>
        <v>Johnson</v>
      </c>
      <c r="S521" s="25">
        <f t="shared" si="8"/>
        <v>30</v>
      </c>
      <c r="T521" t="str">
        <f>LEFT(Before_Tbl[[#This Row],[Department_Region]],FIND("-",Before_Tbl[[#This Row],[Department_Region]])-1)</f>
        <v>HR</v>
      </c>
      <c r="U521" t="str">
        <f>RIGHT(Before_Tbl[[#This Row],[Department_Region]],LEN(Before_Tbl[[#This Row],[Department_Region]])-FIND("-",Before_Tbl[[#This Row],[Department_Region]]))</f>
        <v>Florida</v>
      </c>
      <c r="V521" t="str">
        <f>TRIM(PROPER(Before_Tbl[[#This Row],[Status]]))</f>
        <v>Inactive</v>
      </c>
      <c r="W521" s="26">
        <v>45367</v>
      </c>
      <c r="X521" s="4">
        <v>63189.82</v>
      </c>
      <c r="Y521" t="str">
        <f>TRIM(LOWER(Before_Tbl[[#This Row],[Email]]))</f>
        <v>grace.johnson@example.com</v>
      </c>
      <c r="Z521" s="2" t="str">
        <f>SUBSTITUTE(Before_Tbl[[#This Row],[Phone]],"-","")</f>
        <v>1867024402</v>
      </c>
      <c r="AA521" t="str">
        <f>TRIM(PROPER(Before_Tbl[[#This Row],[Performance_Score]]))</f>
        <v>Excellent</v>
      </c>
      <c r="AB521" s="2" t="str">
        <f>TRIM(UPPER(Before_Tbl[[#This Row],[Remote_Work]]))</f>
        <v>FALSE</v>
      </c>
    </row>
    <row r="522" spans="1:28" x14ac:dyDescent="0.35">
      <c r="A522" t="s">
        <v>930</v>
      </c>
      <c r="B522" t="s">
        <v>69</v>
      </c>
      <c r="C522" t="s">
        <v>43</v>
      </c>
      <c r="D522">
        <v>25</v>
      </c>
      <c r="E522" t="s">
        <v>196</v>
      </c>
      <c r="F522" t="s">
        <v>28</v>
      </c>
      <c r="G522" t="s">
        <v>931</v>
      </c>
      <c r="H522">
        <v>64783.32</v>
      </c>
      <c r="I522" t="s">
        <v>83</v>
      </c>
      <c r="J522">
        <v>-3041662410</v>
      </c>
      <c r="K522" t="s">
        <v>18</v>
      </c>
      <c r="L522" t="b">
        <v>0</v>
      </c>
      <c r="P522" t="str">
        <f>TRIM(Before_Tbl[[#This Row],[Employee_ID]])</f>
        <v>EMP1520</v>
      </c>
      <c r="Q522" t="str">
        <f>TRIM(PROPER(Before_Tbl[[#This Row],[First_Name]]))</f>
        <v>Grace</v>
      </c>
      <c r="R522" t="str">
        <f>TRIM(PROPER(Before_Tbl[[#This Row],[Last_Name]]))</f>
        <v>Garcia</v>
      </c>
      <c r="S522" s="25">
        <f t="shared" si="8"/>
        <v>25</v>
      </c>
      <c r="T522" t="str">
        <f>LEFT(Before_Tbl[[#This Row],[Department_Region]],FIND("-",Before_Tbl[[#This Row],[Department_Region]])-1)</f>
        <v>Admin</v>
      </c>
      <c r="U522" t="str">
        <f>RIGHT(Before_Tbl[[#This Row],[Department_Region]],LEN(Before_Tbl[[#This Row],[Department_Region]])-FIND("-",Before_Tbl[[#This Row],[Department_Region]]))</f>
        <v>New York</v>
      </c>
      <c r="V522" t="str">
        <f>TRIM(PROPER(Before_Tbl[[#This Row],[Status]]))</f>
        <v>Pending</v>
      </c>
      <c r="W522" s="26">
        <v>44099</v>
      </c>
      <c r="X522" s="4">
        <v>64783.32</v>
      </c>
      <c r="Y522" t="str">
        <f>TRIM(LOWER(Before_Tbl[[#This Row],[Email]]))</f>
        <v>grace.garcia@example.com</v>
      </c>
      <c r="Z522" s="2" t="str">
        <f>SUBSTITUTE(Before_Tbl[[#This Row],[Phone]],"-","")</f>
        <v>3041662410</v>
      </c>
      <c r="AA522" t="str">
        <f>TRIM(PROPER(Before_Tbl[[#This Row],[Performance_Score]]))</f>
        <v>Average</v>
      </c>
      <c r="AB522" s="2" t="str">
        <f>TRIM(UPPER(Before_Tbl[[#This Row],[Remote_Work]]))</f>
        <v>FALSE</v>
      </c>
    </row>
    <row r="523" spans="1:28" x14ac:dyDescent="0.35">
      <c r="A523" t="s">
        <v>932</v>
      </c>
      <c r="B523" t="s">
        <v>54</v>
      </c>
      <c r="C523" t="s">
        <v>14</v>
      </c>
      <c r="D523">
        <v>25</v>
      </c>
      <c r="E523" t="s">
        <v>149</v>
      </c>
      <c r="F523" t="s">
        <v>28</v>
      </c>
      <c r="G523" s="1">
        <v>45571</v>
      </c>
      <c r="H523">
        <v>52615.44</v>
      </c>
      <c r="I523" t="s">
        <v>170</v>
      </c>
      <c r="J523">
        <v>-1860089218</v>
      </c>
      <c r="K523" t="s">
        <v>18</v>
      </c>
      <c r="L523" t="b">
        <v>0</v>
      </c>
      <c r="P523" t="str">
        <f>TRIM(Before_Tbl[[#This Row],[Employee_ID]])</f>
        <v>EMP1521</v>
      </c>
      <c r="Q523" t="str">
        <f>TRIM(PROPER(Before_Tbl[[#This Row],[First_Name]]))</f>
        <v>Charlie</v>
      </c>
      <c r="R523" t="str">
        <f>TRIM(PROPER(Before_Tbl[[#This Row],[Last_Name]]))</f>
        <v>Davis</v>
      </c>
      <c r="S523" s="25">
        <f t="shared" si="8"/>
        <v>25</v>
      </c>
      <c r="T523" t="str">
        <f>LEFT(Before_Tbl[[#This Row],[Department_Region]],FIND("-",Before_Tbl[[#This Row],[Department_Region]])-1)</f>
        <v>HR</v>
      </c>
      <c r="U523" t="str">
        <f>RIGHT(Before_Tbl[[#This Row],[Department_Region]],LEN(Before_Tbl[[#This Row],[Department_Region]])-FIND("-",Before_Tbl[[#This Row],[Department_Region]]))</f>
        <v>Nevada</v>
      </c>
      <c r="V523" t="str">
        <f>TRIM(PROPER(Before_Tbl[[#This Row],[Status]]))</f>
        <v>Pending</v>
      </c>
      <c r="W523" s="26">
        <v>45571</v>
      </c>
      <c r="X523" s="4">
        <v>52615.44</v>
      </c>
      <c r="Y523" t="str">
        <f>TRIM(LOWER(Before_Tbl[[#This Row],[Email]]))</f>
        <v>charlie.davis@example.com</v>
      </c>
      <c r="Z523" s="2" t="str">
        <f>SUBSTITUTE(Before_Tbl[[#This Row],[Phone]],"-","")</f>
        <v>1860089218</v>
      </c>
      <c r="AA523" t="str">
        <f>TRIM(PROPER(Before_Tbl[[#This Row],[Performance_Score]]))</f>
        <v>Average</v>
      </c>
      <c r="AB523" s="2" t="str">
        <f>TRIM(UPPER(Before_Tbl[[#This Row],[Remote_Work]]))</f>
        <v>FALSE</v>
      </c>
    </row>
    <row r="524" spans="1:28" x14ac:dyDescent="0.35">
      <c r="A524" t="s">
        <v>933</v>
      </c>
      <c r="B524" t="s">
        <v>32</v>
      </c>
      <c r="C524" t="s">
        <v>92</v>
      </c>
      <c r="E524" t="s">
        <v>44</v>
      </c>
      <c r="F524" t="s">
        <v>28</v>
      </c>
      <c r="G524" s="1">
        <v>44047</v>
      </c>
      <c r="H524">
        <v>96337.89</v>
      </c>
      <c r="I524" t="s">
        <v>263</v>
      </c>
      <c r="J524">
        <v>-6394568043</v>
      </c>
      <c r="K524" t="s">
        <v>41</v>
      </c>
      <c r="L524" t="b">
        <v>0</v>
      </c>
      <c r="P524" t="str">
        <f>TRIM(Before_Tbl[[#This Row],[Employee_ID]])</f>
        <v>EMP1522</v>
      </c>
      <c r="Q524" t="str">
        <f>TRIM(PROPER(Before_Tbl[[#This Row],[First_Name]]))</f>
        <v>Eva</v>
      </c>
      <c r="R524" t="str">
        <f>TRIM(PROPER(Before_Tbl[[#This Row],[Last_Name]]))</f>
        <v>Miller</v>
      </c>
      <c r="S524" s="25">
        <f t="shared" si="8"/>
        <v>30</v>
      </c>
      <c r="T524" t="str">
        <f>LEFT(Before_Tbl[[#This Row],[Department_Region]],FIND("-",Before_Tbl[[#This Row],[Department_Region]])-1)</f>
        <v>Sales</v>
      </c>
      <c r="U524" t="str">
        <f>RIGHT(Before_Tbl[[#This Row],[Department_Region]],LEN(Before_Tbl[[#This Row],[Department_Region]])-FIND("-",Before_Tbl[[#This Row],[Department_Region]]))</f>
        <v>Texas</v>
      </c>
      <c r="V524" t="str">
        <f>TRIM(PROPER(Before_Tbl[[#This Row],[Status]]))</f>
        <v>Pending</v>
      </c>
      <c r="W524" s="26">
        <v>44047</v>
      </c>
      <c r="X524" s="4">
        <v>96337.89</v>
      </c>
      <c r="Y524" t="str">
        <f>TRIM(LOWER(Before_Tbl[[#This Row],[Email]]))</f>
        <v>eva.miller@example.com</v>
      </c>
      <c r="Z524" s="2" t="str">
        <f>SUBSTITUTE(Before_Tbl[[#This Row],[Phone]],"-","")</f>
        <v>6394568043</v>
      </c>
      <c r="AA524" t="str">
        <f>TRIM(PROPER(Before_Tbl[[#This Row],[Performance_Score]]))</f>
        <v>Poor</v>
      </c>
      <c r="AB524" s="2" t="str">
        <f>TRIM(UPPER(Before_Tbl[[#This Row],[Remote_Work]]))</f>
        <v>FALSE</v>
      </c>
    </row>
    <row r="525" spans="1:28" x14ac:dyDescent="0.35">
      <c r="A525" t="s">
        <v>934</v>
      </c>
      <c r="B525" t="s">
        <v>25</v>
      </c>
      <c r="C525" t="s">
        <v>14</v>
      </c>
      <c r="D525">
        <v>25</v>
      </c>
      <c r="E525" t="s">
        <v>237</v>
      </c>
      <c r="F525" t="s">
        <v>33</v>
      </c>
      <c r="G525" t="s">
        <v>935</v>
      </c>
      <c r="H525">
        <v>76617.759999999995</v>
      </c>
      <c r="I525" t="s">
        <v>163</v>
      </c>
      <c r="J525">
        <v>-7314976460</v>
      </c>
      <c r="K525" t="s">
        <v>23</v>
      </c>
      <c r="L525" t="b">
        <v>1</v>
      </c>
      <c r="P525" t="str">
        <f>TRIM(Before_Tbl[[#This Row],[Employee_ID]])</f>
        <v>EMP1523</v>
      </c>
      <c r="Q525" t="str">
        <f>TRIM(PROPER(Before_Tbl[[#This Row],[First_Name]]))</f>
        <v>Alice</v>
      </c>
      <c r="R525" t="str">
        <f>TRIM(PROPER(Before_Tbl[[#This Row],[Last_Name]]))</f>
        <v>Davis</v>
      </c>
      <c r="S525" s="25">
        <f t="shared" si="8"/>
        <v>25</v>
      </c>
      <c r="T525" t="str">
        <f>LEFT(Before_Tbl[[#This Row],[Department_Region]],FIND("-",Before_Tbl[[#This Row],[Department_Region]])-1)</f>
        <v>DevOps</v>
      </c>
      <c r="U525" t="str">
        <f>RIGHT(Before_Tbl[[#This Row],[Department_Region]],LEN(Before_Tbl[[#This Row],[Department_Region]])-FIND("-",Before_Tbl[[#This Row],[Department_Region]]))</f>
        <v>Texas</v>
      </c>
      <c r="V525" t="str">
        <f>TRIM(PROPER(Before_Tbl[[#This Row],[Status]]))</f>
        <v>Inactive</v>
      </c>
      <c r="W525" s="26">
        <v>44740</v>
      </c>
      <c r="X525" s="4">
        <v>76617.759999999995</v>
      </c>
      <c r="Y525" t="str">
        <f>TRIM(LOWER(Before_Tbl[[#This Row],[Email]]))</f>
        <v>alice.davis@example.com</v>
      </c>
      <c r="Z525" s="2" t="str">
        <f>SUBSTITUTE(Before_Tbl[[#This Row],[Phone]],"-","")</f>
        <v>7314976460</v>
      </c>
      <c r="AA525" t="str">
        <f>TRIM(PROPER(Before_Tbl[[#This Row],[Performance_Score]]))</f>
        <v>Excellent</v>
      </c>
      <c r="AB525" s="2" t="str">
        <f>TRIM(UPPER(Before_Tbl[[#This Row],[Remote_Work]]))</f>
        <v>TRUE</v>
      </c>
    </row>
    <row r="526" spans="1:28" x14ac:dyDescent="0.35">
      <c r="A526" t="s">
        <v>936</v>
      </c>
      <c r="B526" t="s">
        <v>65</v>
      </c>
      <c r="C526" t="s">
        <v>55</v>
      </c>
      <c r="D526">
        <v>30</v>
      </c>
      <c r="E526" t="s">
        <v>27</v>
      </c>
      <c r="F526" t="s">
        <v>28</v>
      </c>
      <c r="G526" t="s">
        <v>937</v>
      </c>
      <c r="H526">
        <v>50651.32</v>
      </c>
      <c r="I526" t="s">
        <v>113</v>
      </c>
      <c r="J526">
        <v>-3684748835</v>
      </c>
      <c r="K526" t="s">
        <v>41</v>
      </c>
      <c r="L526" t="b">
        <v>0</v>
      </c>
      <c r="P526" t="str">
        <f>TRIM(Before_Tbl[[#This Row],[Employee_ID]])</f>
        <v>EMP1524</v>
      </c>
      <c r="Q526" t="str">
        <f>TRIM(PROPER(Before_Tbl[[#This Row],[First_Name]]))</f>
        <v>Heidi</v>
      </c>
      <c r="R526" t="str">
        <f>TRIM(PROPER(Before_Tbl[[#This Row],[Last_Name]]))</f>
        <v>Johnson</v>
      </c>
      <c r="S526" s="25">
        <f t="shared" si="8"/>
        <v>30</v>
      </c>
      <c r="T526" t="str">
        <f>LEFT(Before_Tbl[[#This Row],[Department_Region]],FIND("-",Before_Tbl[[#This Row],[Department_Region]])-1)</f>
        <v>Admin</v>
      </c>
      <c r="U526" t="str">
        <f>RIGHT(Before_Tbl[[#This Row],[Department_Region]],LEN(Before_Tbl[[#This Row],[Department_Region]])-FIND("-",Before_Tbl[[#This Row],[Department_Region]]))</f>
        <v>Nevada</v>
      </c>
      <c r="V526" t="str">
        <f>TRIM(PROPER(Before_Tbl[[#This Row],[Status]]))</f>
        <v>Pending</v>
      </c>
      <c r="W526" s="26">
        <v>45121</v>
      </c>
      <c r="X526" s="4">
        <v>50651.32</v>
      </c>
      <c r="Y526" t="str">
        <f>TRIM(LOWER(Before_Tbl[[#This Row],[Email]]))</f>
        <v>heidi.johnson@example.com</v>
      </c>
      <c r="Z526" s="2" t="str">
        <f>SUBSTITUTE(Before_Tbl[[#This Row],[Phone]],"-","")</f>
        <v>3684748835</v>
      </c>
      <c r="AA526" t="str">
        <f>TRIM(PROPER(Before_Tbl[[#This Row],[Performance_Score]]))</f>
        <v>Poor</v>
      </c>
      <c r="AB526" s="2" t="str">
        <f>TRIM(UPPER(Before_Tbl[[#This Row],[Remote_Work]]))</f>
        <v>FALSE</v>
      </c>
    </row>
    <row r="527" spans="1:28" x14ac:dyDescent="0.35">
      <c r="A527" t="s">
        <v>938</v>
      </c>
      <c r="B527" t="s">
        <v>13</v>
      </c>
      <c r="C527" t="s">
        <v>14</v>
      </c>
      <c r="E527" t="s">
        <v>192</v>
      </c>
      <c r="F527" t="s">
        <v>28</v>
      </c>
      <c r="G527" s="1">
        <v>45089</v>
      </c>
      <c r="H527">
        <v>59601.45</v>
      </c>
      <c r="I527" t="s">
        <v>17</v>
      </c>
      <c r="J527">
        <v>-765817389</v>
      </c>
      <c r="K527" t="s">
        <v>41</v>
      </c>
      <c r="L527" t="b">
        <v>0</v>
      </c>
      <c r="P527" t="str">
        <f>TRIM(Before_Tbl[[#This Row],[Employee_ID]])</f>
        <v>EMP1525</v>
      </c>
      <c r="Q527" t="str">
        <f>TRIM(PROPER(Before_Tbl[[#This Row],[First_Name]]))</f>
        <v>Bob</v>
      </c>
      <c r="R527" t="str">
        <f>TRIM(PROPER(Before_Tbl[[#This Row],[Last_Name]]))</f>
        <v>Davis</v>
      </c>
      <c r="S527" s="25">
        <f t="shared" si="8"/>
        <v>30</v>
      </c>
      <c r="T527" t="str">
        <f>LEFT(Before_Tbl[[#This Row],[Department_Region]],FIND("-",Before_Tbl[[#This Row],[Department_Region]])-1)</f>
        <v>HR</v>
      </c>
      <c r="U527" t="str">
        <f>RIGHT(Before_Tbl[[#This Row],[Department_Region]],LEN(Before_Tbl[[#This Row],[Department_Region]])-FIND("-",Before_Tbl[[#This Row],[Department_Region]]))</f>
        <v>Illinois</v>
      </c>
      <c r="V527" t="str">
        <f>TRIM(PROPER(Before_Tbl[[#This Row],[Status]]))</f>
        <v>Pending</v>
      </c>
      <c r="W527" s="26">
        <v>45089</v>
      </c>
      <c r="X527" s="4">
        <v>59601.45</v>
      </c>
      <c r="Y527" t="str">
        <f>TRIM(LOWER(Before_Tbl[[#This Row],[Email]]))</f>
        <v>bob.davis@example.com</v>
      </c>
      <c r="Z527" s="2" t="str">
        <f>SUBSTITUTE(Before_Tbl[[#This Row],[Phone]],"-","")</f>
        <v>765817389</v>
      </c>
      <c r="AA527" t="str">
        <f>TRIM(PROPER(Before_Tbl[[#This Row],[Performance_Score]]))</f>
        <v>Poor</v>
      </c>
      <c r="AB527" s="2" t="str">
        <f>TRIM(UPPER(Before_Tbl[[#This Row],[Remote_Work]]))</f>
        <v>FALSE</v>
      </c>
    </row>
    <row r="528" spans="1:28" x14ac:dyDescent="0.35">
      <c r="A528" t="s">
        <v>939</v>
      </c>
      <c r="B528" t="s">
        <v>13</v>
      </c>
      <c r="C528" t="s">
        <v>38</v>
      </c>
      <c r="E528" t="s">
        <v>78</v>
      </c>
      <c r="F528" t="s">
        <v>16</v>
      </c>
      <c r="G528" s="1">
        <v>44204</v>
      </c>
      <c r="H528">
        <v>57980.88</v>
      </c>
      <c r="I528" t="s">
        <v>144</v>
      </c>
      <c r="J528">
        <v>-6375791451</v>
      </c>
      <c r="K528" t="s">
        <v>41</v>
      </c>
      <c r="L528" t="b">
        <v>0</v>
      </c>
      <c r="P528" t="str">
        <f>TRIM(Before_Tbl[[#This Row],[Employee_ID]])</f>
        <v>EMP1526</v>
      </c>
      <c r="Q528" t="str">
        <f>TRIM(PROPER(Before_Tbl[[#This Row],[First_Name]]))</f>
        <v>Bob</v>
      </c>
      <c r="R528" t="str">
        <f>TRIM(PROPER(Before_Tbl[[#This Row],[Last_Name]]))</f>
        <v>Williams</v>
      </c>
      <c r="S528" s="25">
        <f t="shared" si="8"/>
        <v>30</v>
      </c>
      <c r="T528" t="str">
        <f>LEFT(Before_Tbl[[#This Row],[Department_Region]],FIND("-",Before_Tbl[[#This Row],[Department_Region]])-1)</f>
        <v>DevOps</v>
      </c>
      <c r="U528" t="str">
        <f>RIGHT(Before_Tbl[[#This Row],[Department_Region]],LEN(Before_Tbl[[#This Row],[Department_Region]])-FIND("-",Before_Tbl[[#This Row],[Department_Region]]))</f>
        <v>Illinois</v>
      </c>
      <c r="V528" t="str">
        <f>TRIM(PROPER(Before_Tbl[[#This Row],[Status]]))</f>
        <v>Active</v>
      </c>
      <c r="W528" s="26">
        <v>44204</v>
      </c>
      <c r="X528" s="4">
        <v>57980.88</v>
      </c>
      <c r="Y528" t="str">
        <f>TRIM(LOWER(Before_Tbl[[#This Row],[Email]]))</f>
        <v>bob.williams@example.com</v>
      </c>
      <c r="Z528" s="2" t="str">
        <f>SUBSTITUTE(Before_Tbl[[#This Row],[Phone]],"-","")</f>
        <v>6375791451</v>
      </c>
      <c r="AA528" t="str">
        <f>TRIM(PROPER(Before_Tbl[[#This Row],[Performance_Score]]))</f>
        <v>Poor</v>
      </c>
      <c r="AB528" s="2" t="str">
        <f>TRIM(UPPER(Before_Tbl[[#This Row],[Remote_Work]]))</f>
        <v>FALSE</v>
      </c>
    </row>
    <row r="529" spans="1:28" x14ac:dyDescent="0.35">
      <c r="A529" t="s">
        <v>940</v>
      </c>
      <c r="B529" t="s">
        <v>59</v>
      </c>
      <c r="C529" t="s">
        <v>55</v>
      </c>
      <c r="E529" t="s">
        <v>118</v>
      </c>
      <c r="F529" t="s">
        <v>28</v>
      </c>
      <c r="G529" t="s">
        <v>941</v>
      </c>
      <c r="H529">
        <v>75054.53</v>
      </c>
      <c r="I529" t="s">
        <v>217</v>
      </c>
      <c r="J529">
        <v>-1182379311</v>
      </c>
      <c r="K529" t="s">
        <v>18</v>
      </c>
      <c r="L529" t="b">
        <v>0</v>
      </c>
      <c r="P529" t="str">
        <f>TRIM(Before_Tbl[[#This Row],[Employee_ID]])</f>
        <v>EMP1527</v>
      </c>
      <c r="Q529" t="str">
        <f>TRIM(PROPER(Before_Tbl[[#This Row],[First_Name]]))</f>
        <v>David</v>
      </c>
      <c r="R529" t="str">
        <f>TRIM(PROPER(Before_Tbl[[#This Row],[Last_Name]]))</f>
        <v>Johnson</v>
      </c>
      <c r="S529" s="25">
        <f t="shared" si="8"/>
        <v>30</v>
      </c>
      <c r="T529" t="str">
        <f>LEFT(Before_Tbl[[#This Row],[Department_Region]],FIND("-",Before_Tbl[[#This Row],[Department_Region]])-1)</f>
        <v>Admin</v>
      </c>
      <c r="U529" t="str">
        <f>RIGHT(Before_Tbl[[#This Row],[Department_Region]],LEN(Before_Tbl[[#This Row],[Department_Region]])-FIND("-",Before_Tbl[[#This Row],[Department_Region]]))</f>
        <v>California</v>
      </c>
      <c r="V529" t="str">
        <f>TRIM(PROPER(Before_Tbl[[#This Row],[Status]]))</f>
        <v>Pending</v>
      </c>
      <c r="W529" s="26">
        <v>44244</v>
      </c>
      <c r="X529" s="4">
        <v>75054.53</v>
      </c>
      <c r="Y529" t="str">
        <f>TRIM(LOWER(Before_Tbl[[#This Row],[Email]]))</f>
        <v>david.johnson@example.com</v>
      </c>
      <c r="Z529" s="2" t="str">
        <f>SUBSTITUTE(Before_Tbl[[#This Row],[Phone]],"-","")</f>
        <v>1182379311</v>
      </c>
      <c r="AA529" t="str">
        <f>TRIM(PROPER(Before_Tbl[[#This Row],[Performance_Score]]))</f>
        <v>Average</v>
      </c>
      <c r="AB529" s="2" t="str">
        <f>TRIM(UPPER(Before_Tbl[[#This Row],[Remote_Work]]))</f>
        <v>FALSE</v>
      </c>
    </row>
    <row r="530" spans="1:28" x14ac:dyDescent="0.35">
      <c r="A530" t="s">
        <v>942</v>
      </c>
      <c r="B530" t="s">
        <v>54</v>
      </c>
      <c r="C530" t="s">
        <v>55</v>
      </c>
      <c r="D530">
        <v>25</v>
      </c>
      <c r="E530" t="s">
        <v>74</v>
      </c>
      <c r="F530" t="s">
        <v>16</v>
      </c>
      <c r="G530" s="1">
        <v>45210</v>
      </c>
      <c r="H530">
        <v>115318.7</v>
      </c>
      <c r="I530" t="s">
        <v>57</v>
      </c>
      <c r="J530">
        <v>-6978930745</v>
      </c>
      <c r="K530" t="s">
        <v>23</v>
      </c>
      <c r="L530" t="b">
        <v>0</v>
      </c>
      <c r="P530" t="str">
        <f>TRIM(Before_Tbl[[#This Row],[Employee_ID]])</f>
        <v>EMP1528</v>
      </c>
      <c r="Q530" t="str">
        <f>TRIM(PROPER(Before_Tbl[[#This Row],[First_Name]]))</f>
        <v>Charlie</v>
      </c>
      <c r="R530" t="str">
        <f>TRIM(PROPER(Before_Tbl[[#This Row],[Last_Name]]))</f>
        <v>Johnson</v>
      </c>
      <c r="S530" s="25">
        <f t="shared" si="8"/>
        <v>25</v>
      </c>
      <c r="T530" t="str">
        <f>LEFT(Before_Tbl[[#This Row],[Department_Region]],FIND("-",Before_Tbl[[#This Row],[Department_Region]])-1)</f>
        <v>Sales</v>
      </c>
      <c r="U530" t="str">
        <f>RIGHT(Before_Tbl[[#This Row],[Department_Region]],LEN(Before_Tbl[[#This Row],[Department_Region]])-FIND("-",Before_Tbl[[#This Row],[Department_Region]]))</f>
        <v>Florida</v>
      </c>
      <c r="V530" t="str">
        <f>TRIM(PROPER(Before_Tbl[[#This Row],[Status]]))</f>
        <v>Active</v>
      </c>
      <c r="W530" s="26">
        <v>45210</v>
      </c>
      <c r="X530" s="4">
        <v>115318.7</v>
      </c>
      <c r="Y530" t="str">
        <f>TRIM(LOWER(Before_Tbl[[#This Row],[Email]]))</f>
        <v>charlie.johnson@example.com</v>
      </c>
      <c r="Z530" s="2" t="str">
        <f>SUBSTITUTE(Before_Tbl[[#This Row],[Phone]],"-","")</f>
        <v>6978930745</v>
      </c>
      <c r="AA530" t="str">
        <f>TRIM(PROPER(Before_Tbl[[#This Row],[Performance_Score]]))</f>
        <v>Excellent</v>
      </c>
      <c r="AB530" s="2" t="str">
        <f>TRIM(UPPER(Before_Tbl[[#This Row],[Remote_Work]]))</f>
        <v>FALSE</v>
      </c>
    </row>
    <row r="531" spans="1:28" x14ac:dyDescent="0.35">
      <c r="A531" t="s">
        <v>943</v>
      </c>
      <c r="B531" t="s">
        <v>25</v>
      </c>
      <c r="C531" t="s">
        <v>55</v>
      </c>
      <c r="D531">
        <v>25</v>
      </c>
      <c r="E531" t="s">
        <v>237</v>
      </c>
      <c r="F531" t="s">
        <v>16</v>
      </c>
      <c r="G531" s="1">
        <v>45452</v>
      </c>
      <c r="H531">
        <v>90190.69</v>
      </c>
      <c r="I531" t="s">
        <v>150</v>
      </c>
      <c r="J531">
        <v>-4520599603</v>
      </c>
      <c r="K531" t="s">
        <v>41</v>
      </c>
      <c r="L531" t="b">
        <v>1</v>
      </c>
      <c r="P531" t="str">
        <f>TRIM(Before_Tbl[[#This Row],[Employee_ID]])</f>
        <v>EMP1529</v>
      </c>
      <c r="Q531" t="str">
        <f>TRIM(PROPER(Before_Tbl[[#This Row],[First_Name]]))</f>
        <v>Alice</v>
      </c>
      <c r="R531" t="str">
        <f>TRIM(PROPER(Before_Tbl[[#This Row],[Last_Name]]))</f>
        <v>Johnson</v>
      </c>
      <c r="S531" s="25">
        <f t="shared" si="8"/>
        <v>25</v>
      </c>
      <c r="T531" t="str">
        <f>LEFT(Before_Tbl[[#This Row],[Department_Region]],FIND("-",Before_Tbl[[#This Row],[Department_Region]])-1)</f>
        <v>DevOps</v>
      </c>
      <c r="U531" t="str">
        <f>RIGHT(Before_Tbl[[#This Row],[Department_Region]],LEN(Before_Tbl[[#This Row],[Department_Region]])-FIND("-",Before_Tbl[[#This Row],[Department_Region]]))</f>
        <v>Texas</v>
      </c>
      <c r="V531" t="str">
        <f>TRIM(PROPER(Before_Tbl[[#This Row],[Status]]))</f>
        <v>Active</v>
      </c>
      <c r="W531" s="26">
        <v>45452</v>
      </c>
      <c r="X531" s="4">
        <v>90190.69</v>
      </c>
      <c r="Y531" t="str">
        <f>TRIM(LOWER(Before_Tbl[[#This Row],[Email]]))</f>
        <v>alice.johnson@example.com</v>
      </c>
      <c r="Z531" s="2" t="str">
        <f>SUBSTITUTE(Before_Tbl[[#This Row],[Phone]],"-","")</f>
        <v>4520599603</v>
      </c>
      <c r="AA531" t="str">
        <f>TRIM(PROPER(Before_Tbl[[#This Row],[Performance_Score]]))</f>
        <v>Poor</v>
      </c>
      <c r="AB531" s="2" t="str">
        <f>TRIM(UPPER(Before_Tbl[[#This Row],[Remote_Work]]))</f>
        <v>TRUE</v>
      </c>
    </row>
    <row r="532" spans="1:28" x14ac:dyDescent="0.35">
      <c r="A532" t="s">
        <v>944</v>
      </c>
      <c r="B532" t="s">
        <v>13</v>
      </c>
      <c r="C532" t="s">
        <v>122</v>
      </c>
      <c r="E532" t="s">
        <v>85</v>
      </c>
      <c r="F532" t="s">
        <v>28</v>
      </c>
      <c r="G532" t="s">
        <v>855</v>
      </c>
      <c r="H532">
        <v>113334.56</v>
      </c>
      <c r="I532" t="s">
        <v>123</v>
      </c>
      <c r="J532">
        <v>-3878753576</v>
      </c>
      <c r="K532" t="s">
        <v>23</v>
      </c>
      <c r="L532" t="b">
        <v>0</v>
      </c>
      <c r="P532" t="str">
        <f>TRIM(Before_Tbl[[#This Row],[Employee_ID]])</f>
        <v>EMP1530</v>
      </c>
      <c r="Q532" t="str">
        <f>TRIM(PROPER(Before_Tbl[[#This Row],[First_Name]]))</f>
        <v>Bob</v>
      </c>
      <c r="R532" t="str">
        <f>TRIM(PROPER(Before_Tbl[[#This Row],[Last_Name]]))</f>
        <v>Smith</v>
      </c>
      <c r="S532" s="25">
        <f t="shared" si="8"/>
        <v>30</v>
      </c>
      <c r="T532" t="str">
        <f>LEFT(Before_Tbl[[#This Row],[Department_Region]],FIND("-",Before_Tbl[[#This Row],[Department_Region]])-1)</f>
        <v>Cloud Tech</v>
      </c>
      <c r="U532" t="str">
        <f>RIGHT(Before_Tbl[[#This Row],[Department_Region]],LEN(Before_Tbl[[#This Row],[Department_Region]])-FIND("-",Before_Tbl[[#This Row],[Department_Region]]))</f>
        <v>Nevada</v>
      </c>
      <c r="V532" t="str">
        <f>TRIM(PROPER(Before_Tbl[[#This Row],[Status]]))</f>
        <v>Pending</v>
      </c>
      <c r="W532" s="26">
        <v>44038</v>
      </c>
      <c r="X532" s="4">
        <v>113334.56</v>
      </c>
      <c r="Y532" t="str">
        <f>TRIM(LOWER(Before_Tbl[[#This Row],[Email]]))</f>
        <v>bob.smith@example.com</v>
      </c>
      <c r="Z532" s="2" t="str">
        <f>SUBSTITUTE(Before_Tbl[[#This Row],[Phone]],"-","")</f>
        <v>3878753576</v>
      </c>
      <c r="AA532" t="str">
        <f>TRIM(PROPER(Before_Tbl[[#This Row],[Performance_Score]]))</f>
        <v>Excellent</v>
      </c>
      <c r="AB532" s="2" t="str">
        <f>TRIM(UPPER(Before_Tbl[[#This Row],[Remote_Work]]))</f>
        <v>FALSE</v>
      </c>
    </row>
    <row r="533" spans="1:28" x14ac:dyDescent="0.35">
      <c r="A533" t="s">
        <v>945</v>
      </c>
      <c r="B533" t="s">
        <v>65</v>
      </c>
      <c r="C533" t="s">
        <v>43</v>
      </c>
      <c r="D533">
        <v>35</v>
      </c>
      <c r="E533" t="s">
        <v>212</v>
      </c>
      <c r="F533" t="s">
        <v>16</v>
      </c>
      <c r="G533" t="s">
        <v>946</v>
      </c>
      <c r="H533">
        <v>106922.49</v>
      </c>
      <c r="I533" t="s">
        <v>257</v>
      </c>
      <c r="J533">
        <v>-8811616201</v>
      </c>
      <c r="K533" t="s">
        <v>23</v>
      </c>
      <c r="L533" t="b">
        <v>1</v>
      </c>
      <c r="P533" t="str">
        <f>TRIM(Before_Tbl[[#This Row],[Employee_ID]])</f>
        <v>EMP1531</v>
      </c>
      <c r="Q533" t="str">
        <f>TRIM(PROPER(Before_Tbl[[#This Row],[First_Name]]))</f>
        <v>Heidi</v>
      </c>
      <c r="R533" t="str">
        <f>TRIM(PROPER(Before_Tbl[[#This Row],[Last_Name]]))</f>
        <v>Garcia</v>
      </c>
      <c r="S533" s="25">
        <f t="shared" si="8"/>
        <v>35</v>
      </c>
      <c r="T533" t="str">
        <f>LEFT(Before_Tbl[[#This Row],[Department_Region]],FIND("-",Before_Tbl[[#This Row],[Department_Region]])-1)</f>
        <v>HR</v>
      </c>
      <c r="U533" t="str">
        <f>RIGHT(Before_Tbl[[#This Row],[Department_Region]],LEN(Before_Tbl[[#This Row],[Department_Region]])-FIND("-",Before_Tbl[[#This Row],[Department_Region]]))</f>
        <v>Florida</v>
      </c>
      <c r="V533" t="str">
        <f>TRIM(PROPER(Before_Tbl[[#This Row],[Status]]))</f>
        <v>Active</v>
      </c>
      <c r="W533" s="26">
        <v>44035</v>
      </c>
      <c r="X533" s="4">
        <v>106922.49</v>
      </c>
      <c r="Y533" t="str">
        <f>TRIM(LOWER(Before_Tbl[[#This Row],[Email]]))</f>
        <v>heidi.garcia@example.com</v>
      </c>
      <c r="Z533" s="2" t="str">
        <f>SUBSTITUTE(Before_Tbl[[#This Row],[Phone]],"-","")</f>
        <v>8811616201</v>
      </c>
      <c r="AA533" t="str">
        <f>TRIM(PROPER(Before_Tbl[[#This Row],[Performance_Score]]))</f>
        <v>Excellent</v>
      </c>
      <c r="AB533" s="2" t="str">
        <f>TRIM(UPPER(Before_Tbl[[#This Row],[Remote_Work]]))</f>
        <v>TRUE</v>
      </c>
    </row>
    <row r="534" spans="1:28" x14ac:dyDescent="0.35">
      <c r="A534" t="s">
        <v>947</v>
      </c>
      <c r="B534" t="s">
        <v>32</v>
      </c>
      <c r="C534" t="s">
        <v>122</v>
      </c>
      <c r="D534">
        <v>35</v>
      </c>
      <c r="E534" t="s">
        <v>15</v>
      </c>
      <c r="F534" t="s">
        <v>33</v>
      </c>
      <c r="G534" t="s">
        <v>948</v>
      </c>
      <c r="H534">
        <v>58113.07</v>
      </c>
      <c r="I534" t="s">
        <v>522</v>
      </c>
      <c r="J534">
        <v>-8123710671</v>
      </c>
      <c r="K534" t="s">
        <v>18</v>
      </c>
      <c r="L534" t="b">
        <v>1</v>
      </c>
      <c r="P534" t="str">
        <f>TRIM(Before_Tbl[[#This Row],[Employee_ID]])</f>
        <v>EMP1532</v>
      </c>
      <c r="Q534" t="str">
        <f>TRIM(PROPER(Before_Tbl[[#This Row],[First_Name]]))</f>
        <v>Eva</v>
      </c>
      <c r="R534" t="str">
        <f>TRIM(PROPER(Before_Tbl[[#This Row],[Last_Name]]))</f>
        <v>Smith</v>
      </c>
      <c r="S534" s="25">
        <f t="shared" si="8"/>
        <v>35</v>
      </c>
      <c r="T534" t="str">
        <f>LEFT(Before_Tbl[[#This Row],[Department_Region]],FIND("-",Before_Tbl[[#This Row],[Department_Region]])-1)</f>
        <v>DevOps</v>
      </c>
      <c r="U534" t="str">
        <f>RIGHT(Before_Tbl[[#This Row],[Department_Region]],LEN(Before_Tbl[[#This Row],[Department_Region]])-FIND("-",Before_Tbl[[#This Row],[Department_Region]]))</f>
        <v>California</v>
      </c>
      <c r="V534" t="str">
        <f>TRIM(PROPER(Before_Tbl[[#This Row],[Status]]))</f>
        <v>Inactive</v>
      </c>
      <c r="W534" s="26">
        <v>45343</v>
      </c>
      <c r="X534" s="4">
        <v>58113.07</v>
      </c>
      <c r="Y534" t="str">
        <f>TRIM(LOWER(Before_Tbl[[#This Row],[Email]]))</f>
        <v>eva.smith@example.com</v>
      </c>
      <c r="Z534" s="2" t="str">
        <f>SUBSTITUTE(Before_Tbl[[#This Row],[Phone]],"-","")</f>
        <v>8123710671</v>
      </c>
      <c r="AA534" t="str">
        <f>TRIM(PROPER(Before_Tbl[[#This Row],[Performance_Score]]))</f>
        <v>Average</v>
      </c>
      <c r="AB534" s="2" t="str">
        <f>TRIM(UPPER(Before_Tbl[[#This Row],[Remote_Work]]))</f>
        <v>TRUE</v>
      </c>
    </row>
    <row r="535" spans="1:28" x14ac:dyDescent="0.35">
      <c r="A535" t="s">
        <v>949</v>
      </c>
      <c r="B535" t="s">
        <v>25</v>
      </c>
      <c r="C535" t="s">
        <v>122</v>
      </c>
      <c r="D535">
        <v>25</v>
      </c>
      <c r="E535" t="s">
        <v>27</v>
      </c>
      <c r="F535" t="s">
        <v>28</v>
      </c>
      <c r="G535" t="s">
        <v>950</v>
      </c>
      <c r="H535">
        <v>73006.259999999995</v>
      </c>
      <c r="I535" t="s">
        <v>182</v>
      </c>
      <c r="J535">
        <v>-8728660415</v>
      </c>
      <c r="K535" t="s">
        <v>41</v>
      </c>
      <c r="L535" t="b">
        <v>1</v>
      </c>
      <c r="P535" t="str">
        <f>TRIM(Before_Tbl[[#This Row],[Employee_ID]])</f>
        <v>EMP1533</v>
      </c>
      <c r="Q535" t="str">
        <f>TRIM(PROPER(Before_Tbl[[#This Row],[First_Name]]))</f>
        <v>Alice</v>
      </c>
      <c r="R535" t="str">
        <f>TRIM(PROPER(Before_Tbl[[#This Row],[Last_Name]]))</f>
        <v>Smith</v>
      </c>
      <c r="S535" s="25">
        <f t="shared" si="8"/>
        <v>25</v>
      </c>
      <c r="T535" t="str">
        <f>LEFT(Before_Tbl[[#This Row],[Department_Region]],FIND("-",Before_Tbl[[#This Row],[Department_Region]])-1)</f>
        <v>Admin</v>
      </c>
      <c r="U535" t="str">
        <f>RIGHT(Before_Tbl[[#This Row],[Department_Region]],LEN(Before_Tbl[[#This Row],[Department_Region]])-FIND("-",Before_Tbl[[#This Row],[Department_Region]]))</f>
        <v>Nevada</v>
      </c>
      <c r="V535" t="str">
        <f>TRIM(PROPER(Before_Tbl[[#This Row],[Status]]))</f>
        <v>Pending</v>
      </c>
      <c r="W535" s="26">
        <v>44180</v>
      </c>
      <c r="X535" s="4">
        <v>73006.259999999995</v>
      </c>
      <c r="Y535" t="str">
        <f>TRIM(LOWER(Before_Tbl[[#This Row],[Email]]))</f>
        <v>alice.smith@example.com</v>
      </c>
      <c r="Z535" s="2" t="str">
        <f>SUBSTITUTE(Before_Tbl[[#This Row],[Phone]],"-","")</f>
        <v>8728660415</v>
      </c>
      <c r="AA535" t="str">
        <f>TRIM(PROPER(Before_Tbl[[#This Row],[Performance_Score]]))</f>
        <v>Poor</v>
      </c>
      <c r="AB535" s="2" t="str">
        <f>TRIM(UPPER(Before_Tbl[[#This Row],[Remote_Work]]))</f>
        <v>TRUE</v>
      </c>
    </row>
    <row r="536" spans="1:28" x14ac:dyDescent="0.35">
      <c r="A536" t="s">
        <v>951</v>
      </c>
      <c r="B536" t="s">
        <v>32</v>
      </c>
      <c r="C536" t="s">
        <v>38</v>
      </c>
      <c r="D536">
        <v>25</v>
      </c>
      <c r="E536" t="s">
        <v>146</v>
      </c>
      <c r="F536" t="s">
        <v>16</v>
      </c>
      <c r="G536" t="s">
        <v>413</v>
      </c>
      <c r="H536">
        <v>78054.429999999993</v>
      </c>
      <c r="I536" t="s">
        <v>141</v>
      </c>
      <c r="J536">
        <v>-4485959223</v>
      </c>
      <c r="K536" t="s">
        <v>41</v>
      </c>
      <c r="L536" t="b">
        <v>1</v>
      </c>
      <c r="P536" t="str">
        <f>TRIM(Before_Tbl[[#This Row],[Employee_ID]])</f>
        <v>EMP1534</v>
      </c>
      <c r="Q536" t="str">
        <f>TRIM(PROPER(Before_Tbl[[#This Row],[First_Name]]))</f>
        <v>Eva</v>
      </c>
      <c r="R536" t="str">
        <f>TRIM(PROPER(Before_Tbl[[#This Row],[Last_Name]]))</f>
        <v>Williams</v>
      </c>
      <c r="S536" s="25">
        <f t="shared" si="8"/>
        <v>25</v>
      </c>
      <c r="T536" t="str">
        <f>LEFT(Before_Tbl[[#This Row],[Department_Region]],FIND("-",Before_Tbl[[#This Row],[Department_Region]])-1)</f>
        <v>HR</v>
      </c>
      <c r="U536" t="str">
        <f>RIGHT(Before_Tbl[[#This Row],[Department_Region]],LEN(Before_Tbl[[#This Row],[Department_Region]])-FIND("-",Before_Tbl[[#This Row],[Department_Region]]))</f>
        <v>California</v>
      </c>
      <c r="V536" t="str">
        <f>TRIM(PROPER(Before_Tbl[[#This Row],[Status]]))</f>
        <v>Active</v>
      </c>
      <c r="W536" s="26">
        <v>44064</v>
      </c>
      <c r="X536" s="4">
        <v>78054.429999999993</v>
      </c>
      <c r="Y536" t="str">
        <f>TRIM(LOWER(Before_Tbl[[#This Row],[Email]]))</f>
        <v>eva.williams@example.com</v>
      </c>
      <c r="Z536" s="2" t="str">
        <f>SUBSTITUTE(Before_Tbl[[#This Row],[Phone]],"-","")</f>
        <v>4485959223</v>
      </c>
      <c r="AA536" t="str">
        <f>TRIM(PROPER(Before_Tbl[[#This Row],[Performance_Score]]))</f>
        <v>Poor</v>
      </c>
      <c r="AB536" s="2" t="str">
        <f>TRIM(UPPER(Before_Tbl[[#This Row],[Remote_Work]]))</f>
        <v>TRUE</v>
      </c>
    </row>
    <row r="537" spans="1:28" x14ac:dyDescent="0.35">
      <c r="A537" t="s">
        <v>952</v>
      </c>
      <c r="B537" t="s">
        <v>32</v>
      </c>
      <c r="C537" t="s">
        <v>92</v>
      </c>
      <c r="D537">
        <v>40</v>
      </c>
      <c r="E537" t="s">
        <v>230</v>
      </c>
      <c r="F537" t="s">
        <v>33</v>
      </c>
      <c r="G537" t="s">
        <v>639</v>
      </c>
      <c r="H537">
        <v>112028.67</v>
      </c>
      <c r="I537" t="s">
        <v>263</v>
      </c>
      <c r="J537">
        <v>-8395894772</v>
      </c>
      <c r="K537" t="s">
        <v>23</v>
      </c>
      <c r="L537" t="b">
        <v>0</v>
      </c>
      <c r="P537" t="str">
        <f>TRIM(Before_Tbl[[#This Row],[Employee_ID]])</f>
        <v>EMP1535</v>
      </c>
      <c r="Q537" t="str">
        <f>TRIM(PROPER(Before_Tbl[[#This Row],[First_Name]]))</f>
        <v>Eva</v>
      </c>
      <c r="R537" t="str">
        <f>TRIM(PROPER(Before_Tbl[[#This Row],[Last_Name]]))</f>
        <v>Miller</v>
      </c>
      <c r="S537" s="25">
        <f t="shared" si="8"/>
        <v>40</v>
      </c>
      <c r="T537" t="str">
        <f>LEFT(Before_Tbl[[#This Row],[Department_Region]],FIND("-",Before_Tbl[[#This Row],[Department_Region]])-1)</f>
        <v>DevOps</v>
      </c>
      <c r="U537" t="str">
        <f>RIGHT(Before_Tbl[[#This Row],[Department_Region]],LEN(Before_Tbl[[#This Row],[Department_Region]])-FIND("-",Before_Tbl[[#This Row],[Department_Region]]))</f>
        <v>Florida</v>
      </c>
      <c r="V537" t="str">
        <f>TRIM(PROPER(Before_Tbl[[#This Row],[Status]]))</f>
        <v>Inactive</v>
      </c>
      <c r="W537" s="26">
        <v>45159</v>
      </c>
      <c r="X537" s="4">
        <v>112028.67</v>
      </c>
      <c r="Y537" t="str">
        <f>TRIM(LOWER(Before_Tbl[[#This Row],[Email]]))</f>
        <v>eva.miller@example.com</v>
      </c>
      <c r="Z537" s="2" t="str">
        <f>SUBSTITUTE(Before_Tbl[[#This Row],[Phone]],"-","")</f>
        <v>8395894772</v>
      </c>
      <c r="AA537" t="str">
        <f>TRIM(PROPER(Before_Tbl[[#This Row],[Performance_Score]]))</f>
        <v>Excellent</v>
      </c>
      <c r="AB537" s="2" t="str">
        <f>TRIM(UPPER(Before_Tbl[[#This Row],[Remote_Work]]))</f>
        <v>FALSE</v>
      </c>
    </row>
    <row r="538" spans="1:28" x14ac:dyDescent="0.35">
      <c r="A538" t="s">
        <v>953</v>
      </c>
      <c r="B538" t="s">
        <v>54</v>
      </c>
      <c r="C538" t="s">
        <v>43</v>
      </c>
      <c r="D538">
        <v>25</v>
      </c>
      <c r="E538" t="s">
        <v>103</v>
      </c>
      <c r="F538" t="s">
        <v>33</v>
      </c>
      <c r="G538" t="s">
        <v>954</v>
      </c>
      <c r="H538">
        <v>83787.240000000005</v>
      </c>
      <c r="I538" t="s">
        <v>87</v>
      </c>
      <c r="J538">
        <v>-5228705621</v>
      </c>
      <c r="K538" t="s">
        <v>30</v>
      </c>
      <c r="L538" t="b">
        <v>1</v>
      </c>
      <c r="P538" t="str">
        <f>TRIM(Before_Tbl[[#This Row],[Employee_ID]])</f>
        <v>EMP1536</v>
      </c>
      <c r="Q538" t="str">
        <f>TRIM(PROPER(Before_Tbl[[#This Row],[First_Name]]))</f>
        <v>Charlie</v>
      </c>
      <c r="R538" t="str">
        <f>TRIM(PROPER(Before_Tbl[[#This Row],[Last_Name]]))</f>
        <v>Garcia</v>
      </c>
      <c r="S538" s="25">
        <f t="shared" si="8"/>
        <v>25</v>
      </c>
      <c r="T538" t="str">
        <f>LEFT(Before_Tbl[[#This Row],[Department_Region]],FIND("-",Before_Tbl[[#This Row],[Department_Region]])-1)</f>
        <v>Admin</v>
      </c>
      <c r="U538" t="str">
        <f>RIGHT(Before_Tbl[[#This Row],[Department_Region]],LEN(Before_Tbl[[#This Row],[Department_Region]])-FIND("-",Before_Tbl[[#This Row],[Department_Region]]))</f>
        <v>Texas</v>
      </c>
      <c r="V538" t="str">
        <f>TRIM(PROPER(Before_Tbl[[#This Row],[Status]]))</f>
        <v>Inactive</v>
      </c>
      <c r="W538" s="26">
        <v>45040</v>
      </c>
      <c r="X538" s="4">
        <v>83787.240000000005</v>
      </c>
      <c r="Y538" t="str">
        <f>TRIM(LOWER(Before_Tbl[[#This Row],[Email]]))</f>
        <v>charlie.garcia@example.com</v>
      </c>
      <c r="Z538" s="2" t="str">
        <f>SUBSTITUTE(Before_Tbl[[#This Row],[Phone]],"-","")</f>
        <v>5228705621</v>
      </c>
      <c r="AA538" t="str">
        <f>TRIM(PROPER(Before_Tbl[[#This Row],[Performance_Score]]))</f>
        <v>Good</v>
      </c>
      <c r="AB538" s="2" t="str">
        <f>TRIM(UPPER(Before_Tbl[[#This Row],[Remote_Work]]))</f>
        <v>TRUE</v>
      </c>
    </row>
    <row r="539" spans="1:28" x14ac:dyDescent="0.35">
      <c r="A539" t="s">
        <v>955</v>
      </c>
      <c r="B539" t="s">
        <v>65</v>
      </c>
      <c r="C539" t="s">
        <v>14</v>
      </c>
      <c r="D539">
        <v>30</v>
      </c>
      <c r="E539" t="s">
        <v>74</v>
      </c>
      <c r="F539" t="s">
        <v>33</v>
      </c>
      <c r="G539" s="1">
        <v>45083</v>
      </c>
      <c r="H539">
        <v>52017.14</v>
      </c>
      <c r="I539" t="s">
        <v>395</v>
      </c>
      <c r="J539">
        <v>-7104331874</v>
      </c>
      <c r="K539" t="s">
        <v>18</v>
      </c>
      <c r="L539" t="b">
        <v>1</v>
      </c>
      <c r="P539" t="str">
        <f>TRIM(Before_Tbl[[#This Row],[Employee_ID]])</f>
        <v>EMP1537</v>
      </c>
      <c r="Q539" t="str">
        <f>TRIM(PROPER(Before_Tbl[[#This Row],[First_Name]]))</f>
        <v>Heidi</v>
      </c>
      <c r="R539" t="str">
        <f>TRIM(PROPER(Before_Tbl[[#This Row],[Last_Name]]))</f>
        <v>Davis</v>
      </c>
      <c r="S539" s="25">
        <f t="shared" si="8"/>
        <v>30</v>
      </c>
      <c r="T539" t="str">
        <f>LEFT(Before_Tbl[[#This Row],[Department_Region]],FIND("-",Before_Tbl[[#This Row],[Department_Region]])-1)</f>
        <v>Sales</v>
      </c>
      <c r="U539" t="str">
        <f>RIGHT(Before_Tbl[[#This Row],[Department_Region]],LEN(Before_Tbl[[#This Row],[Department_Region]])-FIND("-",Before_Tbl[[#This Row],[Department_Region]]))</f>
        <v>Florida</v>
      </c>
      <c r="V539" t="str">
        <f>TRIM(PROPER(Before_Tbl[[#This Row],[Status]]))</f>
        <v>Inactive</v>
      </c>
      <c r="W539" s="26">
        <v>45083</v>
      </c>
      <c r="X539" s="4">
        <v>52017.14</v>
      </c>
      <c r="Y539" t="str">
        <f>TRIM(LOWER(Before_Tbl[[#This Row],[Email]]))</f>
        <v>heidi.davis@example.com</v>
      </c>
      <c r="Z539" s="2" t="str">
        <f>SUBSTITUTE(Before_Tbl[[#This Row],[Phone]],"-","")</f>
        <v>7104331874</v>
      </c>
      <c r="AA539" t="str">
        <f>TRIM(PROPER(Before_Tbl[[#This Row],[Performance_Score]]))</f>
        <v>Average</v>
      </c>
      <c r="AB539" s="2" t="str">
        <f>TRIM(UPPER(Before_Tbl[[#This Row],[Remote_Work]]))</f>
        <v>TRUE</v>
      </c>
    </row>
    <row r="540" spans="1:28" x14ac:dyDescent="0.35">
      <c r="A540" t="s">
        <v>956</v>
      </c>
      <c r="B540" t="s">
        <v>54</v>
      </c>
      <c r="C540" t="s">
        <v>26</v>
      </c>
      <c r="D540">
        <v>40</v>
      </c>
      <c r="E540" t="s">
        <v>21</v>
      </c>
      <c r="F540" t="s">
        <v>33</v>
      </c>
      <c r="G540" t="s">
        <v>957</v>
      </c>
      <c r="H540">
        <v>53218.06</v>
      </c>
      <c r="I540" t="s">
        <v>120</v>
      </c>
      <c r="J540">
        <v>-1097921582</v>
      </c>
      <c r="K540" t="s">
        <v>18</v>
      </c>
      <c r="L540" t="b">
        <v>0</v>
      </c>
      <c r="P540" t="str">
        <f>TRIM(Before_Tbl[[#This Row],[Employee_ID]])</f>
        <v>EMP1538</v>
      </c>
      <c r="Q540" t="str">
        <f>TRIM(PROPER(Before_Tbl[[#This Row],[First_Name]]))</f>
        <v>Charlie</v>
      </c>
      <c r="R540" t="str">
        <f>TRIM(PROPER(Before_Tbl[[#This Row],[Last_Name]]))</f>
        <v>Jones</v>
      </c>
      <c r="S540" s="25">
        <f t="shared" si="8"/>
        <v>40</v>
      </c>
      <c r="T540" t="str">
        <f>LEFT(Before_Tbl[[#This Row],[Department_Region]],FIND("-",Before_Tbl[[#This Row],[Department_Region]])-1)</f>
        <v>Finance</v>
      </c>
      <c r="U540" t="str">
        <f>RIGHT(Before_Tbl[[#This Row],[Department_Region]],LEN(Before_Tbl[[#This Row],[Department_Region]])-FIND("-",Before_Tbl[[#This Row],[Department_Region]]))</f>
        <v>Texas</v>
      </c>
      <c r="V540" t="str">
        <f>TRIM(PROPER(Before_Tbl[[#This Row],[Status]]))</f>
        <v>Inactive</v>
      </c>
      <c r="W540" s="26">
        <v>44733</v>
      </c>
      <c r="X540" s="4">
        <v>53218.06</v>
      </c>
      <c r="Y540" t="str">
        <f>TRIM(LOWER(Before_Tbl[[#This Row],[Email]]))</f>
        <v>charlie.jones@example.com</v>
      </c>
      <c r="Z540" s="2" t="str">
        <f>SUBSTITUTE(Before_Tbl[[#This Row],[Phone]],"-","")</f>
        <v>1097921582</v>
      </c>
      <c r="AA540" t="str">
        <f>TRIM(PROPER(Before_Tbl[[#This Row],[Performance_Score]]))</f>
        <v>Average</v>
      </c>
      <c r="AB540" s="2" t="str">
        <f>TRIM(UPPER(Before_Tbl[[#This Row],[Remote_Work]]))</f>
        <v>FALSE</v>
      </c>
    </row>
    <row r="541" spans="1:28" x14ac:dyDescent="0.35">
      <c r="A541" t="s">
        <v>958</v>
      </c>
      <c r="B541" t="s">
        <v>37</v>
      </c>
      <c r="C541" t="s">
        <v>55</v>
      </c>
      <c r="D541">
        <v>25</v>
      </c>
      <c r="E541" t="s">
        <v>329</v>
      </c>
      <c r="F541" t="s">
        <v>28</v>
      </c>
      <c r="G541" t="s">
        <v>959</v>
      </c>
      <c r="H541">
        <v>102053.67</v>
      </c>
      <c r="I541" t="s">
        <v>271</v>
      </c>
      <c r="J541">
        <v>-5034469458</v>
      </c>
      <c r="K541" t="s">
        <v>18</v>
      </c>
      <c r="L541" t="b">
        <v>0</v>
      </c>
      <c r="P541" t="str">
        <f>TRIM(Before_Tbl[[#This Row],[Employee_ID]])</f>
        <v>EMP1539</v>
      </c>
      <c r="Q541" t="str">
        <f>TRIM(PROPER(Before_Tbl[[#This Row],[First_Name]]))</f>
        <v>Frank</v>
      </c>
      <c r="R541" t="str">
        <f>TRIM(PROPER(Before_Tbl[[#This Row],[Last_Name]]))</f>
        <v>Johnson</v>
      </c>
      <c r="S541" s="25">
        <f t="shared" si="8"/>
        <v>25</v>
      </c>
      <c r="T541" t="str">
        <f>LEFT(Before_Tbl[[#This Row],[Department_Region]],FIND("-",Before_Tbl[[#This Row],[Department_Region]])-1)</f>
        <v>DevOps</v>
      </c>
      <c r="U541" t="str">
        <f>RIGHT(Before_Tbl[[#This Row],[Department_Region]],LEN(Before_Tbl[[#This Row],[Department_Region]])-FIND("-",Before_Tbl[[#This Row],[Department_Region]]))</f>
        <v>Nevada</v>
      </c>
      <c r="V541" t="str">
        <f>TRIM(PROPER(Before_Tbl[[#This Row],[Status]]))</f>
        <v>Pending</v>
      </c>
      <c r="W541" s="26">
        <v>45402</v>
      </c>
      <c r="X541" s="4">
        <v>102053.67</v>
      </c>
      <c r="Y541" t="str">
        <f>TRIM(LOWER(Before_Tbl[[#This Row],[Email]]))</f>
        <v>frank.johnson@example.com</v>
      </c>
      <c r="Z541" s="2" t="str">
        <f>SUBSTITUTE(Before_Tbl[[#This Row],[Phone]],"-","")</f>
        <v>5034469458</v>
      </c>
      <c r="AA541" t="str">
        <f>TRIM(PROPER(Before_Tbl[[#This Row],[Performance_Score]]))</f>
        <v>Average</v>
      </c>
      <c r="AB541" s="2" t="str">
        <f>TRIM(UPPER(Before_Tbl[[#This Row],[Remote_Work]]))</f>
        <v>FALSE</v>
      </c>
    </row>
    <row r="542" spans="1:28" x14ac:dyDescent="0.35">
      <c r="A542" t="s">
        <v>960</v>
      </c>
      <c r="B542" t="s">
        <v>59</v>
      </c>
      <c r="C542" t="s">
        <v>14</v>
      </c>
      <c r="D542">
        <v>35</v>
      </c>
      <c r="E542" t="s">
        <v>98</v>
      </c>
      <c r="F542" t="s">
        <v>28</v>
      </c>
      <c r="G542" s="1">
        <v>45058</v>
      </c>
      <c r="H542">
        <v>93276.73</v>
      </c>
      <c r="I542" t="s">
        <v>63</v>
      </c>
      <c r="J542">
        <v>-6488319212</v>
      </c>
      <c r="K542" t="s">
        <v>18</v>
      </c>
      <c r="L542" t="b">
        <v>0</v>
      </c>
      <c r="P542" t="str">
        <f>TRIM(Before_Tbl[[#This Row],[Employee_ID]])</f>
        <v>EMP1540</v>
      </c>
      <c r="Q542" t="str">
        <f>TRIM(PROPER(Before_Tbl[[#This Row],[First_Name]]))</f>
        <v>David</v>
      </c>
      <c r="R542" t="str">
        <f>TRIM(PROPER(Before_Tbl[[#This Row],[Last_Name]]))</f>
        <v>Davis</v>
      </c>
      <c r="S542" s="25">
        <f t="shared" si="8"/>
        <v>35</v>
      </c>
      <c r="T542" t="str">
        <f>LEFT(Before_Tbl[[#This Row],[Department_Region]],FIND("-",Before_Tbl[[#This Row],[Department_Region]])-1)</f>
        <v>Sales</v>
      </c>
      <c r="U542" t="str">
        <f>RIGHT(Before_Tbl[[#This Row],[Department_Region]],LEN(Before_Tbl[[#This Row],[Department_Region]])-FIND("-",Before_Tbl[[#This Row],[Department_Region]]))</f>
        <v>Illinois</v>
      </c>
      <c r="V542" t="str">
        <f>TRIM(PROPER(Before_Tbl[[#This Row],[Status]]))</f>
        <v>Pending</v>
      </c>
      <c r="W542" s="26">
        <v>45058</v>
      </c>
      <c r="X542" s="4">
        <v>93276.73</v>
      </c>
      <c r="Y542" t="str">
        <f>TRIM(LOWER(Before_Tbl[[#This Row],[Email]]))</f>
        <v>david.davis@example.com</v>
      </c>
      <c r="Z542" s="2" t="str">
        <f>SUBSTITUTE(Before_Tbl[[#This Row],[Phone]],"-","")</f>
        <v>6488319212</v>
      </c>
      <c r="AA542" t="str">
        <f>TRIM(PROPER(Before_Tbl[[#This Row],[Performance_Score]]))</f>
        <v>Average</v>
      </c>
      <c r="AB542" s="2" t="str">
        <f>TRIM(UPPER(Before_Tbl[[#This Row],[Remote_Work]]))</f>
        <v>FALSE</v>
      </c>
    </row>
    <row r="543" spans="1:28" x14ac:dyDescent="0.35">
      <c r="A543" t="s">
        <v>961</v>
      </c>
      <c r="B543" t="s">
        <v>59</v>
      </c>
      <c r="C543" t="s">
        <v>55</v>
      </c>
      <c r="D543">
        <v>40</v>
      </c>
      <c r="E543" t="s">
        <v>149</v>
      </c>
      <c r="F543" t="s">
        <v>28</v>
      </c>
      <c r="G543" s="1">
        <v>45085</v>
      </c>
      <c r="H543">
        <v>76941.36</v>
      </c>
      <c r="I543" t="s">
        <v>217</v>
      </c>
      <c r="J543">
        <v>-4249128964</v>
      </c>
      <c r="K543" t="s">
        <v>41</v>
      </c>
      <c r="L543" t="b">
        <v>1</v>
      </c>
      <c r="P543" t="str">
        <f>TRIM(Before_Tbl[[#This Row],[Employee_ID]])</f>
        <v>EMP1541</v>
      </c>
      <c r="Q543" t="str">
        <f>TRIM(PROPER(Before_Tbl[[#This Row],[First_Name]]))</f>
        <v>David</v>
      </c>
      <c r="R543" t="str">
        <f>TRIM(PROPER(Before_Tbl[[#This Row],[Last_Name]]))</f>
        <v>Johnson</v>
      </c>
      <c r="S543" s="25">
        <f t="shared" si="8"/>
        <v>40</v>
      </c>
      <c r="T543" t="str">
        <f>LEFT(Before_Tbl[[#This Row],[Department_Region]],FIND("-",Before_Tbl[[#This Row],[Department_Region]])-1)</f>
        <v>HR</v>
      </c>
      <c r="U543" t="str">
        <f>RIGHT(Before_Tbl[[#This Row],[Department_Region]],LEN(Before_Tbl[[#This Row],[Department_Region]])-FIND("-",Before_Tbl[[#This Row],[Department_Region]]))</f>
        <v>Nevada</v>
      </c>
      <c r="V543" t="str">
        <f>TRIM(PROPER(Before_Tbl[[#This Row],[Status]]))</f>
        <v>Pending</v>
      </c>
      <c r="W543" s="26">
        <v>45085</v>
      </c>
      <c r="X543" s="4">
        <v>76941.36</v>
      </c>
      <c r="Y543" t="str">
        <f>TRIM(LOWER(Before_Tbl[[#This Row],[Email]]))</f>
        <v>david.johnson@example.com</v>
      </c>
      <c r="Z543" s="2" t="str">
        <f>SUBSTITUTE(Before_Tbl[[#This Row],[Phone]],"-","")</f>
        <v>4249128964</v>
      </c>
      <c r="AA543" t="str">
        <f>TRIM(PROPER(Before_Tbl[[#This Row],[Performance_Score]]))</f>
        <v>Poor</v>
      </c>
      <c r="AB543" s="2" t="str">
        <f>TRIM(UPPER(Before_Tbl[[#This Row],[Remote_Work]]))</f>
        <v>TRUE</v>
      </c>
    </row>
    <row r="544" spans="1:28" x14ac:dyDescent="0.35">
      <c r="A544" t="s">
        <v>962</v>
      </c>
      <c r="B544" t="s">
        <v>25</v>
      </c>
      <c r="C544" t="s">
        <v>38</v>
      </c>
      <c r="D544">
        <v>25</v>
      </c>
      <c r="E544" t="s">
        <v>56</v>
      </c>
      <c r="F544" t="s">
        <v>28</v>
      </c>
      <c r="G544" s="1">
        <v>45392</v>
      </c>
      <c r="H544">
        <v>82850.23</v>
      </c>
      <c r="I544" t="s">
        <v>363</v>
      </c>
      <c r="J544">
        <v>-9994973202</v>
      </c>
      <c r="K544" t="s">
        <v>41</v>
      </c>
      <c r="L544" t="b">
        <v>0</v>
      </c>
      <c r="P544" t="str">
        <f>TRIM(Before_Tbl[[#This Row],[Employee_ID]])</f>
        <v>EMP1542</v>
      </c>
      <c r="Q544" t="str">
        <f>TRIM(PROPER(Before_Tbl[[#This Row],[First_Name]]))</f>
        <v>Alice</v>
      </c>
      <c r="R544" t="str">
        <f>TRIM(PROPER(Before_Tbl[[#This Row],[Last_Name]]))</f>
        <v>Williams</v>
      </c>
      <c r="S544" s="25">
        <f t="shared" si="8"/>
        <v>25</v>
      </c>
      <c r="T544" t="str">
        <f>LEFT(Before_Tbl[[#This Row],[Department_Region]],FIND("-",Before_Tbl[[#This Row],[Department_Region]])-1)</f>
        <v>DevOps</v>
      </c>
      <c r="U544" t="str">
        <f>RIGHT(Before_Tbl[[#This Row],[Department_Region]],LEN(Before_Tbl[[#This Row],[Department_Region]])-FIND("-",Before_Tbl[[#This Row],[Department_Region]]))</f>
        <v>New York</v>
      </c>
      <c r="V544" t="str">
        <f>TRIM(PROPER(Before_Tbl[[#This Row],[Status]]))</f>
        <v>Pending</v>
      </c>
      <c r="W544" s="26">
        <v>45392</v>
      </c>
      <c r="X544" s="4">
        <v>82850.23</v>
      </c>
      <c r="Y544" t="str">
        <f>TRIM(LOWER(Before_Tbl[[#This Row],[Email]]))</f>
        <v>alice.williams@example.com</v>
      </c>
      <c r="Z544" s="2" t="str">
        <f>SUBSTITUTE(Before_Tbl[[#This Row],[Phone]],"-","")</f>
        <v>9994973202</v>
      </c>
      <c r="AA544" t="str">
        <f>TRIM(PROPER(Before_Tbl[[#This Row],[Performance_Score]]))</f>
        <v>Poor</v>
      </c>
      <c r="AB544" s="2" t="str">
        <f>TRIM(UPPER(Before_Tbl[[#This Row],[Remote_Work]]))</f>
        <v>FALSE</v>
      </c>
    </row>
    <row r="545" spans="1:28" x14ac:dyDescent="0.35">
      <c r="A545" t="s">
        <v>963</v>
      </c>
      <c r="B545" t="s">
        <v>54</v>
      </c>
      <c r="C545" t="s">
        <v>55</v>
      </c>
      <c r="D545">
        <v>25</v>
      </c>
      <c r="E545" t="s">
        <v>70</v>
      </c>
      <c r="F545" t="s">
        <v>16</v>
      </c>
      <c r="G545" s="1">
        <v>44419</v>
      </c>
      <c r="H545">
        <v>117910.15</v>
      </c>
      <c r="I545" t="s">
        <v>57</v>
      </c>
      <c r="J545">
        <v>-3192227050</v>
      </c>
      <c r="K545" t="s">
        <v>30</v>
      </c>
      <c r="L545" t="b">
        <v>0</v>
      </c>
      <c r="P545" t="str">
        <f>TRIM(Before_Tbl[[#This Row],[Employee_ID]])</f>
        <v>EMP1543</v>
      </c>
      <c r="Q545" t="str">
        <f>TRIM(PROPER(Before_Tbl[[#This Row],[First_Name]]))</f>
        <v>Charlie</v>
      </c>
      <c r="R545" t="str">
        <f>TRIM(PROPER(Before_Tbl[[#This Row],[Last_Name]]))</f>
        <v>Johnson</v>
      </c>
      <c r="S545" s="25">
        <f t="shared" si="8"/>
        <v>25</v>
      </c>
      <c r="T545" t="str">
        <f>LEFT(Before_Tbl[[#This Row],[Department_Region]],FIND("-",Before_Tbl[[#This Row],[Department_Region]])-1)</f>
        <v>Finance</v>
      </c>
      <c r="U545" t="str">
        <f>RIGHT(Before_Tbl[[#This Row],[Department_Region]],LEN(Before_Tbl[[#This Row],[Department_Region]])-FIND("-",Before_Tbl[[#This Row],[Department_Region]]))</f>
        <v>California</v>
      </c>
      <c r="V545" t="str">
        <f>TRIM(PROPER(Before_Tbl[[#This Row],[Status]]))</f>
        <v>Active</v>
      </c>
      <c r="W545" s="26">
        <v>44419</v>
      </c>
      <c r="X545" s="4">
        <v>117910.15</v>
      </c>
      <c r="Y545" t="str">
        <f>TRIM(LOWER(Before_Tbl[[#This Row],[Email]]))</f>
        <v>charlie.johnson@example.com</v>
      </c>
      <c r="Z545" s="2" t="str">
        <f>SUBSTITUTE(Before_Tbl[[#This Row],[Phone]],"-","")</f>
        <v>3192227050</v>
      </c>
      <c r="AA545" t="str">
        <f>TRIM(PROPER(Before_Tbl[[#This Row],[Performance_Score]]))</f>
        <v>Good</v>
      </c>
      <c r="AB545" s="2" t="str">
        <f>TRIM(UPPER(Before_Tbl[[#This Row],[Remote_Work]]))</f>
        <v>FALSE</v>
      </c>
    </row>
    <row r="546" spans="1:28" x14ac:dyDescent="0.35">
      <c r="A546" t="s">
        <v>964</v>
      </c>
      <c r="B546" t="s">
        <v>59</v>
      </c>
      <c r="C546" t="s">
        <v>122</v>
      </c>
      <c r="E546" t="s">
        <v>230</v>
      </c>
      <c r="F546" t="s">
        <v>33</v>
      </c>
      <c r="G546" t="s">
        <v>965</v>
      </c>
      <c r="H546">
        <v>66450</v>
      </c>
      <c r="I546" t="s">
        <v>341</v>
      </c>
      <c r="J546">
        <v>-287675480</v>
      </c>
      <c r="K546" t="s">
        <v>18</v>
      </c>
      <c r="L546" t="b">
        <v>1</v>
      </c>
      <c r="P546" t="str">
        <f>TRIM(Before_Tbl[[#This Row],[Employee_ID]])</f>
        <v>EMP1544</v>
      </c>
      <c r="Q546" t="str">
        <f>TRIM(PROPER(Before_Tbl[[#This Row],[First_Name]]))</f>
        <v>David</v>
      </c>
      <c r="R546" t="str">
        <f>TRIM(PROPER(Before_Tbl[[#This Row],[Last_Name]]))</f>
        <v>Smith</v>
      </c>
      <c r="S546" s="25">
        <f t="shared" si="8"/>
        <v>30</v>
      </c>
      <c r="T546" t="str">
        <f>LEFT(Before_Tbl[[#This Row],[Department_Region]],FIND("-",Before_Tbl[[#This Row],[Department_Region]])-1)</f>
        <v>DevOps</v>
      </c>
      <c r="U546" t="str">
        <f>RIGHT(Before_Tbl[[#This Row],[Department_Region]],LEN(Before_Tbl[[#This Row],[Department_Region]])-FIND("-",Before_Tbl[[#This Row],[Department_Region]]))</f>
        <v>Florida</v>
      </c>
      <c r="V546" t="str">
        <f>TRIM(PROPER(Before_Tbl[[#This Row],[Status]]))</f>
        <v>Inactive</v>
      </c>
      <c r="W546" s="26">
        <v>45504</v>
      </c>
      <c r="X546" s="4">
        <v>66450</v>
      </c>
      <c r="Y546" t="str">
        <f>TRIM(LOWER(Before_Tbl[[#This Row],[Email]]))</f>
        <v>david.smith@example.com</v>
      </c>
      <c r="Z546" s="2" t="str">
        <f>SUBSTITUTE(Before_Tbl[[#This Row],[Phone]],"-","")</f>
        <v>287675480</v>
      </c>
      <c r="AA546" t="str">
        <f>TRIM(PROPER(Before_Tbl[[#This Row],[Performance_Score]]))</f>
        <v>Average</v>
      </c>
      <c r="AB546" s="2" t="str">
        <f>TRIM(UPPER(Before_Tbl[[#This Row],[Remote_Work]]))</f>
        <v>TRUE</v>
      </c>
    </row>
    <row r="547" spans="1:28" x14ac:dyDescent="0.35">
      <c r="A547" t="s">
        <v>966</v>
      </c>
      <c r="B547" t="s">
        <v>65</v>
      </c>
      <c r="C547" t="s">
        <v>43</v>
      </c>
      <c r="D547">
        <v>25</v>
      </c>
      <c r="E547" t="s">
        <v>112</v>
      </c>
      <c r="F547" t="s">
        <v>33</v>
      </c>
      <c r="G547" t="s">
        <v>967</v>
      </c>
      <c r="H547">
        <v>118646.95</v>
      </c>
      <c r="I547" t="s">
        <v>257</v>
      </c>
      <c r="J547">
        <v>-3866675484</v>
      </c>
      <c r="K547" t="s">
        <v>18</v>
      </c>
      <c r="L547" t="b">
        <v>0</v>
      </c>
      <c r="P547" t="str">
        <f>TRIM(Before_Tbl[[#This Row],[Employee_ID]])</f>
        <v>EMP1545</v>
      </c>
      <c r="Q547" t="str">
        <f>TRIM(PROPER(Before_Tbl[[#This Row],[First_Name]]))</f>
        <v>Heidi</v>
      </c>
      <c r="R547" t="str">
        <f>TRIM(PROPER(Before_Tbl[[#This Row],[Last_Name]]))</f>
        <v>Garcia</v>
      </c>
      <c r="S547" s="25">
        <f t="shared" si="8"/>
        <v>25</v>
      </c>
      <c r="T547" t="str">
        <f>LEFT(Before_Tbl[[#This Row],[Department_Region]],FIND("-",Before_Tbl[[#This Row],[Department_Region]])-1)</f>
        <v>Finance</v>
      </c>
      <c r="U547" t="str">
        <f>RIGHT(Before_Tbl[[#This Row],[Department_Region]],LEN(Before_Tbl[[#This Row],[Department_Region]])-FIND("-",Before_Tbl[[#This Row],[Department_Region]]))</f>
        <v>Florida</v>
      </c>
      <c r="V547" t="str">
        <f>TRIM(PROPER(Before_Tbl[[#This Row],[Status]]))</f>
        <v>Inactive</v>
      </c>
      <c r="W547" s="26">
        <v>44074</v>
      </c>
      <c r="X547" s="4">
        <v>118646.95</v>
      </c>
      <c r="Y547" t="str">
        <f>TRIM(LOWER(Before_Tbl[[#This Row],[Email]]))</f>
        <v>heidi.garcia@example.com</v>
      </c>
      <c r="Z547" s="2" t="str">
        <f>SUBSTITUTE(Before_Tbl[[#This Row],[Phone]],"-","")</f>
        <v>3866675484</v>
      </c>
      <c r="AA547" t="str">
        <f>TRIM(PROPER(Before_Tbl[[#This Row],[Performance_Score]]))</f>
        <v>Average</v>
      </c>
      <c r="AB547" s="2" t="str">
        <f>TRIM(UPPER(Before_Tbl[[#This Row],[Remote_Work]]))</f>
        <v>FALSE</v>
      </c>
    </row>
    <row r="548" spans="1:28" x14ac:dyDescent="0.35">
      <c r="A548" t="s">
        <v>968</v>
      </c>
      <c r="B548" t="s">
        <v>25</v>
      </c>
      <c r="C548" t="s">
        <v>26</v>
      </c>
      <c r="D548">
        <v>25</v>
      </c>
      <c r="E548" t="s">
        <v>112</v>
      </c>
      <c r="F548" t="s">
        <v>16</v>
      </c>
      <c r="G548" t="s">
        <v>969</v>
      </c>
      <c r="H548">
        <v>88436.92</v>
      </c>
      <c r="I548" t="s">
        <v>29</v>
      </c>
      <c r="J548">
        <v>-8193242686</v>
      </c>
      <c r="K548" t="s">
        <v>23</v>
      </c>
      <c r="L548" t="b">
        <v>0</v>
      </c>
      <c r="P548" t="str">
        <f>TRIM(Before_Tbl[[#This Row],[Employee_ID]])</f>
        <v>EMP1546</v>
      </c>
      <c r="Q548" t="str">
        <f>TRIM(PROPER(Before_Tbl[[#This Row],[First_Name]]))</f>
        <v>Alice</v>
      </c>
      <c r="R548" t="str">
        <f>TRIM(PROPER(Before_Tbl[[#This Row],[Last_Name]]))</f>
        <v>Jones</v>
      </c>
      <c r="S548" s="25">
        <f t="shared" si="8"/>
        <v>25</v>
      </c>
      <c r="T548" t="str">
        <f>LEFT(Before_Tbl[[#This Row],[Department_Region]],FIND("-",Before_Tbl[[#This Row],[Department_Region]])-1)</f>
        <v>Finance</v>
      </c>
      <c r="U548" t="str">
        <f>RIGHT(Before_Tbl[[#This Row],[Department_Region]],LEN(Before_Tbl[[#This Row],[Department_Region]])-FIND("-",Before_Tbl[[#This Row],[Department_Region]]))</f>
        <v>Florida</v>
      </c>
      <c r="V548" t="str">
        <f>TRIM(PROPER(Before_Tbl[[#This Row],[Status]]))</f>
        <v>Active</v>
      </c>
      <c r="W548" s="26">
        <v>44972</v>
      </c>
      <c r="X548" s="4">
        <v>88436.92</v>
      </c>
      <c r="Y548" t="str">
        <f>TRIM(LOWER(Before_Tbl[[#This Row],[Email]]))</f>
        <v>alice.jones@example.com</v>
      </c>
      <c r="Z548" s="2" t="str">
        <f>SUBSTITUTE(Before_Tbl[[#This Row],[Phone]],"-","")</f>
        <v>8193242686</v>
      </c>
      <c r="AA548" t="str">
        <f>TRIM(PROPER(Before_Tbl[[#This Row],[Performance_Score]]))</f>
        <v>Excellent</v>
      </c>
      <c r="AB548" s="2" t="str">
        <f>TRIM(UPPER(Before_Tbl[[#This Row],[Remote_Work]]))</f>
        <v>FALSE</v>
      </c>
    </row>
    <row r="549" spans="1:28" x14ac:dyDescent="0.35">
      <c r="A549" t="s">
        <v>970</v>
      </c>
      <c r="B549" t="s">
        <v>32</v>
      </c>
      <c r="C549" t="s">
        <v>20</v>
      </c>
      <c r="E549" t="s">
        <v>109</v>
      </c>
      <c r="F549" t="s">
        <v>28</v>
      </c>
      <c r="G549" s="1">
        <v>45117</v>
      </c>
      <c r="H549">
        <v>81934.55</v>
      </c>
      <c r="I549" t="s">
        <v>155</v>
      </c>
      <c r="J549">
        <v>-7418652056</v>
      </c>
      <c r="K549" t="s">
        <v>41</v>
      </c>
      <c r="L549" t="b">
        <v>0</v>
      </c>
      <c r="P549" t="str">
        <f>TRIM(Before_Tbl[[#This Row],[Employee_ID]])</f>
        <v>EMP1547</v>
      </c>
      <c r="Q549" t="str">
        <f>TRIM(PROPER(Before_Tbl[[#This Row],[First_Name]]))</f>
        <v>Eva</v>
      </c>
      <c r="R549" t="str">
        <f>TRIM(PROPER(Before_Tbl[[#This Row],[Last_Name]]))</f>
        <v>Brown</v>
      </c>
      <c r="S549" s="25">
        <f t="shared" si="8"/>
        <v>30</v>
      </c>
      <c r="T549" t="str">
        <f>LEFT(Before_Tbl[[#This Row],[Department_Region]],FIND("-",Before_Tbl[[#This Row],[Department_Region]])-1)</f>
        <v>Sales</v>
      </c>
      <c r="U549" t="str">
        <f>RIGHT(Before_Tbl[[#This Row],[Department_Region]],LEN(Before_Tbl[[#This Row],[Department_Region]])-FIND("-",Before_Tbl[[#This Row],[Department_Region]]))</f>
        <v>New York</v>
      </c>
      <c r="V549" t="str">
        <f>TRIM(PROPER(Before_Tbl[[#This Row],[Status]]))</f>
        <v>Pending</v>
      </c>
      <c r="W549" s="26">
        <v>45117</v>
      </c>
      <c r="X549" s="4">
        <v>81934.55</v>
      </c>
      <c r="Y549" t="str">
        <f>TRIM(LOWER(Before_Tbl[[#This Row],[Email]]))</f>
        <v>eva.brown@example.com</v>
      </c>
      <c r="Z549" s="2" t="str">
        <f>SUBSTITUTE(Before_Tbl[[#This Row],[Phone]],"-","")</f>
        <v>7418652056</v>
      </c>
      <c r="AA549" t="str">
        <f>TRIM(PROPER(Before_Tbl[[#This Row],[Performance_Score]]))</f>
        <v>Poor</v>
      </c>
      <c r="AB549" s="2" t="str">
        <f>TRIM(UPPER(Before_Tbl[[#This Row],[Remote_Work]]))</f>
        <v>FALSE</v>
      </c>
    </row>
    <row r="550" spans="1:28" x14ac:dyDescent="0.35">
      <c r="A550" t="s">
        <v>971</v>
      </c>
      <c r="B550" t="s">
        <v>25</v>
      </c>
      <c r="C550" t="s">
        <v>55</v>
      </c>
      <c r="D550">
        <v>30</v>
      </c>
      <c r="E550" t="s">
        <v>70</v>
      </c>
      <c r="F550" t="s">
        <v>28</v>
      </c>
      <c r="G550" t="s">
        <v>959</v>
      </c>
      <c r="H550">
        <v>93383.06</v>
      </c>
      <c r="I550" t="s">
        <v>150</v>
      </c>
      <c r="J550">
        <v>-5639836519</v>
      </c>
      <c r="K550" t="s">
        <v>18</v>
      </c>
      <c r="L550" t="b">
        <v>0</v>
      </c>
      <c r="P550" t="str">
        <f>TRIM(Before_Tbl[[#This Row],[Employee_ID]])</f>
        <v>EMP1548</v>
      </c>
      <c r="Q550" t="str">
        <f>TRIM(PROPER(Before_Tbl[[#This Row],[First_Name]]))</f>
        <v>Alice</v>
      </c>
      <c r="R550" t="str">
        <f>TRIM(PROPER(Before_Tbl[[#This Row],[Last_Name]]))</f>
        <v>Johnson</v>
      </c>
      <c r="S550" s="25">
        <f t="shared" si="8"/>
        <v>30</v>
      </c>
      <c r="T550" t="str">
        <f>LEFT(Before_Tbl[[#This Row],[Department_Region]],FIND("-",Before_Tbl[[#This Row],[Department_Region]])-1)</f>
        <v>Finance</v>
      </c>
      <c r="U550" t="str">
        <f>RIGHT(Before_Tbl[[#This Row],[Department_Region]],LEN(Before_Tbl[[#This Row],[Department_Region]])-FIND("-",Before_Tbl[[#This Row],[Department_Region]]))</f>
        <v>California</v>
      </c>
      <c r="V550" t="str">
        <f>TRIM(PROPER(Before_Tbl[[#This Row],[Status]]))</f>
        <v>Pending</v>
      </c>
      <c r="W550" s="26">
        <v>45402</v>
      </c>
      <c r="X550" s="4">
        <v>93383.06</v>
      </c>
      <c r="Y550" t="str">
        <f>TRIM(LOWER(Before_Tbl[[#This Row],[Email]]))</f>
        <v>alice.johnson@example.com</v>
      </c>
      <c r="Z550" s="2" t="str">
        <f>SUBSTITUTE(Before_Tbl[[#This Row],[Phone]],"-","")</f>
        <v>5639836519</v>
      </c>
      <c r="AA550" t="str">
        <f>TRIM(PROPER(Before_Tbl[[#This Row],[Performance_Score]]))</f>
        <v>Average</v>
      </c>
      <c r="AB550" s="2" t="str">
        <f>TRIM(UPPER(Before_Tbl[[#This Row],[Remote_Work]]))</f>
        <v>FALSE</v>
      </c>
    </row>
    <row r="551" spans="1:28" x14ac:dyDescent="0.35">
      <c r="A551" t="s">
        <v>972</v>
      </c>
      <c r="B551" t="s">
        <v>37</v>
      </c>
      <c r="C551" t="s">
        <v>14</v>
      </c>
      <c r="D551">
        <v>40</v>
      </c>
      <c r="E551" t="s">
        <v>159</v>
      </c>
      <c r="F551" t="s">
        <v>28</v>
      </c>
      <c r="G551" t="s">
        <v>973</v>
      </c>
      <c r="H551">
        <v>50153.79</v>
      </c>
      <c r="I551" t="s">
        <v>52</v>
      </c>
      <c r="J551">
        <v>-3758309450</v>
      </c>
      <c r="K551" t="s">
        <v>30</v>
      </c>
      <c r="L551" t="b">
        <v>1</v>
      </c>
      <c r="P551" t="str">
        <f>TRIM(Before_Tbl[[#This Row],[Employee_ID]])</f>
        <v>EMP1549</v>
      </c>
      <c r="Q551" t="str">
        <f>TRIM(PROPER(Before_Tbl[[#This Row],[First_Name]]))</f>
        <v>Frank</v>
      </c>
      <c r="R551" t="str">
        <f>TRIM(PROPER(Before_Tbl[[#This Row],[Last_Name]]))</f>
        <v>Davis</v>
      </c>
      <c r="S551" s="25">
        <f t="shared" si="8"/>
        <v>40</v>
      </c>
      <c r="T551" t="str">
        <f>LEFT(Before_Tbl[[#This Row],[Department_Region]],FIND("-",Before_Tbl[[#This Row],[Department_Region]])-1)</f>
        <v>Cloud Tech</v>
      </c>
      <c r="U551" t="str">
        <f>RIGHT(Before_Tbl[[#This Row],[Department_Region]],LEN(Before_Tbl[[#This Row],[Department_Region]])-FIND("-",Before_Tbl[[#This Row],[Department_Region]]))</f>
        <v>Texas</v>
      </c>
      <c r="V551" t="str">
        <f>TRIM(PROPER(Before_Tbl[[#This Row],[Status]]))</f>
        <v>Pending</v>
      </c>
      <c r="W551" s="26">
        <v>44285</v>
      </c>
      <c r="X551" s="4">
        <v>50153.79</v>
      </c>
      <c r="Y551" t="str">
        <f>TRIM(LOWER(Before_Tbl[[#This Row],[Email]]))</f>
        <v>frank.davis@example.com</v>
      </c>
      <c r="Z551" s="2" t="str">
        <f>SUBSTITUTE(Before_Tbl[[#This Row],[Phone]],"-","")</f>
        <v>3758309450</v>
      </c>
      <c r="AA551" t="str">
        <f>TRIM(PROPER(Before_Tbl[[#This Row],[Performance_Score]]))</f>
        <v>Good</v>
      </c>
      <c r="AB551" s="2" t="str">
        <f>TRIM(UPPER(Before_Tbl[[#This Row],[Remote_Work]]))</f>
        <v>TRUE</v>
      </c>
    </row>
    <row r="552" spans="1:28" x14ac:dyDescent="0.35">
      <c r="A552" t="s">
        <v>974</v>
      </c>
      <c r="B552" t="s">
        <v>32</v>
      </c>
      <c r="C552" t="s">
        <v>122</v>
      </c>
      <c r="E552" t="s">
        <v>177</v>
      </c>
      <c r="F552" t="s">
        <v>28</v>
      </c>
      <c r="G552" s="1">
        <v>43959</v>
      </c>
      <c r="H552">
        <v>53204.47</v>
      </c>
      <c r="I552" t="s">
        <v>522</v>
      </c>
      <c r="J552">
        <v>-5480940475</v>
      </c>
      <c r="K552" t="s">
        <v>30</v>
      </c>
      <c r="L552" t="b">
        <v>0</v>
      </c>
      <c r="P552" t="str">
        <f>TRIM(Before_Tbl[[#This Row],[Employee_ID]])</f>
        <v>EMP1550</v>
      </c>
      <c r="Q552" t="str">
        <f>TRIM(PROPER(Before_Tbl[[#This Row],[First_Name]]))</f>
        <v>Eva</v>
      </c>
      <c r="R552" t="str">
        <f>TRIM(PROPER(Before_Tbl[[#This Row],[Last_Name]]))</f>
        <v>Smith</v>
      </c>
      <c r="S552" s="25">
        <f t="shared" si="8"/>
        <v>30</v>
      </c>
      <c r="T552" t="str">
        <f>LEFT(Before_Tbl[[#This Row],[Department_Region]],FIND("-",Before_Tbl[[#This Row],[Department_Region]])-1)</f>
        <v>Sales</v>
      </c>
      <c r="U552" t="str">
        <f>RIGHT(Before_Tbl[[#This Row],[Department_Region]],LEN(Before_Tbl[[#This Row],[Department_Region]])-FIND("-",Before_Tbl[[#This Row],[Department_Region]]))</f>
        <v>California</v>
      </c>
      <c r="V552" t="str">
        <f>TRIM(PROPER(Before_Tbl[[#This Row],[Status]]))</f>
        <v>Pending</v>
      </c>
      <c r="W552" s="26">
        <v>43959</v>
      </c>
      <c r="X552" s="4">
        <v>53204.47</v>
      </c>
      <c r="Y552" t="str">
        <f>TRIM(LOWER(Before_Tbl[[#This Row],[Email]]))</f>
        <v>eva.smith@example.com</v>
      </c>
      <c r="Z552" s="2" t="str">
        <f>SUBSTITUTE(Before_Tbl[[#This Row],[Phone]],"-","")</f>
        <v>5480940475</v>
      </c>
      <c r="AA552" t="str">
        <f>TRIM(PROPER(Before_Tbl[[#This Row],[Performance_Score]]))</f>
        <v>Good</v>
      </c>
      <c r="AB552" s="2" t="str">
        <f>TRIM(UPPER(Before_Tbl[[#This Row],[Remote_Work]]))</f>
        <v>FALSE</v>
      </c>
    </row>
    <row r="553" spans="1:28" x14ac:dyDescent="0.35">
      <c r="A553" t="s">
        <v>975</v>
      </c>
      <c r="B553" t="s">
        <v>54</v>
      </c>
      <c r="C553" t="s">
        <v>20</v>
      </c>
      <c r="D553">
        <v>40</v>
      </c>
      <c r="E553" t="s">
        <v>268</v>
      </c>
      <c r="F553" t="s">
        <v>28</v>
      </c>
      <c r="G553" s="1">
        <v>44318</v>
      </c>
      <c r="H553">
        <v>63128.04</v>
      </c>
      <c r="I553" t="s">
        <v>125</v>
      </c>
      <c r="J553">
        <v>-440907976</v>
      </c>
      <c r="K553" t="s">
        <v>41</v>
      </c>
      <c r="L553" t="b">
        <v>0</v>
      </c>
      <c r="P553" t="str">
        <f>TRIM(Before_Tbl[[#This Row],[Employee_ID]])</f>
        <v>EMP1551</v>
      </c>
      <c r="Q553" t="str">
        <f>TRIM(PROPER(Before_Tbl[[#This Row],[First_Name]]))</f>
        <v>Charlie</v>
      </c>
      <c r="R553" t="str">
        <f>TRIM(PROPER(Before_Tbl[[#This Row],[Last_Name]]))</f>
        <v>Brown</v>
      </c>
      <c r="S553" s="25">
        <f t="shared" si="8"/>
        <v>40</v>
      </c>
      <c r="T553" t="str">
        <f>LEFT(Before_Tbl[[#This Row],[Department_Region]],FIND("-",Before_Tbl[[#This Row],[Department_Region]])-1)</f>
        <v>Cloud Tech</v>
      </c>
      <c r="U553" t="str">
        <f>RIGHT(Before_Tbl[[#This Row],[Department_Region]],LEN(Before_Tbl[[#This Row],[Department_Region]])-FIND("-",Before_Tbl[[#This Row],[Department_Region]]))</f>
        <v>California</v>
      </c>
      <c r="V553" t="str">
        <f>TRIM(PROPER(Before_Tbl[[#This Row],[Status]]))</f>
        <v>Pending</v>
      </c>
      <c r="W553" s="26">
        <v>44318</v>
      </c>
      <c r="X553" s="4">
        <v>63128.04</v>
      </c>
      <c r="Y553" t="str">
        <f>TRIM(LOWER(Before_Tbl[[#This Row],[Email]]))</f>
        <v>charlie.brown@example.com</v>
      </c>
      <c r="Z553" s="2" t="str">
        <f>SUBSTITUTE(Before_Tbl[[#This Row],[Phone]],"-","")</f>
        <v>440907976</v>
      </c>
      <c r="AA553" t="str">
        <f>TRIM(PROPER(Before_Tbl[[#This Row],[Performance_Score]]))</f>
        <v>Poor</v>
      </c>
      <c r="AB553" s="2" t="str">
        <f>TRIM(UPPER(Before_Tbl[[#This Row],[Remote_Work]]))</f>
        <v>FALSE</v>
      </c>
    </row>
    <row r="554" spans="1:28" x14ac:dyDescent="0.35">
      <c r="A554" t="s">
        <v>976</v>
      </c>
      <c r="B554" t="s">
        <v>69</v>
      </c>
      <c r="C554" t="s">
        <v>26</v>
      </c>
      <c r="D554">
        <v>30</v>
      </c>
      <c r="E554" t="s">
        <v>227</v>
      </c>
      <c r="F554" t="s">
        <v>28</v>
      </c>
      <c r="G554" t="s">
        <v>977</v>
      </c>
      <c r="H554">
        <v>57543.6</v>
      </c>
      <c r="I554" t="s">
        <v>76</v>
      </c>
      <c r="J554">
        <v>-2781050921</v>
      </c>
      <c r="K554" t="s">
        <v>30</v>
      </c>
      <c r="L554" t="b">
        <v>1</v>
      </c>
      <c r="P554" t="str">
        <f>TRIM(Before_Tbl[[#This Row],[Employee_ID]])</f>
        <v>EMP1552</v>
      </c>
      <c r="Q554" t="str">
        <f>TRIM(PROPER(Before_Tbl[[#This Row],[First_Name]]))</f>
        <v>Grace</v>
      </c>
      <c r="R554" t="str">
        <f>TRIM(PROPER(Before_Tbl[[#This Row],[Last_Name]]))</f>
        <v>Jones</v>
      </c>
      <c r="S554" s="25">
        <f t="shared" si="8"/>
        <v>30</v>
      </c>
      <c r="T554" t="str">
        <f>LEFT(Before_Tbl[[#This Row],[Department_Region]],FIND("-",Before_Tbl[[#This Row],[Department_Region]])-1)</f>
        <v>Finance</v>
      </c>
      <c r="U554" t="str">
        <f>RIGHT(Before_Tbl[[#This Row],[Department_Region]],LEN(Before_Tbl[[#This Row],[Department_Region]])-FIND("-",Before_Tbl[[#This Row],[Department_Region]]))</f>
        <v>New York</v>
      </c>
      <c r="V554" t="str">
        <f>TRIM(PROPER(Before_Tbl[[#This Row],[Status]]))</f>
        <v>Pending</v>
      </c>
      <c r="W554" s="26">
        <v>44523</v>
      </c>
      <c r="X554" s="4">
        <v>57543.6</v>
      </c>
      <c r="Y554" t="str">
        <f>TRIM(LOWER(Before_Tbl[[#This Row],[Email]]))</f>
        <v>grace.jones@example.com</v>
      </c>
      <c r="Z554" s="2" t="str">
        <f>SUBSTITUTE(Before_Tbl[[#This Row],[Phone]],"-","")</f>
        <v>2781050921</v>
      </c>
      <c r="AA554" t="str">
        <f>TRIM(PROPER(Before_Tbl[[#This Row],[Performance_Score]]))</f>
        <v>Good</v>
      </c>
      <c r="AB554" s="2" t="str">
        <f>TRIM(UPPER(Before_Tbl[[#This Row],[Remote_Work]]))</f>
        <v>TRUE</v>
      </c>
    </row>
    <row r="555" spans="1:28" x14ac:dyDescent="0.35">
      <c r="A555" t="s">
        <v>978</v>
      </c>
      <c r="B555" t="s">
        <v>13</v>
      </c>
      <c r="C555" t="s">
        <v>20</v>
      </c>
      <c r="D555">
        <v>40</v>
      </c>
      <c r="E555" t="s">
        <v>100</v>
      </c>
      <c r="F555" t="s">
        <v>28</v>
      </c>
      <c r="G555" t="s">
        <v>979</v>
      </c>
      <c r="H555">
        <v>59424.52</v>
      </c>
      <c r="I555" t="s">
        <v>22</v>
      </c>
      <c r="J555">
        <v>-2161070517</v>
      </c>
      <c r="K555" t="s">
        <v>30</v>
      </c>
      <c r="L555" t="b">
        <v>0</v>
      </c>
      <c r="P555" t="str">
        <f>TRIM(Before_Tbl[[#This Row],[Employee_ID]])</f>
        <v>EMP1553</v>
      </c>
      <c r="Q555" t="str">
        <f>TRIM(PROPER(Before_Tbl[[#This Row],[First_Name]]))</f>
        <v>Bob</v>
      </c>
      <c r="R555" t="str">
        <f>TRIM(PROPER(Before_Tbl[[#This Row],[Last_Name]]))</f>
        <v>Brown</v>
      </c>
      <c r="S555" s="25">
        <f t="shared" si="8"/>
        <v>40</v>
      </c>
      <c r="T555" t="str">
        <f>LEFT(Before_Tbl[[#This Row],[Department_Region]],FIND("-",Before_Tbl[[#This Row],[Department_Region]])-1)</f>
        <v>Finance</v>
      </c>
      <c r="U555" t="str">
        <f>RIGHT(Before_Tbl[[#This Row],[Department_Region]],LEN(Before_Tbl[[#This Row],[Department_Region]])-FIND("-",Before_Tbl[[#This Row],[Department_Region]]))</f>
        <v>Nevada</v>
      </c>
      <c r="V555" t="str">
        <f>TRIM(PROPER(Before_Tbl[[#This Row],[Status]]))</f>
        <v>Pending</v>
      </c>
      <c r="W555" s="26">
        <v>44863</v>
      </c>
      <c r="X555" s="4">
        <v>59424.52</v>
      </c>
      <c r="Y555" t="str">
        <f>TRIM(LOWER(Before_Tbl[[#This Row],[Email]]))</f>
        <v>bob.brown@example.com</v>
      </c>
      <c r="Z555" s="2" t="str">
        <f>SUBSTITUTE(Before_Tbl[[#This Row],[Phone]],"-","")</f>
        <v>2161070517</v>
      </c>
      <c r="AA555" t="str">
        <f>TRIM(PROPER(Before_Tbl[[#This Row],[Performance_Score]]))</f>
        <v>Good</v>
      </c>
      <c r="AB555" s="2" t="str">
        <f>TRIM(UPPER(Before_Tbl[[#This Row],[Remote_Work]]))</f>
        <v>FALSE</v>
      </c>
    </row>
    <row r="556" spans="1:28" x14ac:dyDescent="0.35">
      <c r="A556" t="s">
        <v>980</v>
      </c>
      <c r="B556" t="s">
        <v>25</v>
      </c>
      <c r="C556" t="s">
        <v>122</v>
      </c>
      <c r="E556" t="s">
        <v>265</v>
      </c>
      <c r="F556" t="s">
        <v>33</v>
      </c>
      <c r="G556" s="1">
        <v>44753</v>
      </c>
      <c r="H556">
        <v>104675.7</v>
      </c>
      <c r="I556" t="s">
        <v>182</v>
      </c>
      <c r="J556">
        <v>-4390552957</v>
      </c>
      <c r="K556" t="s">
        <v>41</v>
      </c>
      <c r="L556" t="b">
        <v>1</v>
      </c>
      <c r="P556" t="str">
        <f>TRIM(Before_Tbl[[#This Row],[Employee_ID]])</f>
        <v>EMP1554</v>
      </c>
      <c r="Q556" t="str">
        <f>TRIM(PROPER(Before_Tbl[[#This Row],[First_Name]]))</f>
        <v>Alice</v>
      </c>
      <c r="R556" t="str">
        <f>TRIM(PROPER(Before_Tbl[[#This Row],[Last_Name]]))</f>
        <v>Smith</v>
      </c>
      <c r="S556" s="25">
        <f t="shared" si="8"/>
        <v>30</v>
      </c>
      <c r="T556" t="str">
        <f>LEFT(Before_Tbl[[#This Row],[Department_Region]],FIND("-",Before_Tbl[[#This Row],[Department_Region]])-1)</f>
        <v>Finance</v>
      </c>
      <c r="U556" t="str">
        <f>RIGHT(Before_Tbl[[#This Row],[Department_Region]],LEN(Before_Tbl[[#This Row],[Department_Region]])-FIND("-",Before_Tbl[[#This Row],[Department_Region]]))</f>
        <v>Illinois</v>
      </c>
      <c r="V556" t="str">
        <f>TRIM(PROPER(Before_Tbl[[#This Row],[Status]]))</f>
        <v>Inactive</v>
      </c>
      <c r="W556" s="26">
        <v>44753</v>
      </c>
      <c r="X556" s="4">
        <v>104675.7</v>
      </c>
      <c r="Y556" t="str">
        <f>TRIM(LOWER(Before_Tbl[[#This Row],[Email]]))</f>
        <v>alice.smith@example.com</v>
      </c>
      <c r="Z556" s="2" t="str">
        <f>SUBSTITUTE(Before_Tbl[[#This Row],[Phone]],"-","")</f>
        <v>4390552957</v>
      </c>
      <c r="AA556" t="str">
        <f>TRIM(PROPER(Before_Tbl[[#This Row],[Performance_Score]]))</f>
        <v>Poor</v>
      </c>
      <c r="AB556" s="2" t="str">
        <f>TRIM(UPPER(Before_Tbl[[#This Row],[Remote_Work]]))</f>
        <v>TRUE</v>
      </c>
    </row>
    <row r="557" spans="1:28" x14ac:dyDescent="0.35">
      <c r="A557" t="s">
        <v>981</v>
      </c>
      <c r="B557" t="s">
        <v>54</v>
      </c>
      <c r="C557" t="s">
        <v>43</v>
      </c>
      <c r="D557">
        <v>30</v>
      </c>
      <c r="E557" t="s">
        <v>39</v>
      </c>
      <c r="F557" t="s">
        <v>28</v>
      </c>
      <c r="G557" t="s">
        <v>982</v>
      </c>
      <c r="H557">
        <v>92431.25</v>
      </c>
      <c r="I557" t="s">
        <v>87</v>
      </c>
      <c r="J557">
        <v>-660138240</v>
      </c>
      <c r="K557" t="s">
        <v>18</v>
      </c>
      <c r="L557" t="b">
        <v>0</v>
      </c>
      <c r="P557" t="str">
        <f>TRIM(Before_Tbl[[#This Row],[Employee_ID]])</f>
        <v>EMP1555</v>
      </c>
      <c r="Q557" t="str">
        <f>TRIM(PROPER(Before_Tbl[[#This Row],[First_Name]]))</f>
        <v>Charlie</v>
      </c>
      <c r="R557" t="str">
        <f>TRIM(PROPER(Before_Tbl[[#This Row],[Last_Name]]))</f>
        <v>Garcia</v>
      </c>
      <c r="S557" s="25">
        <f t="shared" si="8"/>
        <v>30</v>
      </c>
      <c r="T557" t="str">
        <f>LEFT(Before_Tbl[[#This Row],[Department_Region]],FIND("-",Before_Tbl[[#This Row],[Department_Region]])-1)</f>
        <v>Cloud Tech</v>
      </c>
      <c r="U557" t="str">
        <f>RIGHT(Before_Tbl[[#This Row],[Department_Region]],LEN(Before_Tbl[[#This Row],[Department_Region]])-FIND("-",Before_Tbl[[#This Row],[Department_Region]]))</f>
        <v>Florida</v>
      </c>
      <c r="V557" t="str">
        <f>TRIM(PROPER(Before_Tbl[[#This Row],[Status]]))</f>
        <v>Pending</v>
      </c>
      <c r="W557" s="26">
        <v>45060</v>
      </c>
      <c r="X557" s="4">
        <v>92431.25</v>
      </c>
      <c r="Y557" t="str">
        <f>TRIM(LOWER(Before_Tbl[[#This Row],[Email]]))</f>
        <v>charlie.garcia@example.com</v>
      </c>
      <c r="Z557" s="2" t="str">
        <f>SUBSTITUTE(Before_Tbl[[#This Row],[Phone]],"-","")</f>
        <v>660138240</v>
      </c>
      <c r="AA557" t="str">
        <f>TRIM(PROPER(Before_Tbl[[#This Row],[Performance_Score]]))</f>
        <v>Average</v>
      </c>
      <c r="AB557" s="2" t="str">
        <f>TRIM(UPPER(Before_Tbl[[#This Row],[Remote_Work]]))</f>
        <v>FALSE</v>
      </c>
    </row>
    <row r="558" spans="1:28" x14ac:dyDescent="0.35">
      <c r="A558" t="s">
        <v>983</v>
      </c>
      <c r="B558" t="s">
        <v>69</v>
      </c>
      <c r="C558" t="s">
        <v>43</v>
      </c>
      <c r="D558">
        <v>40</v>
      </c>
      <c r="E558" t="s">
        <v>219</v>
      </c>
      <c r="F558" t="s">
        <v>16</v>
      </c>
      <c r="G558" t="s">
        <v>984</v>
      </c>
      <c r="H558">
        <v>77850.899999999994</v>
      </c>
      <c r="I558" t="s">
        <v>83</v>
      </c>
      <c r="J558">
        <v>-2704938619</v>
      </c>
      <c r="K558" t="s">
        <v>18</v>
      </c>
      <c r="L558" t="b">
        <v>1</v>
      </c>
      <c r="P558" t="str">
        <f>TRIM(Before_Tbl[[#This Row],[Employee_ID]])</f>
        <v>EMP1556</v>
      </c>
      <c r="Q558" t="str">
        <f>TRIM(PROPER(Before_Tbl[[#This Row],[First_Name]]))</f>
        <v>Grace</v>
      </c>
      <c r="R558" t="str">
        <f>TRIM(PROPER(Before_Tbl[[#This Row],[Last_Name]]))</f>
        <v>Garcia</v>
      </c>
      <c r="S558" s="25">
        <f t="shared" si="8"/>
        <v>40</v>
      </c>
      <c r="T558" t="str">
        <f>LEFT(Before_Tbl[[#This Row],[Department_Region]],FIND("-",Before_Tbl[[#This Row],[Department_Region]])-1)</f>
        <v>Sales</v>
      </c>
      <c r="U558" t="str">
        <f>RIGHT(Before_Tbl[[#This Row],[Department_Region]],LEN(Before_Tbl[[#This Row],[Department_Region]])-FIND("-",Before_Tbl[[#This Row],[Department_Region]]))</f>
        <v>Nevada</v>
      </c>
      <c r="V558" t="str">
        <f>TRIM(PROPER(Before_Tbl[[#This Row],[Status]]))</f>
        <v>Active</v>
      </c>
      <c r="W558" s="26">
        <v>44391</v>
      </c>
      <c r="X558" s="4">
        <v>77850.899999999994</v>
      </c>
      <c r="Y558" t="str">
        <f>TRIM(LOWER(Before_Tbl[[#This Row],[Email]]))</f>
        <v>grace.garcia@example.com</v>
      </c>
      <c r="Z558" s="2" t="str">
        <f>SUBSTITUTE(Before_Tbl[[#This Row],[Phone]],"-","")</f>
        <v>2704938619</v>
      </c>
      <c r="AA558" t="str">
        <f>TRIM(PROPER(Before_Tbl[[#This Row],[Performance_Score]]))</f>
        <v>Average</v>
      </c>
      <c r="AB558" s="2" t="str">
        <f>TRIM(UPPER(Before_Tbl[[#This Row],[Remote_Work]]))</f>
        <v>TRUE</v>
      </c>
    </row>
    <row r="559" spans="1:28" x14ac:dyDescent="0.35">
      <c r="A559" t="s">
        <v>985</v>
      </c>
      <c r="B559" t="s">
        <v>32</v>
      </c>
      <c r="C559" t="s">
        <v>92</v>
      </c>
      <c r="D559">
        <v>40</v>
      </c>
      <c r="E559" t="s">
        <v>196</v>
      </c>
      <c r="F559" t="s">
        <v>33</v>
      </c>
      <c r="G559" t="s">
        <v>986</v>
      </c>
      <c r="H559">
        <v>99001</v>
      </c>
      <c r="I559" t="s">
        <v>263</v>
      </c>
      <c r="J559">
        <v>-4485157918</v>
      </c>
      <c r="K559" t="s">
        <v>30</v>
      </c>
      <c r="L559" t="b">
        <v>1</v>
      </c>
      <c r="P559" t="str">
        <f>TRIM(Before_Tbl[[#This Row],[Employee_ID]])</f>
        <v>EMP1557</v>
      </c>
      <c r="Q559" t="str">
        <f>TRIM(PROPER(Before_Tbl[[#This Row],[First_Name]]))</f>
        <v>Eva</v>
      </c>
      <c r="R559" t="str">
        <f>TRIM(PROPER(Before_Tbl[[#This Row],[Last_Name]]))</f>
        <v>Miller</v>
      </c>
      <c r="S559" s="25">
        <f t="shared" si="8"/>
        <v>40</v>
      </c>
      <c r="T559" t="str">
        <f>LEFT(Before_Tbl[[#This Row],[Department_Region]],FIND("-",Before_Tbl[[#This Row],[Department_Region]])-1)</f>
        <v>Admin</v>
      </c>
      <c r="U559" t="str">
        <f>RIGHT(Before_Tbl[[#This Row],[Department_Region]],LEN(Before_Tbl[[#This Row],[Department_Region]])-FIND("-",Before_Tbl[[#This Row],[Department_Region]]))</f>
        <v>New York</v>
      </c>
      <c r="V559" t="str">
        <f>TRIM(PROPER(Before_Tbl[[#This Row],[Status]]))</f>
        <v>Inactive</v>
      </c>
      <c r="W559" s="26">
        <v>45064</v>
      </c>
      <c r="X559" s="4">
        <v>99001</v>
      </c>
      <c r="Y559" t="str">
        <f>TRIM(LOWER(Before_Tbl[[#This Row],[Email]]))</f>
        <v>eva.miller@example.com</v>
      </c>
      <c r="Z559" s="2" t="str">
        <f>SUBSTITUTE(Before_Tbl[[#This Row],[Phone]],"-","")</f>
        <v>4485157918</v>
      </c>
      <c r="AA559" t="str">
        <f>TRIM(PROPER(Before_Tbl[[#This Row],[Performance_Score]]))</f>
        <v>Good</v>
      </c>
      <c r="AB559" s="2" t="str">
        <f>TRIM(UPPER(Before_Tbl[[#This Row],[Remote_Work]]))</f>
        <v>TRUE</v>
      </c>
    </row>
    <row r="560" spans="1:28" x14ac:dyDescent="0.35">
      <c r="A560" t="s">
        <v>987</v>
      </c>
      <c r="B560" t="s">
        <v>32</v>
      </c>
      <c r="C560" t="s">
        <v>43</v>
      </c>
      <c r="E560" t="s">
        <v>149</v>
      </c>
      <c r="F560" t="s">
        <v>28</v>
      </c>
      <c r="G560" s="1">
        <v>45109</v>
      </c>
      <c r="H560">
        <v>94280.83</v>
      </c>
      <c r="I560" t="s">
        <v>297</v>
      </c>
      <c r="J560">
        <v>-7111212589</v>
      </c>
      <c r="K560" t="s">
        <v>30</v>
      </c>
      <c r="L560" t="b">
        <v>1</v>
      </c>
      <c r="P560" t="str">
        <f>TRIM(Before_Tbl[[#This Row],[Employee_ID]])</f>
        <v>EMP1558</v>
      </c>
      <c r="Q560" t="str">
        <f>TRIM(PROPER(Before_Tbl[[#This Row],[First_Name]]))</f>
        <v>Eva</v>
      </c>
      <c r="R560" t="str">
        <f>TRIM(PROPER(Before_Tbl[[#This Row],[Last_Name]]))</f>
        <v>Garcia</v>
      </c>
      <c r="S560" s="25">
        <f t="shared" si="8"/>
        <v>30</v>
      </c>
      <c r="T560" t="str">
        <f>LEFT(Before_Tbl[[#This Row],[Department_Region]],FIND("-",Before_Tbl[[#This Row],[Department_Region]])-1)</f>
        <v>HR</v>
      </c>
      <c r="U560" t="str">
        <f>RIGHT(Before_Tbl[[#This Row],[Department_Region]],LEN(Before_Tbl[[#This Row],[Department_Region]])-FIND("-",Before_Tbl[[#This Row],[Department_Region]]))</f>
        <v>Nevada</v>
      </c>
      <c r="V560" t="str">
        <f>TRIM(PROPER(Before_Tbl[[#This Row],[Status]]))</f>
        <v>Pending</v>
      </c>
      <c r="W560" s="26">
        <v>45109</v>
      </c>
      <c r="X560" s="4">
        <v>94280.83</v>
      </c>
      <c r="Y560" t="str">
        <f>TRIM(LOWER(Before_Tbl[[#This Row],[Email]]))</f>
        <v>eva.garcia@example.com</v>
      </c>
      <c r="Z560" s="2" t="str">
        <f>SUBSTITUTE(Before_Tbl[[#This Row],[Phone]],"-","")</f>
        <v>7111212589</v>
      </c>
      <c r="AA560" t="str">
        <f>TRIM(PROPER(Before_Tbl[[#This Row],[Performance_Score]]))</f>
        <v>Good</v>
      </c>
      <c r="AB560" s="2" t="str">
        <f>TRIM(UPPER(Before_Tbl[[#This Row],[Remote_Work]]))</f>
        <v>TRUE</v>
      </c>
    </row>
    <row r="561" spans="1:28" x14ac:dyDescent="0.35">
      <c r="A561" t="s">
        <v>988</v>
      </c>
      <c r="B561" t="s">
        <v>32</v>
      </c>
      <c r="C561" t="s">
        <v>92</v>
      </c>
      <c r="D561">
        <v>35</v>
      </c>
      <c r="E561" t="s">
        <v>56</v>
      </c>
      <c r="F561" t="s">
        <v>28</v>
      </c>
      <c r="G561" t="s">
        <v>989</v>
      </c>
      <c r="H561">
        <v>118262.56</v>
      </c>
      <c r="I561" t="s">
        <v>263</v>
      </c>
      <c r="J561">
        <v>-2035713431</v>
      </c>
      <c r="K561" t="s">
        <v>18</v>
      </c>
      <c r="L561" t="b">
        <v>1</v>
      </c>
      <c r="P561" t="str">
        <f>TRIM(Before_Tbl[[#This Row],[Employee_ID]])</f>
        <v>EMP1559</v>
      </c>
      <c r="Q561" t="str">
        <f>TRIM(PROPER(Before_Tbl[[#This Row],[First_Name]]))</f>
        <v>Eva</v>
      </c>
      <c r="R561" t="str">
        <f>TRIM(PROPER(Before_Tbl[[#This Row],[Last_Name]]))</f>
        <v>Miller</v>
      </c>
      <c r="S561" s="25">
        <f t="shared" si="8"/>
        <v>35</v>
      </c>
      <c r="T561" t="str">
        <f>LEFT(Before_Tbl[[#This Row],[Department_Region]],FIND("-",Before_Tbl[[#This Row],[Department_Region]])-1)</f>
        <v>DevOps</v>
      </c>
      <c r="U561" t="str">
        <f>RIGHT(Before_Tbl[[#This Row],[Department_Region]],LEN(Before_Tbl[[#This Row],[Department_Region]])-FIND("-",Before_Tbl[[#This Row],[Department_Region]]))</f>
        <v>New York</v>
      </c>
      <c r="V561" t="str">
        <f>TRIM(PROPER(Before_Tbl[[#This Row],[Status]]))</f>
        <v>Pending</v>
      </c>
      <c r="W561" s="26">
        <v>45162</v>
      </c>
      <c r="X561" s="4">
        <v>118262.56</v>
      </c>
      <c r="Y561" t="str">
        <f>TRIM(LOWER(Before_Tbl[[#This Row],[Email]]))</f>
        <v>eva.miller@example.com</v>
      </c>
      <c r="Z561" s="2" t="str">
        <f>SUBSTITUTE(Before_Tbl[[#This Row],[Phone]],"-","")</f>
        <v>2035713431</v>
      </c>
      <c r="AA561" t="str">
        <f>TRIM(PROPER(Before_Tbl[[#This Row],[Performance_Score]]))</f>
        <v>Average</v>
      </c>
      <c r="AB561" s="2" t="str">
        <f>TRIM(UPPER(Before_Tbl[[#This Row],[Remote_Work]]))</f>
        <v>TRUE</v>
      </c>
    </row>
    <row r="562" spans="1:28" x14ac:dyDescent="0.35">
      <c r="A562" t="s">
        <v>990</v>
      </c>
      <c r="B562" t="s">
        <v>37</v>
      </c>
      <c r="C562" t="s">
        <v>20</v>
      </c>
      <c r="D562">
        <v>25</v>
      </c>
      <c r="E562" t="s">
        <v>192</v>
      </c>
      <c r="F562" t="s">
        <v>33</v>
      </c>
      <c r="G562" s="1">
        <v>45142</v>
      </c>
      <c r="H562">
        <v>89944.67</v>
      </c>
      <c r="I562" t="s">
        <v>239</v>
      </c>
      <c r="J562">
        <v>-4064242955</v>
      </c>
      <c r="K562" t="s">
        <v>41</v>
      </c>
      <c r="L562" t="b">
        <v>0</v>
      </c>
      <c r="P562" t="str">
        <f>TRIM(Before_Tbl[[#This Row],[Employee_ID]])</f>
        <v>EMP1560</v>
      </c>
      <c r="Q562" t="str">
        <f>TRIM(PROPER(Before_Tbl[[#This Row],[First_Name]]))</f>
        <v>Frank</v>
      </c>
      <c r="R562" t="str">
        <f>TRIM(PROPER(Before_Tbl[[#This Row],[Last_Name]]))</f>
        <v>Brown</v>
      </c>
      <c r="S562" s="25">
        <f t="shared" si="8"/>
        <v>25</v>
      </c>
      <c r="T562" t="str">
        <f>LEFT(Before_Tbl[[#This Row],[Department_Region]],FIND("-",Before_Tbl[[#This Row],[Department_Region]])-1)</f>
        <v>HR</v>
      </c>
      <c r="U562" t="str">
        <f>RIGHT(Before_Tbl[[#This Row],[Department_Region]],LEN(Before_Tbl[[#This Row],[Department_Region]])-FIND("-",Before_Tbl[[#This Row],[Department_Region]]))</f>
        <v>Illinois</v>
      </c>
      <c r="V562" t="str">
        <f>TRIM(PROPER(Before_Tbl[[#This Row],[Status]]))</f>
        <v>Inactive</v>
      </c>
      <c r="W562" s="26">
        <v>45142</v>
      </c>
      <c r="X562" s="4">
        <v>89944.67</v>
      </c>
      <c r="Y562" t="str">
        <f>TRIM(LOWER(Before_Tbl[[#This Row],[Email]]))</f>
        <v>frank.brown@example.com</v>
      </c>
      <c r="Z562" s="2" t="str">
        <f>SUBSTITUTE(Before_Tbl[[#This Row],[Phone]],"-","")</f>
        <v>4064242955</v>
      </c>
      <c r="AA562" t="str">
        <f>TRIM(PROPER(Before_Tbl[[#This Row],[Performance_Score]]))</f>
        <v>Poor</v>
      </c>
      <c r="AB562" s="2" t="str">
        <f>TRIM(UPPER(Before_Tbl[[#This Row],[Remote_Work]]))</f>
        <v>FALSE</v>
      </c>
    </row>
    <row r="563" spans="1:28" x14ac:dyDescent="0.35">
      <c r="A563" t="s">
        <v>991</v>
      </c>
      <c r="B563" t="s">
        <v>69</v>
      </c>
      <c r="C563" t="s">
        <v>38</v>
      </c>
      <c r="E563" t="s">
        <v>212</v>
      </c>
      <c r="F563" t="s">
        <v>16</v>
      </c>
      <c r="G563" s="1">
        <v>44724</v>
      </c>
      <c r="H563">
        <v>57452.93</v>
      </c>
      <c r="I563" t="s">
        <v>71</v>
      </c>
      <c r="J563">
        <v>-3343244740</v>
      </c>
      <c r="K563" t="s">
        <v>30</v>
      </c>
      <c r="L563" t="b">
        <v>1</v>
      </c>
      <c r="P563" t="str">
        <f>TRIM(Before_Tbl[[#This Row],[Employee_ID]])</f>
        <v>EMP1561</v>
      </c>
      <c r="Q563" t="str">
        <f>TRIM(PROPER(Before_Tbl[[#This Row],[First_Name]]))</f>
        <v>Grace</v>
      </c>
      <c r="R563" t="str">
        <f>TRIM(PROPER(Before_Tbl[[#This Row],[Last_Name]]))</f>
        <v>Williams</v>
      </c>
      <c r="S563" s="25">
        <f t="shared" si="8"/>
        <v>30</v>
      </c>
      <c r="T563" t="str">
        <f>LEFT(Before_Tbl[[#This Row],[Department_Region]],FIND("-",Before_Tbl[[#This Row],[Department_Region]])-1)</f>
        <v>HR</v>
      </c>
      <c r="U563" t="str">
        <f>RIGHT(Before_Tbl[[#This Row],[Department_Region]],LEN(Before_Tbl[[#This Row],[Department_Region]])-FIND("-",Before_Tbl[[#This Row],[Department_Region]]))</f>
        <v>Florida</v>
      </c>
      <c r="V563" t="str">
        <f>TRIM(PROPER(Before_Tbl[[#This Row],[Status]]))</f>
        <v>Active</v>
      </c>
      <c r="W563" s="26">
        <v>44724</v>
      </c>
      <c r="X563" s="4">
        <v>57452.93</v>
      </c>
      <c r="Y563" t="str">
        <f>TRIM(LOWER(Before_Tbl[[#This Row],[Email]]))</f>
        <v>grace.williams@example.com</v>
      </c>
      <c r="Z563" s="2" t="str">
        <f>SUBSTITUTE(Before_Tbl[[#This Row],[Phone]],"-","")</f>
        <v>3343244740</v>
      </c>
      <c r="AA563" t="str">
        <f>TRIM(PROPER(Before_Tbl[[#This Row],[Performance_Score]]))</f>
        <v>Good</v>
      </c>
      <c r="AB563" s="2" t="str">
        <f>TRIM(UPPER(Before_Tbl[[#This Row],[Remote_Work]]))</f>
        <v>TRUE</v>
      </c>
    </row>
    <row r="564" spans="1:28" x14ac:dyDescent="0.35">
      <c r="A564" t="s">
        <v>992</v>
      </c>
      <c r="B564" t="s">
        <v>25</v>
      </c>
      <c r="C564" t="s">
        <v>14</v>
      </c>
      <c r="D564">
        <v>25</v>
      </c>
      <c r="E564" t="s">
        <v>118</v>
      </c>
      <c r="F564" t="s">
        <v>16</v>
      </c>
      <c r="G564" s="1">
        <v>44447</v>
      </c>
      <c r="H564">
        <v>97837.32</v>
      </c>
      <c r="I564" t="s">
        <v>163</v>
      </c>
      <c r="J564">
        <v>-7595587208</v>
      </c>
      <c r="K564" t="s">
        <v>23</v>
      </c>
      <c r="L564" t="b">
        <v>0</v>
      </c>
      <c r="P564" t="str">
        <f>TRIM(Before_Tbl[[#This Row],[Employee_ID]])</f>
        <v>EMP1562</v>
      </c>
      <c r="Q564" t="str">
        <f>TRIM(PROPER(Before_Tbl[[#This Row],[First_Name]]))</f>
        <v>Alice</v>
      </c>
      <c r="R564" t="str">
        <f>TRIM(PROPER(Before_Tbl[[#This Row],[Last_Name]]))</f>
        <v>Davis</v>
      </c>
      <c r="S564" s="25">
        <f t="shared" si="8"/>
        <v>25</v>
      </c>
      <c r="T564" t="str">
        <f>LEFT(Before_Tbl[[#This Row],[Department_Region]],FIND("-",Before_Tbl[[#This Row],[Department_Region]])-1)</f>
        <v>Admin</v>
      </c>
      <c r="U564" t="str">
        <f>RIGHT(Before_Tbl[[#This Row],[Department_Region]],LEN(Before_Tbl[[#This Row],[Department_Region]])-FIND("-",Before_Tbl[[#This Row],[Department_Region]]))</f>
        <v>California</v>
      </c>
      <c r="V564" t="str">
        <f>TRIM(PROPER(Before_Tbl[[#This Row],[Status]]))</f>
        <v>Active</v>
      </c>
      <c r="W564" s="26">
        <v>44447</v>
      </c>
      <c r="X564" s="4">
        <v>97837.32</v>
      </c>
      <c r="Y564" t="str">
        <f>TRIM(LOWER(Before_Tbl[[#This Row],[Email]]))</f>
        <v>alice.davis@example.com</v>
      </c>
      <c r="Z564" s="2" t="str">
        <f>SUBSTITUTE(Before_Tbl[[#This Row],[Phone]],"-","")</f>
        <v>7595587208</v>
      </c>
      <c r="AA564" t="str">
        <f>TRIM(PROPER(Before_Tbl[[#This Row],[Performance_Score]]))</f>
        <v>Excellent</v>
      </c>
      <c r="AB564" s="2" t="str">
        <f>TRIM(UPPER(Before_Tbl[[#This Row],[Remote_Work]]))</f>
        <v>FALSE</v>
      </c>
    </row>
    <row r="565" spans="1:28" x14ac:dyDescent="0.35">
      <c r="A565" t="s">
        <v>993</v>
      </c>
      <c r="B565" t="s">
        <v>25</v>
      </c>
      <c r="C565" t="s">
        <v>14</v>
      </c>
      <c r="D565">
        <v>35</v>
      </c>
      <c r="E565" t="s">
        <v>89</v>
      </c>
      <c r="F565" t="s">
        <v>16</v>
      </c>
      <c r="G565" s="1">
        <v>44652</v>
      </c>
      <c r="H565">
        <v>106981.84</v>
      </c>
      <c r="I565" t="s">
        <v>163</v>
      </c>
      <c r="J565">
        <v>-6289365434</v>
      </c>
      <c r="K565" t="s">
        <v>41</v>
      </c>
      <c r="L565" t="b">
        <v>1</v>
      </c>
      <c r="P565" t="str">
        <f>TRIM(Before_Tbl[[#This Row],[Employee_ID]])</f>
        <v>EMP1563</v>
      </c>
      <c r="Q565" t="str">
        <f>TRIM(PROPER(Before_Tbl[[#This Row],[First_Name]]))</f>
        <v>Alice</v>
      </c>
      <c r="R565" t="str">
        <f>TRIM(PROPER(Before_Tbl[[#This Row],[Last_Name]]))</f>
        <v>Davis</v>
      </c>
      <c r="S565" s="25">
        <f t="shared" si="8"/>
        <v>35</v>
      </c>
      <c r="T565" t="str">
        <f>LEFT(Before_Tbl[[#This Row],[Department_Region]],FIND("-",Before_Tbl[[#This Row],[Department_Region]])-1)</f>
        <v>Admin</v>
      </c>
      <c r="U565" t="str">
        <f>RIGHT(Before_Tbl[[#This Row],[Department_Region]],LEN(Before_Tbl[[#This Row],[Department_Region]])-FIND("-",Before_Tbl[[#This Row],[Department_Region]]))</f>
        <v>Illinois</v>
      </c>
      <c r="V565" t="str">
        <f>TRIM(PROPER(Before_Tbl[[#This Row],[Status]]))</f>
        <v>Active</v>
      </c>
      <c r="W565" s="26">
        <v>44652</v>
      </c>
      <c r="X565" s="4">
        <v>106981.84</v>
      </c>
      <c r="Y565" t="str">
        <f>TRIM(LOWER(Before_Tbl[[#This Row],[Email]]))</f>
        <v>alice.davis@example.com</v>
      </c>
      <c r="Z565" s="2" t="str">
        <f>SUBSTITUTE(Before_Tbl[[#This Row],[Phone]],"-","")</f>
        <v>6289365434</v>
      </c>
      <c r="AA565" t="str">
        <f>TRIM(PROPER(Before_Tbl[[#This Row],[Performance_Score]]))</f>
        <v>Poor</v>
      </c>
      <c r="AB565" s="2" t="str">
        <f>TRIM(UPPER(Before_Tbl[[#This Row],[Remote_Work]]))</f>
        <v>TRUE</v>
      </c>
    </row>
    <row r="566" spans="1:28" x14ac:dyDescent="0.35">
      <c r="A566" t="s">
        <v>994</v>
      </c>
      <c r="B566" t="s">
        <v>59</v>
      </c>
      <c r="C566" t="s">
        <v>20</v>
      </c>
      <c r="E566" t="s">
        <v>227</v>
      </c>
      <c r="F566" t="s">
        <v>28</v>
      </c>
      <c r="G566" t="s">
        <v>995</v>
      </c>
      <c r="H566">
        <v>105778.36</v>
      </c>
      <c r="I566" t="s">
        <v>225</v>
      </c>
      <c r="J566">
        <v>-8841834373</v>
      </c>
      <c r="K566" t="s">
        <v>30</v>
      </c>
      <c r="L566" t="b">
        <v>1</v>
      </c>
      <c r="P566" t="str">
        <f>TRIM(Before_Tbl[[#This Row],[Employee_ID]])</f>
        <v>EMP1564</v>
      </c>
      <c r="Q566" t="str">
        <f>TRIM(PROPER(Before_Tbl[[#This Row],[First_Name]]))</f>
        <v>David</v>
      </c>
      <c r="R566" t="str">
        <f>TRIM(PROPER(Before_Tbl[[#This Row],[Last_Name]]))</f>
        <v>Brown</v>
      </c>
      <c r="S566" s="25">
        <f t="shared" si="8"/>
        <v>30</v>
      </c>
      <c r="T566" t="str">
        <f>LEFT(Before_Tbl[[#This Row],[Department_Region]],FIND("-",Before_Tbl[[#This Row],[Department_Region]])-1)</f>
        <v>Finance</v>
      </c>
      <c r="U566" t="str">
        <f>RIGHT(Before_Tbl[[#This Row],[Department_Region]],LEN(Before_Tbl[[#This Row],[Department_Region]])-FIND("-",Before_Tbl[[#This Row],[Department_Region]]))</f>
        <v>New York</v>
      </c>
      <c r="V566" t="str">
        <f>TRIM(PROPER(Before_Tbl[[#This Row],[Status]]))</f>
        <v>Pending</v>
      </c>
      <c r="W566" s="26">
        <v>45437</v>
      </c>
      <c r="X566" s="4">
        <v>105778.36</v>
      </c>
      <c r="Y566" t="str">
        <f>TRIM(LOWER(Before_Tbl[[#This Row],[Email]]))</f>
        <v>david.brown@example.com</v>
      </c>
      <c r="Z566" s="2" t="str">
        <f>SUBSTITUTE(Before_Tbl[[#This Row],[Phone]],"-","")</f>
        <v>8841834373</v>
      </c>
      <c r="AA566" t="str">
        <f>TRIM(PROPER(Before_Tbl[[#This Row],[Performance_Score]]))</f>
        <v>Good</v>
      </c>
      <c r="AB566" s="2" t="str">
        <f>TRIM(UPPER(Before_Tbl[[#This Row],[Remote_Work]]))</f>
        <v>TRUE</v>
      </c>
    </row>
    <row r="567" spans="1:28" x14ac:dyDescent="0.35">
      <c r="A567" t="s">
        <v>996</v>
      </c>
      <c r="B567" t="s">
        <v>25</v>
      </c>
      <c r="C567" t="s">
        <v>55</v>
      </c>
      <c r="D567">
        <v>40</v>
      </c>
      <c r="E567" t="s">
        <v>112</v>
      </c>
      <c r="F567" t="s">
        <v>28</v>
      </c>
      <c r="G567" s="1">
        <v>44237</v>
      </c>
      <c r="H567">
        <v>117608.32000000001</v>
      </c>
      <c r="I567" t="s">
        <v>150</v>
      </c>
      <c r="J567">
        <v>-182727954</v>
      </c>
      <c r="K567" t="s">
        <v>30</v>
      </c>
      <c r="L567" t="b">
        <v>1</v>
      </c>
      <c r="P567" t="str">
        <f>TRIM(Before_Tbl[[#This Row],[Employee_ID]])</f>
        <v>EMP1565</v>
      </c>
      <c r="Q567" t="str">
        <f>TRIM(PROPER(Before_Tbl[[#This Row],[First_Name]]))</f>
        <v>Alice</v>
      </c>
      <c r="R567" t="str">
        <f>TRIM(PROPER(Before_Tbl[[#This Row],[Last_Name]]))</f>
        <v>Johnson</v>
      </c>
      <c r="S567" s="25">
        <f t="shared" si="8"/>
        <v>40</v>
      </c>
      <c r="T567" t="str">
        <f>LEFT(Before_Tbl[[#This Row],[Department_Region]],FIND("-",Before_Tbl[[#This Row],[Department_Region]])-1)</f>
        <v>Finance</v>
      </c>
      <c r="U567" t="str">
        <f>RIGHT(Before_Tbl[[#This Row],[Department_Region]],LEN(Before_Tbl[[#This Row],[Department_Region]])-FIND("-",Before_Tbl[[#This Row],[Department_Region]]))</f>
        <v>Florida</v>
      </c>
      <c r="V567" t="str">
        <f>TRIM(PROPER(Before_Tbl[[#This Row],[Status]]))</f>
        <v>Pending</v>
      </c>
      <c r="W567" s="26">
        <v>44237</v>
      </c>
      <c r="X567" s="4">
        <v>117608.32000000001</v>
      </c>
      <c r="Y567" t="str">
        <f>TRIM(LOWER(Before_Tbl[[#This Row],[Email]]))</f>
        <v>alice.johnson@example.com</v>
      </c>
      <c r="Z567" s="2" t="str">
        <f>SUBSTITUTE(Before_Tbl[[#This Row],[Phone]],"-","")</f>
        <v>182727954</v>
      </c>
      <c r="AA567" t="str">
        <f>TRIM(PROPER(Before_Tbl[[#This Row],[Performance_Score]]))</f>
        <v>Good</v>
      </c>
      <c r="AB567" s="2" t="str">
        <f>TRIM(UPPER(Before_Tbl[[#This Row],[Remote_Work]]))</f>
        <v>TRUE</v>
      </c>
    </row>
    <row r="568" spans="1:28" x14ac:dyDescent="0.35">
      <c r="A568" t="s">
        <v>997</v>
      </c>
      <c r="B568" t="s">
        <v>32</v>
      </c>
      <c r="C568" t="s">
        <v>55</v>
      </c>
      <c r="D568">
        <v>30</v>
      </c>
      <c r="E568" t="s">
        <v>74</v>
      </c>
      <c r="F568" t="s">
        <v>16</v>
      </c>
      <c r="G568" t="s">
        <v>998</v>
      </c>
      <c r="H568">
        <v>99324.03</v>
      </c>
      <c r="I568" t="s">
        <v>323</v>
      </c>
      <c r="J568">
        <v>-9690515025</v>
      </c>
      <c r="K568" t="s">
        <v>23</v>
      </c>
      <c r="L568" t="b">
        <v>0</v>
      </c>
      <c r="P568" t="str">
        <f>TRIM(Before_Tbl[[#This Row],[Employee_ID]])</f>
        <v>EMP1566</v>
      </c>
      <c r="Q568" t="str">
        <f>TRIM(PROPER(Before_Tbl[[#This Row],[First_Name]]))</f>
        <v>Eva</v>
      </c>
      <c r="R568" t="str">
        <f>TRIM(PROPER(Before_Tbl[[#This Row],[Last_Name]]))</f>
        <v>Johnson</v>
      </c>
      <c r="S568" s="25">
        <f t="shared" si="8"/>
        <v>30</v>
      </c>
      <c r="T568" t="str">
        <f>LEFT(Before_Tbl[[#This Row],[Department_Region]],FIND("-",Before_Tbl[[#This Row],[Department_Region]])-1)</f>
        <v>Sales</v>
      </c>
      <c r="U568" t="str">
        <f>RIGHT(Before_Tbl[[#This Row],[Department_Region]],LEN(Before_Tbl[[#This Row],[Department_Region]])-FIND("-",Before_Tbl[[#This Row],[Department_Region]]))</f>
        <v>Florida</v>
      </c>
      <c r="V568" t="str">
        <f>TRIM(PROPER(Before_Tbl[[#This Row],[Status]]))</f>
        <v>Active</v>
      </c>
      <c r="W568" s="26">
        <v>45128</v>
      </c>
      <c r="X568" s="4">
        <v>99324.03</v>
      </c>
      <c r="Y568" t="str">
        <f>TRIM(LOWER(Before_Tbl[[#This Row],[Email]]))</f>
        <v>eva.johnson@example.com</v>
      </c>
      <c r="Z568" s="2" t="str">
        <f>SUBSTITUTE(Before_Tbl[[#This Row],[Phone]],"-","")</f>
        <v>9690515025</v>
      </c>
      <c r="AA568" t="str">
        <f>TRIM(PROPER(Before_Tbl[[#This Row],[Performance_Score]]))</f>
        <v>Excellent</v>
      </c>
      <c r="AB568" s="2" t="str">
        <f>TRIM(UPPER(Before_Tbl[[#This Row],[Remote_Work]]))</f>
        <v>FALSE</v>
      </c>
    </row>
    <row r="569" spans="1:28" x14ac:dyDescent="0.35">
      <c r="A569" t="s">
        <v>999</v>
      </c>
      <c r="B569" t="s">
        <v>59</v>
      </c>
      <c r="C569" t="s">
        <v>43</v>
      </c>
      <c r="D569">
        <v>30</v>
      </c>
      <c r="E569" t="s">
        <v>212</v>
      </c>
      <c r="F569" t="s">
        <v>16</v>
      </c>
      <c r="G569" t="s">
        <v>1000</v>
      </c>
      <c r="H569">
        <v>55212.83</v>
      </c>
      <c r="I569" t="s">
        <v>101</v>
      </c>
      <c r="J569">
        <v>-7551254277</v>
      </c>
      <c r="K569" t="s">
        <v>23</v>
      </c>
      <c r="L569" t="b">
        <v>1</v>
      </c>
      <c r="P569" t="str">
        <f>TRIM(Before_Tbl[[#This Row],[Employee_ID]])</f>
        <v>EMP1567</v>
      </c>
      <c r="Q569" t="str">
        <f>TRIM(PROPER(Before_Tbl[[#This Row],[First_Name]]))</f>
        <v>David</v>
      </c>
      <c r="R569" t="str">
        <f>TRIM(PROPER(Before_Tbl[[#This Row],[Last_Name]]))</f>
        <v>Garcia</v>
      </c>
      <c r="S569" s="25">
        <f t="shared" si="8"/>
        <v>30</v>
      </c>
      <c r="T569" t="str">
        <f>LEFT(Before_Tbl[[#This Row],[Department_Region]],FIND("-",Before_Tbl[[#This Row],[Department_Region]])-1)</f>
        <v>HR</v>
      </c>
      <c r="U569" t="str">
        <f>RIGHT(Before_Tbl[[#This Row],[Department_Region]],LEN(Before_Tbl[[#This Row],[Department_Region]])-FIND("-",Before_Tbl[[#This Row],[Department_Region]]))</f>
        <v>Florida</v>
      </c>
      <c r="V569" t="str">
        <f>TRIM(PROPER(Before_Tbl[[#This Row],[Status]]))</f>
        <v>Active</v>
      </c>
      <c r="W569" s="26">
        <v>45229</v>
      </c>
      <c r="X569" s="4">
        <v>55212.83</v>
      </c>
      <c r="Y569" t="str">
        <f>TRIM(LOWER(Before_Tbl[[#This Row],[Email]]))</f>
        <v>david.garcia@example.com</v>
      </c>
      <c r="Z569" s="2" t="str">
        <f>SUBSTITUTE(Before_Tbl[[#This Row],[Phone]],"-","")</f>
        <v>7551254277</v>
      </c>
      <c r="AA569" t="str">
        <f>TRIM(PROPER(Before_Tbl[[#This Row],[Performance_Score]]))</f>
        <v>Excellent</v>
      </c>
      <c r="AB569" s="2" t="str">
        <f>TRIM(UPPER(Before_Tbl[[#This Row],[Remote_Work]]))</f>
        <v>TRUE</v>
      </c>
    </row>
    <row r="570" spans="1:28" x14ac:dyDescent="0.35">
      <c r="A570" t="s">
        <v>1001</v>
      </c>
      <c r="B570" t="s">
        <v>13</v>
      </c>
      <c r="C570" t="s">
        <v>14</v>
      </c>
      <c r="D570">
        <v>40</v>
      </c>
      <c r="E570" t="s">
        <v>39</v>
      </c>
      <c r="F570" t="s">
        <v>33</v>
      </c>
      <c r="G570" t="s">
        <v>1002</v>
      </c>
      <c r="H570">
        <v>68496.77</v>
      </c>
      <c r="I570" t="s">
        <v>17</v>
      </c>
      <c r="J570">
        <v>-2079799666</v>
      </c>
      <c r="K570" t="s">
        <v>18</v>
      </c>
      <c r="L570" t="b">
        <v>0</v>
      </c>
      <c r="P570" t="str">
        <f>TRIM(Before_Tbl[[#This Row],[Employee_ID]])</f>
        <v>EMP1568</v>
      </c>
      <c r="Q570" t="str">
        <f>TRIM(PROPER(Before_Tbl[[#This Row],[First_Name]]))</f>
        <v>Bob</v>
      </c>
      <c r="R570" t="str">
        <f>TRIM(PROPER(Before_Tbl[[#This Row],[Last_Name]]))</f>
        <v>Davis</v>
      </c>
      <c r="S570" s="25">
        <f t="shared" si="8"/>
        <v>40</v>
      </c>
      <c r="T570" t="str">
        <f>LEFT(Before_Tbl[[#This Row],[Department_Region]],FIND("-",Before_Tbl[[#This Row],[Department_Region]])-1)</f>
        <v>Cloud Tech</v>
      </c>
      <c r="U570" t="str">
        <f>RIGHT(Before_Tbl[[#This Row],[Department_Region]],LEN(Before_Tbl[[#This Row],[Department_Region]])-FIND("-",Before_Tbl[[#This Row],[Department_Region]]))</f>
        <v>Florida</v>
      </c>
      <c r="V570" t="str">
        <f>TRIM(PROPER(Before_Tbl[[#This Row],[Status]]))</f>
        <v>Inactive</v>
      </c>
      <c r="W570" s="26">
        <v>44970</v>
      </c>
      <c r="X570" s="4">
        <v>68496.77</v>
      </c>
      <c r="Y570" t="str">
        <f>TRIM(LOWER(Before_Tbl[[#This Row],[Email]]))</f>
        <v>bob.davis@example.com</v>
      </c>
      <c r="Z570" s="2" t="str">
        <f>SUBSTITUTE(Before_Tbl[[#This Row],[Phone]],"-","")</f>
        <v>2079799666</v>
      </c>
      <c r="AA570" t="str">
        <f>TRIM(PROPER(Before_Tbl[[#This Row],[Performance_Score]]))</f>
        <v>Average</v>
      </c>
      <c r="AB570" s="2" t="str">
        <f>TRIM(UPPER(Before_Tbl[[#This Row],[Remote_Work]]))</f>
        <v>FALSE</v>
      </c>
    </row>
    <row r="571" spans="1:28" x14ac:dyDescent="0.35">
      <c r="A571" t="s">
        <v>1003</v>
      </c>
      <c r="B571" t="s">
        <v>32</v>
      </c>
      <c r="C571" t="s">
        <v>14</v>
      </c>
      <c r="D571">
        <v>25</v>
      </c>
      <c r="E571" t="s">
        <v>212</v>
      </c>
      <c r="F571" t="s">
        <v>28</v>
      </c>
      <c r="G571" t="s">
        <v>614</v>
      </c>
      <c r="H571">
        <v>52795.839999999997</v>
      </c>
      <c r="I571" t="s">
        <v>35</v>
      </c>
      <c r="J571">
        <v>-3459576402</v>
      </c>
      <c r="K571" t="s">
        <v>41</v>
      </c>
      <c r="L571" t="b">
        <v>0</v>
      </c>
      <c r="P571" t="str">
        <f>TRIM(Before_Tbl[[#This Row],[Employee_ID]])</f>
        <v>EMP1569</v>
      </c>
      <c r="Q571" t="str">
        <f>TRIM(PROPER(Before_Tbl[[#This Row],[First_Name]]))</f>
        <v>Eva</v>
      </c>
      <c r="R571" t="str">
        <f>TRIM(PROPER(Before_Tbl[[#This Row],[Last_Name]]))</f>
        <v>Davis</v>
      </c>
      <c r="S571" s="25">
        <f t="shared" si="8"/>
        <v>25</v>
      </c>
      <c r="T571" t="str">
        <f>LEFT(Before_Tbl[[#This Row],[Department_Region]],FIND("-",Before_Tbl[[#This Row],[Department_Region]])-1)</f>
        <v>HR</v>
      </c>
      <c r="U571" t="str">
        <f>RIGHT(Before_Tbl[[#This Row],[Department_Region]],LEN(Before_Tbl[[#This Row],[Department_Region]])-FIND("-",Before_Tbl[[#This Row],[Department_Region]]))</f>
        <v>Florida</v>
      </c>
      <c r="V571" t="str">
        <f>TRIM(PROPER(Before_Tbl[[#This Row],[Status]]))</f>
        <v>Pending</v>
      </c>
      <c r="W571" s="26">
        <v>44148</v>
      </c>
      <c r="X571" s="4">
        <v>52795.839999999997</v>
      </c>
      <c r="Y571" t="str">
        <f>TRIM(LOWER(Before_Tbl[[#This Row],[Email]]))</f>
        <v>eva.davis@example.com</v>
      </c>
      <c r="Z571" s="2" t="str">
        <f>SUBSTITUTE(Before_Tbl[[#This Row],[Phone]],"-","")</f>
        <v>3459576402</v>
      </c>
      <c r="AA571" t="str">
        <f>TRIM(PROPER(Before_Tbl[[#This Row],[Performance_Score]]))</f>
        <v>Poor</v>
      </c>
      <c r="AB571" s="2" t="str">
        <f>TRIM(UPPER(Before_Tbl[[#This Row],[Remote_Work]]))</f>
        <v>FALSE</v>
      </c>
    </row>
    <row r="572" spans="1:28" x14ac:dyDescent="0.35">
      <c r="A572" t="s">
        <v>1004</v>
      </c>
      <c r="B572" t="s">
        <v>25</v>
      </c>
      <c r="C572" t="s">
        <v>92</v>
      </c>
      <c r="E572" t="s">
        <v>15</v>
      </c>
      <c r="F572" t="s">
        <v>33</v>
      </c>
      <c r="G572" s="1">
        <v>45418</v>
      </c>
      <c r="H572">
        <v>90087.39</v>
      </c>
      <c r="I572" t="s">
        <v>166</v>
      </c>
      <c r="J572">
        <v>-8166496901</v>
      </c>
      <c r="K572" t="s">
        <v>41</v>
      </c>
      <c r="L572" t="b">
        <v>0</v>
      </c>
      <c r="P572" t="str">
        <f>TRIM(Before_Tbl[[#This Row],[Employee_ID]])</f>
        <v>EMP1570</v>
      </c>
      <c r="Q572" t="str">
        <f>TRIM(PROPER(Before_Tbl[[#This Row],[First_Name]]))</f>
        <v>Alice</v>
      </c>
      <c r="R572" t="str">
        <f>TRIM(PROPER(Before_Tbl[[#This Row],[Last_Name]]))</f>
        <v>Miller</v>
      </c>
      <c r="S572" s="25">
        <f t="shared" si="8"/>
        <v>30</v>
      </c>
      <c r="T572" t="str">
        <f>LEFT(Before_Tbl[[#This Row],[Department_Region]],FIND("-",Before_Tbl[[#This Row],[Department_Region]])-1)</f>
        <v>DevOps</v>
      </c>
      <c r="U572" t="str">
        <f>RIGHT(Before_Tbl[[#This Row],[Department_Region]],LEN(Before_Tbl[[#This Row],[Department_Region]])-FIND("-",Before_Tbl[[#This Row],[Department_Region]]))</f>
        <v>California</v>
      </c>
      <c r="V572" t="str">
        <f>TRIM(PROPER(Before_Tbl[[#This Row],[Status]]))</f>
        <v>Inactive</v>
      </c>
      <c r="W572" s="26">
        <v>45418</v>
      </c>
      <c r="X572" s="4">
        <v>90087.39</v>
      </c>
      <c r="Y572" t="str">
        <f>TRIM(LOWER(Before_Tbl[[#This Row],[Email]]))</f>
        <v>alice.miller@example.com</v>
      </c>
      <c r="Z572" s="2" t="str">
        <f>SUBSTITUTE(Before_Tbl[[#This Row],[Phone]],"-","")</f>
        <v>8166496901</v>
      </c>
      <c r="AA572" t="str">
        <f>TRIM(PROPER(Before_Tbl[[#This Row],[Performance_Score]]))</f>
        <v>Poor</v>
      </c>
      <c r="AB572" s="2" t="str">
        <f>TRIM(UPPER(Before_Tbl[[#This Row],[Remote_Work]]))</f>
        <v>FALSE</v>
      </c>
    </row>
    <row r="573" spans="1:28" x14ac:dyDescent="0.35">
      <c r="A573" t="s">
        <v>1005</v>
      </c>
      <c r="B573" t="s">
        <v>37</v>
      </c>
      <c r="C573" t="s">
        <v>38</v>
      </c>
      <c r="E573" t="s">
        <v>196</v>
      </c>
      <c r="F573" t="s">
        <v>28</v>
      </c>
      <c r="G573" t="s">
        <v>1006</v>
      </c>
      <c r="H573">
        <v>105038.08</v>
      </c>
      <c r="I573" t="s">
        <v>40</v>
      </c>
      <c r="J573">
        <v>-8249839224</v>
      </c>
      <c r="K573" t="s">
        <v>18</v>
      </c>
      <c r="L573" t="b">
        <v>0</v>
      </c>
      <c r="P573" t="str">
        <f>TRIM(Before_Tbl[[#This Row],[Employee_ID]])</f>
        <v>EMP1571</v>
      </c>
      <c r="Q573" t="str">
        <f>TRIM(PROPER(Before_Tbl[[#This Row],[First_Name]]))</f>
        <v>Frank</v>
      </c>
      <c r="R573" t="str">
        <f>TRIM(PROPER(Before_Tbl[[#This Row],[Last_Name]]))</f>
        <v>Williams</v>
      </c>
      <c r="S573" s="25">
        <f t="shared" si="8"/>
        <v>30</v>
      </c>
      <c r="T573" t="str">
        <f>LEFT(Before_Tbl[[#This Row],[Department_Region]],FIND("-",Before_Tbl[[#This Row],[Department_Region]])-1)</f>
        <v>Admin</v>
      </c>
      <c r="U573" t="str">
        <f>RIGHT(Before_Tbl[[#This Row],[Department_Region]],LEN(Before_Tbl[[#This Row],[Department_Region]])-FIND("-",Before_Tbl[[#This Row],[Department_Region]]))</f>
        <v>New York</v>
      </c>
      <c r="V573" t="str">
        <f>TRIM(PROPER(Before_Tbl[[#This Row],[Status]]))</f>
        <v>Pending</v>
      </c>
      <c r="W573" s="26">
        <v>43970</v>
      </c>
      <c r="X573" s="4">
        <v>105038.08</v>
      </c>
      <c r="Y573" t="str">
        <f>TRIM(LOWER(Before_Tbl[[#This Row],[Email]]))</f>
        <v>frank.williams@example.com</v>
      </c>
      <c r="Z573" s="2" t="str">
        <f>SUBSTITUTE(Before_Tbl[[#This Row],[Phone]],"-","")</f>
        <v>8249839224</v>
      </c>
      <c r="AA573" t="str">
        <f>TRIM(PROPER(Before_Tbl[[#This Row],[Performance_Score]]))</f>
        <v>Average</v>
      </c>
      <c r="AB573" s="2" t="str">
        <f>TRIM(UPPER(Before_Tbl[[#This Row],[Remote_Work]]))</f>
        <v>FALSE</v>
      </c>
    </row>
    <row r="574" spans="1:28" x14ac:dyDescent="0.35">
      <c r="A574" t="s">
        <v>1007</v>
      </c>
      <c r="B574" t="s">
        <v>69</v>
      </c>
      <c r="C574" t="s">
        <v>122</v>
      </c>
      <c r="D574">
        <v>25</v>
      </c>
      <c r="E574" t="s">
        <v>66</v>
      </c>
      <c r="F574" t="s">
        <v>16</v>
      </c>
      <c r="G574" t="s">
        <v>1008</v>
      </c>
      <c r="H574">
        <v>73231.850000000006</v>
      </c>
      <c r="I574" t="s">
        <v>135</v>
      </c>
      <c r="J574">
        <v>-142576269</v>
      </c>
      <c r="K574" t="s">
        <v>41</v>
      </c>
      <c r="L574" t="b">
        <v>0</v>
      </c>
      <c r="P574" t="str">
        <f>TRIM(Before_Tbl[[#This Row],[Employee_ID]])</f>
        <v>EMP1572</v>
      </c>
      <c r="Q574" t="str">
        <f>TRIM(PROPER(Before_Tbl[[#This Row],[First_Name]]))</f>
        <v>Grace</v>
      </c>
      <c r="R574" t="str">
        <f>TRIM(PROPER(Before_Tbl[[#This Row],[Last_Name]]))</f>
        <v>Smith</v>
      </c>
      <c r="S574" s="25">
        <f t="shared" si="8"/>
        <v>25</v>
      </c>
      <c r="T574" t="str">
        <f>LEFT(Before_Tbl[[#This Row],[Department_Region]],FIND("-",Before_Tbl[[#This Row],[Department_Region]])-1)</f>
        <v>HR</v>
      </c>
      <c r="U574" t="str">
        <f>RIGHT(Before_Tbl[[#This Row],[Department_Region]],LEN(Before_Tbl[[#This Row],[Department_Region]])-FIND("-",Before_Tbl[[#This Row],[Department_Region]]))</f>
        <v>New York</v>
      </c>
      <c r="V574" t="str">
        <f>TRIM(PROPER(Before_Tbl[[#This Row],[Status]]))</f>
        <v>Active</v>
      </c>
      <c r="W574" s="26">
        <v>45189</v>
      </c>
      <c r="X574" s="4">
        <v>73231.850000000006</v>
      </c>
      <c r="Y574" t="str">
        <f>TRIM(LOWER(Before_Tbl[[#This Row],[Email]]))</f>
        <v>grace.smith@example.com</v>
      </c>
      <c r="Z574" s="2" t="str">
        <f>SUBSTITUTE(Before_Tbl[[#This Row],[Phone]],"-","")</f>
        <v>142576269</v>
      </c>
      <c r="AA574" t="str">
        <f>TRIM(PROPER(Before_Tbl[[#This Row],[Performance_Score]]))</f>
        <v>Poor</v>
      </c>
      <c r="AB574" s="2" t="str">
        <f>TRIM(UPPER(Before_Tbl[[#This Row],[Remote_Work]]))</f>
        <v>FALSE</v>
      </c>
    </row>
    <row r="575" spans="1:28" x14ac:dyDescent="0.35">
      <c r="A575" t="s">
        <v>1009</v>
      </c>
      <c r="B575" t="s">
        <v>59</v>
      </c>
      <c r="C575" t="s">
        <v>55</v>
      </c>
      <c r="E575" t="s">
        <v>74</v>
      </c>
      <c r="F575" t="s">
        <v>28</v>
      </c>
      <c r="G575" t="s">
        <v>1010</v>
      </c>
      <c r="H575">
        <v>102649.36</v>
      </c>
      <c r="I575" t="s">
        <v>217</v>
      </c>
      <c r="J575">
        <v>-2324412335</v>
      </c>
      <c r="K575" t="s">
        <v>41</v>
      </c>
      <c r="L575" t="b">
        <v>0</v>
      </c>
      <c r="P575" t="str">
        <f>TRIM(Before_Tbl[[#This Row],[Employee_ID]])</f>
        <v>EMP1573</v>
      </c>
      <c r="Q575" t="str">
        <f>TRIM(PROPER(Before_Tbl[[#This Row],[First_Name]]))</f>
        <v>David</v>
      </c>
      <c r="R575" t="str">
        <f>TRIM(PROPER(Before_Tbl[[#This Row],[Last_Name]]))</f>
        <v>Johnson</v>
      </c>
      <c r="S575" s="25">
        <f t="shared" si="8"/>
        <v>30</v>
      </c>
      <c r="T575" t="str">
        <f>LEFT(Before_Tbl[[#This Row],[Department_Region]],FIND("-",Before_Tbl[[#This Row],[Department_Region]])-1)</f>
        <v>Sales</v>
      </c>
      <c r="U575" t="str">
        <f>RIGHT(Before_Tbl[[#This Row],[Department_Region]],LEN(Before_Tbl[[#This Row],[Department_Region]])-FIND("-",Before_Tbl[[#This Row],[Department_Region]]))</f>
        <v>Florida</v>
      </c>
      <c r="V575" t="str">
        <f>TRIM(PROPER(Before_Tbl[[#This Row],[Status]]))</f>
        <v>Pending</v>
      </c>
      <c r="W575" s="26">
        <v>45517</v>
      </c>
      <c r="X575" s="4">
        <v>102649.36</v>
      </c>
      <c r="Y575" t="str">
        <f>TRIM(LOWER(Before_Tbl[[#This Row],[Email]]))</f>
        <v>david.johnson@example.com</v>
      </c>
      <c r="Z575" s="2" t="str">
        <f>SUBSTITUTE(Before_Tbl[[#This Row],[Phone]],"-","")</f>
        <v>2324412335</v>
      </c>
      <c r="AA575" t="str">
        <f>TRIM(PROPER(Before_Tbl[[#This Row],[Performance_Score]]))</f>
        <v>Poor</v>
      </c>
      <c r="AB575" s="2" t="str">
        <f>TRIM(UPPER(Before_Tbl[[#This Row],[Remote_Work]]))</f>
        <v>FALSE</v>
      </c>
    </row>
    <row r="576" spans="1:28" x14ac:dyDescent="0.35">
      <c r="A576" t="s">
        <v>1011</v>
      </c>
      <c r="B576" t="s">
        <v>13</v>
      </c>
      <c r="C576" t="s">
        <v>14</v>
      </c>
      <c r="D576">
        <v>35</v>
      </c>
      <c r="E576" t="s">
        <v>227</v>
      </c>
      <c r="F576" t="s">
        <v>28</v>
      </c>
      <c r="G576" s="1">
        <v>45205</v>
      </c>
      <c r="H576">
        <v>114302.51</v>
      </c>
      <c r="I576" t="s">
        <v>17</v>
      </c>
      <c r="J576">
        <v>-1328507250</v>
      </c>
      <c r="K576" t="s">
        <v>41</v>
      </c>
      <c r="L576" t="b">
        <v>0</v>
      </c>
      <c r="P576" t="str">
        <f>TRIM(Before_Tbl[[#This Row],[Employee_ID]])</f>
        <v>EMP1574</v>
      </c>
      <c r="Q576" t="str">
        <f>TRIM(PROPER(Before_Tbl[[#This Row],[First_Name]]))</f>
        <v>Bob</v>
      </c>
      <c r="R576" t="str">
        <f>TRIM(PROPER(Before_Tbl[[#This Row],[Last_Name]]))</f>
        <v>Davis</v>
      </c>
      <c r="S576" s="25">
        <f t="shared" si="8"/>
        <v>35</v>
      </c>
      <c r="T576" t="str">
        <f>LEFT(Before_Tbl[[#This Row],[Department_Region]],FIND("-",Before_Tbl[[#This Row],[Department_Region]])-1)</f>
        <v>Finance</v>
      </c>
      <c r="U576" t="str">
        <f>RIGHT(Before_Tbl[[#This Row],[Department_Region]],LEN(Before_Tbl[[#This Row],[Department_Region]])-FIND("-",Before_Tbl[[#This Row],[Department_Region]]))</f>
        <v>New York</v>
      </c>
      <c r="V576" t="str">
        <f>TRIM(PROPER(Before_Tbl[[#This Row],[Status]]))</f>
        <v>Pending</v>
      </c>
      <c r="W576" s="26">
        <v>45205</v>
      </c>
      <c r="X576" s="4">
        <v>114302.51</v>
      </c>
      <c r="Y576" t="str">
        <f>TRIM(LOWER(Before_Tbl[[#This Row],[Email]]))</f>
        <v>bob.davis@example.com</v>
      </c>
      <c r="Z576" s="2" t="str">
        <f>SUBSTITUTE(Before_Tbl[[#This Row],[Phone]],"-","")</f>
        <v>1328507250</v>
      </c>
      <c r="AA576" t="str">
        <f>TRIM(PROPER(Before_Tbl[[#This Row],[Performance_Score]]))</f>
        <v>Poor</v>
      </c>
      <c r="AB576" s="2" t="str">
        <f>TRIM(UPPER(Before_Tbl[[#This Row],[Remote_Work]]))</f>
        <v>FALSE</v>
      </c>
    </row>
    <row r="577" spans="1:28" x14ac:dyDescent="0.35">
      <c r="A577" t="s">
        <v>1012</v>
      </c>
      <c r="B577" t="s">
        <v>25</v>
      </c>
      <c r="C577" t="s">
        <v>92</v>
      </c>
      <c r="D577">
        <v>35</v>
      </c>
      <c r="E577" t="s">
        <v>21</v>
      </c>
      <c r="F577" t="s">
        <v>33</v>
      </c>
      <c r="G577" s="1">
        <v>44445</v>
      </c>
      <c r="H577">
        <v>87816.61</v>
      </c>
      <c r="I577" t="s">
        <v>166</v>
      </c>
      <c r="J577">
        <v>-7863767315</v>
      </c>
      <c r="K577" t="s">
        <v>41</v>
      </c>
      <c r="L577" t="b">
        <v>0</v>
      </c>
      <c r="P577" t="str">
        <f>TRIM(Before_Tbl[[#This Row],[Employee_ID]])</f>
        <v>EMP1575</v>
      </c>
      <c r="Q577" t="str">
        <f>TRIM(PROPER(Before_Tbl[[#This Row],[First_Name]]))</f>
        <v>Alice</v>
      </c>
      <c r="R577" t="str">
        <f>TRIM(PROPER(Before_Tbl[[#This Row],[Last_Name]]))</f>
        <v>Miller</v>
      </c>
      <c r="S577" s="25">
        <f t="shared" si="8"/>
        <v>35</v>
      </c>
      <c r="T577" t="str">
        <f>LEFT(Before_Tbl[[#This Row],[Department_Region]],FIND("-",Before_Tbl[[#This Row],[Department_Region]])-1)</f>
        <v>Finance</v>
      </c>
      <c r="U577" t="str">
        <f>RIGHT(Before_Tbl[[#This Row],[Department_Region]],LEN(Before_Tbl[[#This Row],[Department_Region]])-FIND("-",Before_Tbl[[#This Row],[Department_Region]]))</f>
        <v>Texas</v>
      </c>
      <c r="V577" t="str">
        <f>TRIM(PROPER(Before_Tbl[[#This Row],[Status]]))</f>
        <v>Inactive</v>
      </c>
      <c r="W577" s="26">
        <v>44445</v>
      </c>
      <c r="X577" s="4">
        <v>87816.61</v>
      </c>
      <c r="Y577" t="str">
        <f>TRIM(LOWER(Before_Tbl[[#This Row],[Email]]))</f>
        <v>alice.miller@example.com</v>
      </c>
      <c r="Z577" s="2" t="str">
        <f>SUBSTITUTE(Before_Tbl[[#This Row],[Phone]],"-","")</f>
        <v>7863767315</v>
      </c>
      <c r="AA577" t="str">
        <f>TRIM(PROPER(Before_Tbl[[#This Row],[Performance_Score]]))</f>
        <v>Poor</v>
      </c>
      <c r="AB577" s="2" t="str">
        <f>TRIM(UPPER(Before_Tbl[[#This Row],[Remote_Work]]))</f>
        <v>FALSE</v>
      </c>
    </row>
    <row r="578" spans="1:28" x14ac:dyDescent="0.35">
      <c r="A578" t="s">
        <v>1013</v>
      </c>
      <c r="B578" t="s">
        <v>37</v>
      </c>
      <c r="C578" t="s">
        <v>26</v>
      </c>
      <c r="E578" t="s">
        <v>74</v>
      </c>
      <c r="F578" t="s">
        <v>33</v>
      </c>
      <c r="G578" t="s">
        <v>327</v>
      </c>
      <c r="H578">
        <v>70750.38</v>
      </c>
      <c r="I578" t="s">
        <v>47</v>
      </c>
      <c r="J578">
        <v>-2526546967</v>
      </c>
      <c r="K578" t="s">
        <v>41</v>
      </c>
      <c r="L578" t="b">
        <v>0</v>
      </c>
      <c r="P578" t="str">
        <f>TRIM(Before_Tbl[[#This Row],[Employee_ID]])</f>
        <v>EMP1576</v>
      </c>
      <c r="Q578" t="str">
        <f>TRIM(PROPER(Before_Tbl[[#This Row],[First_Name]]))</f>
        <v>Frank</v>
      </c>
      <c r="R578" t="str">
        <f>TRIM(PROPER(Before_Tbl[[#This Row],[Last_Name]]))</f>
        <v>Jones</v>
      </c>
      <c r="S578" s="25">
        <f t="shared" ref="S578:S641" si="9">IF(ISBLANK(D578),30,D578)</f>
        <v>30</v>
      </c>
      <c r="T578" t="str">
        <f>LEFT(Before_Tbl[[#This Row],[Department_Region]],FIND("-",Before_Tbl[[#This Row],[Department_Region]])-1)</f>
        <v>Sales</v>
      </c>
      <c r="U578" t="str">
        <f>RIGHT(Before_Tbl[[#This Row],[Department_Region]],LEN(Before_Tbl[[#This Row],[Department_Region]])-FIND("-",Before_Tbl[[#This Row],[Department_Region]]))</f>
        <v>Florida</v>
      </c>
      <c r="V578" t="str">
        <f>TRIM(PROPER(Before_Tbl[[#This Row],[Status]]))</f>
        <v>Inactive</v>
      </c>
      <c r="W578" s="26">
        <v>43920</v>
      </c>
      <c r="X578" s="4">
        <v>70750.38</v>
      </c>
      <c r="Y578" t="str">
        <f>TRIM(LOWER(Before_Tbl[[#This Row],[Email]]))</f>
        <v>frank.jones@example.com</v>
      </c>
      <c r="Z578" s="2" t="str">
        <f>SUBSTITUTE(Before_Tbl[[#This Row],[Phone]],"-","")</f>
        <v>2526546967</v>
      </c>
      <c r="AA578" t="str">
        <f>TRIM(PROPER(Before_Tbl[[#This Row],[Performance_Score]]))</f>
        <v>Poor</v>
      </c>
      <c r="AB578" s="2" t="str">
        <f>TRIM(UPPER(Before_Tbl[[#This Row],[Remote_Work]]))</f>
        <v>FALSE</v>
      </c>
    </row>
    <row r="579" spans="1:28" x14ac:dyDescent="0.35">
      <c r="A579" t="s">
        <v>1014</v>
      </c>
      <c r="B579" t="s">
        <v>37</v>
      </c>
      <c r="C579" t="s">
        <v>92</v>
      </c>
      <c r="E579" t="s">
        <v>159</v>
      </c>
      <c r="F579" t="s">
        <v>16</v>
      </c>
      <c r="G579" s="1">
        <v>45327</v>
      </c>
      <c r="H579" t="s">
        <v>277</v>
      </c>
      <c r="I579" t="s">
        <v>110</v>
      </c>
      <c r="J579">
        <v>-1579039234</v>
      </c>
      <c r="K579" t="s">
        <v>23</v>
      </c>
      <c r="L579" t="b">
        <v>1</v>
      </c>
      <c r="P579" t="str">
        <f>TRIM(Before_Tbl[[#This Row],[Employee_ID]])</f>
        <v>EMP1577</v>
      </c>
      <c r="Q579" t="str">
        <f>TRIM(PROPER(Before_Tbl[[#This Row],[First_Name]]))</f>
        <v>Frank</v>
      </c>
      <c r="R579" t="str">
        <f>TRIM(PROPER(Before_Tbl[[#This Row],[Last_Name]]))</f>
        <v>Miller</v>
      </c>
      <c r="S579" s="25">
        <f t="shared" si="9"/>
        <v>30</v>
      </c>
      <c r="T579" t="str">
        <f>LEFT(Before_Tbl[[#This Row],[Department_Region]],FIND("-",Before_Tbl[[#This Row],[Department_Region]])-1)</f>
        <v>Cloud Tech</v>
      </c>
      <c r="U579" t="str">
        <f>RIGHT(Before_Tbl[[#This Row],[Department_Region]],LEN(Before_Tbl[[#This Row],[Department_Region]])-FIND("-",Before_Tbl[[#This Row],[Department_Region]]))</f>
        <v>Texas</v>
      </c>
      <c r="V579" t="str">
        <f>TRIM(PROPER(Before_Tbl[[#This Row],[Status]]))</f>
        <v>Active</v>
      </c>
      <c r="W579" s="26">
        <v>45327</v>
      </c>
      <c r="X579" s="4"/>
      <c r="Y579" t="str">
        <f>TRIM(LOWER(Before_Tbl[[#This Row],[Email]]))</f>
        <v>frank.miller@example.com</v>
      </c>
      <c r="Z579" s="2" t="str">
        <f>SUBSTITUTE(Before_Tbl[[#This Row],[Phone]],"-","")</f>
        <v>1579039234</v>
      </c>
      <c r="AA579" t="str">
        <f>TRIM(PROPER(Before_Tbl[[#This Row],[Performance_Score]]))</f>
        <v>Excellent</v>
      </c>
      <c r="AB579" s="2" t="str">
        <f>TRIM(UPPER(Before_Tbl[[#This Row],[Remote_Work]]))</f>
        <v>TRUE</v>
      </c>
    </row>
    <row r="580" spans="1:28" x14ac:dyDescent="0.35">
      <c r="A580" t="s">
        <v>1015</v>
      </c>
      <c r="B580" t="s">
        <v>13</v>
      </c>
      <c r="C580" t="s">
        <v>55</v>
      </c>
      <c r="D580">
        <v>30</v>
      </c>
      <c r="E580" t="s">
        <v>329</v>
      </c>
      <c r="F580" t="s">
        <v>16</v>
      </c>
      <c r="G580" s="1">
        <v>45454</v>
      </c>
      <c r="H580">
        <v>97978.36</v>
      </c>
      <c r="I580" t="s">
        <v>199</v>
      </c>
      <c r="J580">
        <v>-5580996131</v>
      </c>
      <c r="K580" t="s">
        <v>41</v>
      </c>
      <c r="L580" t="b">
        <v>1</v>
      </c>
      <c r="P580" t="str">
        <f>TRIM(Before_Tbl[[#This Row],[Employee_ID]])</f>
        <v>EMP1578</v>
      </c>
      <c r="Q580" t="str">
        <f>TRIM(PROPER(Before_Tbl[[#This Row],[First_Name]]))</f>
        <v>Bob</v>
      </c>
      <c r="R580" t="str">
        <f>TRIM(PROPER(Before_Tbl[[#This Row],[Last_Name]]))</f>
        <v>Johnson</v>
      </c>
      <c r="S580" s="25">
        <f t="shared" si="9"/>
        <v>30</v>
      </c>
      <c r="T580" t="str">
        <f>LEFT(Before_Tbl[[#This Row],[Department_Region]],FIND("-",Before_Tbl[[#This Row],[Department_Region]])-1)</f>
        <v>DevOps</v>
      </c>
      <c r="U580" t="str">
        <f>RIGHT(Before_Tbl[[#This Row],[Department_Region]],LEN(Before_Tbl[[#This Row],[Department_Region]])-FIND("-",Before_Tbl[[#This Row],[Department_Region]]))</f>
        <v>Nevada</v>
      </c>
      <c r="V580" t="str">
        <f>TRIM(PROPER(Before_Tbl[[#This Row],[Status]]))</f>
        <v>Active</v>
      </c>
      <c r="W580" s="26">
        <v>45454</v>
      </c>
      <c r="X580" s="4">
        <v>97978.36</v>
      </c>
      <c r="Y580" t="str">
        <f>TRIM(LOWER(Before_Tbl[[#This Row],[Email]]))</f>
        <v>bob.johnson@example.com</v>
      </c>
      <c r="Z580" s="2" t="str">
        <f>SUBSTITUTE(Before_Tbl[[#This Row],[Phone]],"-","")</f>
        <v>5580996131</v>
      </c>
      <c r="AA580" t="str">
        <f>TRIM(PROPER(Before_Tbl[[#This Row],[Performance_Score]]))</f>
        <v>Poor</v>
      </c>
      <c r="AB580" s="2" t="str">
        <f>TRIM(UPPER(Before_Tbl[[#This Row],[Remote_Work]]))</f>
        <v>TRUE</v>
      </c>
    </row>
    <row r="581" spans="1:28" x14ac:dyDescent="0.35">
      <c r="A581" t="s">
        <v>1016</v>
      </c>
      <c r="B581" t="s">
        <v>59</v>
      </c>
      <c r="C581" t="s">
        <v>55</v>
      </c>
      <c r="E581" t="s">
        <v>329</v>
      </c>
      <c r="F581" t="s">
        <v>33</v>
      </c>
      <c r="G581" t="s">
        <v>1017</v>
      </c>
      <c r="H581">
        <v>107172.8</v>
      </c>
      <c r="I581" t="s">
        <v>217</v>
      </c>
      <c r="J581">
        <v>-7303461561</v>
      </c>
      <c r="K581" t="s">
        <v>23</v>
      </c>
      <c r="L581" t="b">
        <v>1</v>
      </c>
      <c r="P581" t="str">
        <f>TRIM(Before_Tbl[[#This Row],[Employee_ID]])</f>
        <v>EMP1579</v>
      </c>
      <c r="Q581" t="str">
        <f>TRIM(PROPER(Before_Tbl[[#This Row],[First_Name]]))</f>
        <v>David</v>
      </c>
      <c r="R581" t="str">
        <f>TRIM(PROPER(Before_Tbl[[#This Row],[Last_Name]]))</f>
        <v>Johnson</v>
      </c>
      <c r="S581" s="25">
        <f t="shared" si="9"/>
        <v>30</v>
      </c>
      <c r="T581" t="str">
        <f>LEFT(Before_Tbl[[#This Row],[Department_Region]],FIND("-",Before_Tbl[[#This Row],[Department_Region]])-1)</f>
        <v>DevOps</v>
      </c>
      <c r="U581" t="str">
        <f>RIGHT(Before_Tbl[[#This Row],[Department_Region]],LEN(Before_Tbl[[#This Row],[Department_Region]])-FIND("-",Before_Tbl[[#This Row],[Department_Region]]))</f>
        <v>Nevada</v>
      </c>
      <c r="V581" t="str">
        <f>TRIM(PROPER(Before_Tbl[[#This Row],[Status]]))</f>
        <v>Inactive</v>
      </c>
      <c r="W581" s="26">
        <v>45155</v>
      </c>
      <c r="X581" s="4">
        <v>107172.8</v>
      </c>
      <c r="Y581" t="str">
        <f>TRIM(LOWER(Before_Tbl[[#This Row],[Email]]))</f>
        <v>david.johnson@example.com</v>
      </c>
      <c r="Z581" s="2" t="str">
        <f>SUBSTITUTE(Before_Tbl[[#This Row],[Phone]],"-","")</f>
        <v>7303461561</v>
      </c>
      <c r="AA581" t="str">
        <f>TRIM(PROPER(Before_Tbl[[#This Row],[Performance_Score]]))</f>
        <v>Excellent</v>
      </c>
      <c r="AB581" s="2" t="str">
        <f>TRIM(UPPER(Before_Tbl[[#This Row],[Remote_Work]]))</f>
        <v>TRUE</v>
      </c>
    </row>
    <row r="582" spans="1:28" x14ac:dyDescent="0.35">
      <c r="A582" t="s">
        <v>1018</v>
      </c>
      <c r="B582" t="s">
        <v>54</v>
      </c>
      <c r="C582" t="s">
        <v>92</v>
      </c>
      <c r="D582">
        <v>25</v>
      </c>
      <c r="E582" t="s">
        <v>100</v>
      </c>
      <c r="F582" t="s">
        <v>33</v>
      </c>
      <c r="G582" t="s">
        <v>829</v>
      </c>
      <c r="H582">
        <v>56126.46</v>
      </c>
      <c r="I582" t="s">
        <v>502</v>
      </c>
      <c r="J582">
        <v>-6244670461</v>
      </c>
      <c r="K582" t="s">
        <v>41</v>
      </c>
      <c r="L582" t="b">
        <v>1</v>
      </c>
      <c r="P582" t="str">
        <f>TRIM(Before_Tbl[[#This Row],[Employee_ID]])</f>
        <v>EMP1580</v>
      </c>
      <c r="Q582" t="str">
        <f>TRIM(PROPER(Before_Tbl[[#This Row],[First_Name]]))</f>
        <v>Charlie</v>
      </c>
      <c r="R582" t="str">
        <f>TRIM(PROPER(Before_Tbl[[#This Row],[Last_Name]]))</f>
        <v>Miller</v>
      </c>
      <c r="S582" s="25">
        <f t="shared" si="9"/>
        <v>25</v>
      </c>
      <c r="T582" t="str">
        <f>LEFT(Before_Tbl[[#This Row],[Department_Region]],FIND("-",Before_Tbl[[#This Row],[Department_Region]])-1)</f>
        <v>Finance</v>
      </c>
      <c r="U582" t="str">
        <f>RIGHT(Before_Tbl[[#This Row],[Department_Region]],LEN(Before_Tbl[[#This Row],[Department_Region]])-FIND("-",Before_Tbl[[#This Row],[Department_Region]]))</f>
        <v>Nevada</v>
      </c>
      <c r="V582" t="str">
        <f>TRIM(PROPER(Before_Tbl[[#This Row],[Status]]))</f>
        <v>Inactive</v>
      </c>
      <c r="W582" s="26">
        <v>43908</v>
      </c>
      <c r="X582" s="4">
        <v>56126.46</v>
      </c>
      <c r="Y582" t="str">
        <f>TRIM(LOWER(Before_Tbl[[#This Row],[Email]]))</f>
        <v>charlie.miller@example.com</v>
      </c>
      <c r="Z582" s="2" t="str">
        <f>SUBSTITUTE(Before_Tbl[[#This Row],[Phone]],"-","")</f>
        <v>6244670461</v>
      </c>
      <c r="AA582" t="str">
        <f>TRIM(PROPER(Before_Tbl[[#This Row],[Performance_Score]]))</f>
        <v>Poor</v>
      </c>
      <c r="AB582" s="2" t="str">
        <f>TRIM(UPPER(Before_Tbl[[#This Row],[Remote_Work]]))</f>
        <v>TRUE</v>
      </c>
    </row>
    <row r="583" spans="1:28" x14ac:dyDescent="0.35">
      <c r="A583" t="s">
        <v>1019</v>
      </c>
      <c r="B583" t="s">
        <v>32</v>
      </c>
      <c r="C583" t="s">
        <v>122</v>
      </c>
      <c r="E583" t="s">
        <v>95</v>
      </c>
      <c r="F583" t="s">
        <v>16</v>
      </c>
      <c r="G583" t="s">
        <v>1020</v>
      </c>
      <c r="H583">
        <v>78534.289999999994</v>
      </c>
      <c r="I583" t="s">
        <v>522</v>
      </c>
      <c r="J583">
        <v>-2681715159</v>
      </c>
      <c r="K583" t="s">
        <v>18</v>
      </c>
      <c r="L583" t="b">
        <v>1</v>
      </c>
      <c r="P583" t="str">
        <f>TRIM(Before_Tbl[[#This Row],[Employee_ID]])</f>
        <v>EMP1581</v>
      </c>
      <c r="Q583" t="str">
        <f>TRIM(PROPER(Before_Tbl[[#This Row],[First_Name]]))</f>
        <v>Eva</v>
      </c>
      <c r="R583" t="str">
        <f>TRIM(PROPER(Before_Tbl[[#This Row],[Last_Name]]))</f>
        <v>Smith</v>
      </c>
      <c r="S583" s="25">
        <f t="shared" si="9"/>
        <v>30</v>
      </c>
      <c r="T583" t="str">
        <f>LEFT(Before_Tbl[[#This Row],[Department_Region]],FIND("-",Before_Tbl[[#This Row],[Department_Region]])-1)</f>
        <v>Cloud Tech</v>
      </c>
      <c r="U583" t="str">
        <f>RIGHT(Before_Tbl[[#This Row],[Department_Region]],LEN(Before_Tbl[[#This Row],[Department_Region]])-FIND("-",Before_Tbl[[#This Row],[Department_Region]]))</f>
        <v>Illinois</v>
      </c>
      <c r="V583" t="str">
        <f>TRIM(PROPER(Before_Tbl[[#This Row],[Status]]))</f>
        <v>Active</v>
      </c>
      <c r="W583" s="26">
        <v>44360</v>
      </c>
      <c r="X583" s="4">
        <v>78534.289999999994</v>
      </c>
      <c r="Y583" t="str">
        <f>TRIM(LOWER(Before_Tbl[[#This Row],[Email]]))</f>
        <v>eva.smith@example.com</v>
      </c>
      <c r="Z583" s="2" t="str">
        <f>SUBSTITUTE(Before_Tbl[[#This Row],[Phone]],"-","")</f>
        <v>2681715159</v>
      </c>
      <c r="AA583" t="str">
        <f>TRIM(PROPER(Before_Tbl[[#This Row],[Performance_Score]]))</f>
        <v>Average</v>
      </c>
      <c r="AB583" s="2" t="str">
        <f>TRIM(UPPER(Before_Tbl[[#This Row],[Remote_Work]]))</f>
        <v>TRUE</v>
      </c>
    </row>
    <row r="584" spans="1:28" x14ac:dyDescent="0.35">
      <c r="A584" t="s">
        <v>1021</v>
      </c>
      <c r="B584" t="s">
        <v>69</v>
      </c>
      <c r="C584" t="s">
        <v>20</v>
      </c>
      <c r="D584">
        <v>40</v>
      </c>
      <c r="E584" t="s">
        <v>139</v>
      </c>
      <c r="F584" t="s">
        <v>33</v>
      </c>
      <c r="G584" s="1">
        <v>45209</v>
      </c>
      <c r="H584" t="s">
        <v>277</v>
      </c>
      <c r="I584" t="s">
        <v>201</v>
      </c>
      <c r="J584">
        <v>-2529867075</v>
      </c>
      <c r="K584" t="s">
        <v>30</v>
      </c>
      <c r="L584" t="b">
        <v>0</v>
      </c>
      <c r="P584" t="str">
        <f>TRIM(Before_Tbl[[#This Row],[Employee_ID]])</f>
        <v>EMP1582</v>
      </c>
      <c r="Q584" t="str">
        <f>TRIM(PROPER(Before_Tbl[[#This Row],[First_Name]]))</f>
        <v>Grace</v>
      </c>
      <c r="R584" t="str">
        <f>TRIM(PROPER(Before_Tbl[[#This Row],[Last_Name]]))</f>
        <v>Brown</v>
      </c>
      <c r="S584" s="25">
        <f t="shared" si="9"/>
        <v>40</v>
      </c>
      <c r="T584" t="str">
        <f>LEFT(Before_Tbl[[#This Row],[Department_Region]],FIND("-",Before_Tbl[[#This Row],[Department_Region]])-1)</f>
        <v>HR</v>
      </c>
      <c r="U584" t="str">
        <f>RIGHT(Before_Tbl[[#This Row],[Department_Region]],LEN(Before_Tbl[[#This Row],[Department_Region]])-FIND("-",Before_Tbl[[#This Row],[Department_Region]]))</f>
        <v>Texas</v>
      </c>
      <c r="V584" t="str">
        <f>TRIM(PROPER(Before_Tbl[[#This Row],[Status]]))</f>
        <v>Inactive</v>
      </c>
      <c r="W584" s="26">
        <v>45209</v>
      </c>
      <c r="X584" s="4"/>
      <c r="Y584" t="str">
        <f>TRIM(LOWER(Before_Tbl[[#This Row],[Email]]))</f>
        <v>grace.brown@example.com</v>
      </c>
      <c r="Z584" s="2" t="str">
        <f>SUBSTITUTE(Before_Tbl[[#This Row],[Phone]],"-","")</f>
        <v>2529867075</v>
      </c>
      <c r="AA584" t="str">
        <f>TRIM(PROPER(Before_Tbl[[#This Row],[Performance_Score]]))</f>
        <v>Good</v>
      </c>
      <c r="AB584" s="2" t="str">
        <f>TRIM(UPPER(Before_Tbl[[#This Row],[Remote_Work]]))</f>
        <v>FALSE</v>
      </c>
    </row>
    <row r="585" spans="1:28" x14ac:dyDescent="0.35">
      <c r="A585" t="s">
        <v>1022</v>
      </c>
      <c r="B585" t="s">
        <v>13</v>
      </c>
      <c r="C585" t="s">
        <v>55</v>
      </c>
      <c r="E585" t="s">
        <v>85</v>
      </c>
      <c r="F585" t="s">
        <v>16</v>
      </c>
      <c r="G585" s="1">
        <v>44593</v>
      </c>
      <c r="H585">
        <v>114963.34</v>
      </c>
      <c r="I585" t="s">
        <v>199</v>
      </c>
      <c r="J585">
        <v>-6046419784</v>
      </c>
      <c r="K585" t="s">
        <v>23</v>
      </c>
      <c r="L585" t="b">
        <v>0</v>
      </c>
      <c r="P585" t="str">
        <f>TRIM(Before_Tbl[[#This Row],[Employee_ID]])</f>
        <v>EMP1583</v>
      </c>
      <c r="Q585" t="str">
        <f>TRIM(PROPER(Before_Tbl[[#This Row],[First_Name]]))</f>
        <v>Bob</v>
      </c>
      <c r="R585" t="str">
        <f>TRIM(PROPER(Before_Tbl[[#This Row],[Last_Name]]))</f>
        <v>Johnson</v>
      </c>
      <c r="S585" s="25">
        <f t="shared" si="9"/>
        <v>30</v>
      </c>
      <c r="T585" t="str">
        <f>LEFT(Before_Tbl[[#This Row],[Department_Region]],FIND("-",Before_Tbl[[#This Row],[Department_Region]])-1)</f>
        <v>Cloud Tech</v>
      </c>
      <c r="U585" t="str">
        <f>RIGHT(Before_Tbl[[#This Row],[Department_Region]],LEN(Before_Tbl[[#This Row],[Department_Region]])-FIND("-",Before_Tbl[[#This Row],[Department_Region]]))</f>
        <v>Nevada</v>
      </c>
      <c r="V585" t="str">
        <f>TRIM(PROPER(Before_Tbl[[#This Row],[Status]]))</f>
        <v>Active</v>
      </c>
      <c r="W585" s="26">
        <v>44593</v>
      </c>
      <c r="X585" s="4">
        <v>114963.34</v>
      </c>
      <c r="Y585" t="str">
        <f>TRIM(LOWER(Before_Tbl[[#This Row],[Email]]))</f>
        <v>bob.johnson@example.com</v>
      </c>
      <c r="Z585" s="2" t="str">
        <f>SUBSTITUTE(Before_Tbl[[#This Row],[Phone]],"-","")</f>
        <v>6046419784</v>
      </c>
      <c r="AA585" t="str">
        <f>TRIM(PROPER(Before_Tbl[[#This Row],[Performance_Score]]))</f>
        <v>Excellent</v>
      </c>
      <c r="AB585" s="2" t="str">
        <f>TRIM(UPPER(Before_Tbl[[#This Row],[Remote_Work]]))</f>
        <v>FALSE</v>
      </c>
    </row>
    <row r="586" spans="1:28" x14ac:dyDescent="0.35">
      <c r="A586" t="s">
        <v>1023</v>
      </c>
      <c r="B586" t="s">
        <v>32</v>
      </c>
      <c r="C586" t="s">
        <v>92</v>
      </c>
      <c r="E586" t="s">
        <v>268</v>
      </c>
      <c r="F586" t="s">
        <v>33</v>
      </c>
      <c r="G586" t="s">
        <v>1024</v>
      </c>
      <c r="H586">
        <v>77657.929999999993</v>
      </c>
      <c r="I586" t="s">
        <v>263</v>
      </c>
      <c r="J586">
        <v>-7585126860</v>
      </c>
      <c r="K586" t="s">
        <v>41</v>
      </c>
      <c r="L586" t="b">
        <v>0</v>
      </c>
      <c r="P586" t="str">
        <f>TRIM(Before_Tbl[[#This Row],[Employee_ID]])</f>
        <v>EMP1584</v>
      </c>
      <c r="Q586" t="str">
        <f>TRIM(PROPER(Before_Tbl[[#This Row],[First_Name]]))</f>
        <v>Eva</v>
      </c>
      <c r="R586" t="str">
        <f>TRIM(PROPER(Before_Tbl[[#This Row],[Last_Name]]))</f>
        <v>Miller</v>
      </c>
      <c r="S586" s="25">
        <f t="shared" si="9"/>
        <v>30</v>
      </c>
      <c r="T586" t="str">
        <f>LEFT(Before_Tbl[[#This Row],[Department_Region]],FIND("-",Before_Tbl[[#This Row],[Department_Region]])-1)</f>
        <v>Cloud Tech</v>
      </c>
      <c r="U586" t="str">
        <f>RIGHT(Before_Tbl[[#This Row],[Department_Region]],LEN(Before_Tbl[[#This Row],[Department_Region]])-FIND("-",Before_Tbl[[#This Row],[Department_Region]]))</f>
        <v>California</v>
      </c>
      <c r="V586" t="str">
        <f>TRIM(PROPER(Before_Tbl[[#This Row],[Status]]))</f>
        <v>Inactive</v>
      </c>
      <c r="W586" s="26">
        <v>44612</v>
      </c>
      <c r="X586" s="4">
        <v>77657.929999999993</v>
      </c>
      <c r="Y586" t="str">
        <f>TRIM(LOWER(Before_Tbl[[#This Row],[Email]]))</f>
        <v>eva.miller@example.com</v>
      </c>
      <c r="Z586" s="2" t="str">
        <f>SUBSTITUTE(Before_Tbl[[#This Row],[Phone]],"-","")</f>
        <v>7585126860</v>
      </c>
      <c r="AA586" t="str">
        <f>TRIM(PROPER(Before_Tbl[[#This Row],[Performance_Score]]))</f>
        <v>Poor</v>
      </c>
      <c r="AB586" s="2" t="str">
        <f>TRIM(UPPER(Before_Tbl[[#This Row],[Remote_Work]]))</f>
        <v>FALSE</v>
      </c>
    </row>
    <row r="587" spans="1:28" x14ac:dyDescent="0.35">
      <c r="A587" t="s">
        <v>1025</v>
      </c>
      <c r="B587" t="s">
        <v>65</v>
      </c>
      <c r="C587" t="s">
        <v>14</v>
      </c>
      <c r="D587">
        <v>30</v>
      </c>
      <c r="E587" t="s">
        <v>109</v>
      </c>
      <c r="F587" t="s">
        <v>16</v>
      </c>
      <c r="G587" s="1">
        <v>45538</v>
      </c>
      <c r="H587">
        <v>77369.48</v>
      </c>
      <c r="I587" t="s">
        <v>395</v>
      </c>
      <c r="J587">
        <v>-2059438975</v>
      </c>
      <c r="K587" t="s">
        <v>18</v>
      </c>
      <c r="L587" t="b">
        <v>0</v>
      </c>
      <c r="P587" t="str">
        <f>TRIM(Before_Tbl[[#This Row],[Employee_ID]])</f>
        <v>EMP1585</v>
      </c>
      <c r="Q587" t="str">
        <f>TRIM(PROPER(Before_Tbl[[#This Row],[First_Name]]))</f>
        <v>Heidi</v>
      </c>
      <c r="R587" t="str">
        <f>TRIM(PROPER(Before_Tbl[[#This Row],[Last_Name]]))</f>
        <v>Davis</v>
      </c>
      <c r="S587" s="25">
        <f t="shared" si="9"/>
        <v>30</v>
      </c>
      <c r="T587" t="str">
        <f>LEFT(Before_Tbl[[#This Row],[Department_Region]],FIND("-",Before_Tbl[[#This Row],[Department_Region]])-1)</f>
        <v>Sales</v>
      </c>
      <c r="U587" t="str">
        <f>RIGHT(Before_Tbl[[#This Row],[Department_Region]],LEN(Before_Tbl[[#This Row],[Department_Region]])-FIND("-",Before_Tbl[[#This Row],[Department_Region]]))</f>
        <v>New York</v>
      </c>
      <c r="V587" t="str">
        <f>TRIM(PROPER(Before_Tbl[[#This Row],[Status]]))</f>
        <v>Active</v>
      </c>
      <c r="W587" s="26">
        <v>45538</v>
      </c>
      <c r="X587" s="4">
        <v>77369.48</v>
      </c>
      <c r="Y587" t="str">
        <f>TRIM(LOWER(Before_Tbl[[#This Row],[Email]]))</f>
        <v>heidi.davis@example.com</v>
      </c>
      <c r="Z587" s="2" t="str">
        <f>SUBSTITUTE(Before_Tbl[[#This Row],[Phone]],"-","")</f>
        <v>2059438975</v>
      </c>
      <c r="AA587" t="str">
        <f>TRIM(PROPER(Before_Tbl[[#This Row],[Performance_Score]]))</f>
        <v>Average</v>
      </c>
      <c r="AB587" s="2" t="str">
        <f>TRIM(UPPER(Before_Tbl[[#This Row],[Remote_Work]]))</f>
        <v>FALSE</v>
      </c>
    </row>
    <row r="588" spans="1:28" x14ac:dyDescent="0.35">
      <c r="A588" t="s">
        <v>1026</v>
      </c>
      <c r="B588" t="s">
        <v>32</v>
      </c>
      <c r="C588" t="s">
        <v>92</v>
      </c>
      <c r="D588">
        <v>30</v>
      </c>
      <c r="E588" t="s">
        <v>149</v>
      </c>
      <c r="F588" t="s">
        <v>28</v>
      </c>
      <c r="G588" t="s">
        <v>1027</v>
      </c>
      <c r="H588">
        <v>76119.14</v>
      </c>
      <c r="I588" t="s">
        <v>263</v>
      </c>
      <c r="J588">
        <v>-740177508</v>
      </c>
      <c r="K588" t="s">
        <v>30</v>
      </c>
      <c r="L588" t="b">
        <v>0</v>
      </c>
      <c r="P588" t="str">
        <f>TRIM(Before_Tbl[[#This Row],[Employee_ID]])</f>
        <v>EMP1586</v>
      </c>
      <c r="Q588" t="str">
        <f>TRIM(PROPER(Before_Tbl[[#This Row],[First_Name]]))</f>
        <v>Eva</v>
      </c>
      <c r="R588" t="str">
        <f>TRIM(PROPER(Before_Tbl[[#This Row],[Last_Name]]))</f>
        <v>Miller</v>
      </c>
      <c r="S588" s="25">
        <f t="shared" si="9"/>
        <v>30</v>
      </c>
      <c r="T588" t="str">
        <f>LEFT(Before_Tbl[[#This Row],[Department_Region]],FIND("-",Before_Tbl[[#This Row],[Department_Region]])-1)</f>
        <v>HR</v>
      </c>
      <c r="U588" t="str">
        <f>RIGHT(Before_Tbl[[#This Row],[Department_Region]],LEN(Before_Tbl[[#This Row],[Department_Region]])-FIND("-",Before_Tbl[[#This Row],[Department_Region]]))</f>
        <v>Nevada</v>
      </c>
      <c r="V588" t="str">
        <f>TRIM(PROPER(Before_Tbl[[#This Row],[Status]]))</f>
        <v>Pending</v>
      </c>
      <c r="W588" s="26">
        <v>45157</v>
      </c>
      <c r="X588" s="4">
        <v>76119.14</v>
      </c>
      <c r="Y588" t="str">
        <f>TRIM(LOWER(Before_Tbl[[#This Row],[Email]]))</f>
        <v>eva.miller@example.com</v>
      </c>
      <c r="Z588" s="2" t="str">
        <f>SUBSTITUTE(Before_Tbl[[#This Row],[Phone]],"-","")</f>
        <v>740177508</v>
      </c>
      <c r="AA588" t="str">
        <f>TRIM(PROPER(Before_Tbl[[#This Row],[Performance_Score]]))</f>
        <v>Good</v>
      </c>
      <c r="AB588" s="2" t="str">
        <f>TRIM(UPPER(Before_Tbl[[#This Row],[Remote_Work]]))</f>
        <v>FALSE</v>
      </c>
    </row>
    <row r="589" spans="1:28" x14ac:dyDescent="0.35">
      <c r="A589" t="s">
        <v>1028</v>
      </c>
      <c r="B589" t="s">
        <v>54</v>
      </c>
      <c r="C589" t="s">
        <v>38</v>
      </c>
      <c r="D589">
        <v>25</v>
      </c>
      <c r="E589" t="s">
        <v>159</v>
      </c>
      <c r="F589" t="s">
        <v>28</v>
      </c>
      <c r="G589" s="1">
        <v>45082</v>
      </c>
      <c r="H589">
        <v>77585.72</v>
      </c>
      <c r="I589" t="s">
        <v>90</v>
      </c>
      <c r="J589">
        <v>-5465408423</v>
      </c>
      <c r="K589" t="s">
        <v>23</v>
      </c>
      <c r="L589" t="b">
        <v>0</v>
      </c>
      <c r="P589" t="str">
        <f>TRIM(Before_Tbl[[#This Row],[Employee_ID]])</f>
        <v>EMP1587</v>
      </c>
      <c r="Q589" t="str">
        <f>TRIM(PROPER(Before_Tbl[[#This Row],[First_Name]]))</f>
        <v>Charlie</v>
      </c>
      <c r="R589" t="str">
        <f>TRIM(PROPER(Before_Tbl[[#This Row],[Last_Name]]))</f>
        <v>Williams</v>
      </c>
      <c r="S589" s="25">
        <f t="shared" si="9"/>
        <v>25</v>
      </c>
      <c r="T589" t="str">
        <f>LEFT(Before_Tbl[[#This Row],[Department_Region]],FIND("-",Before_Tbl[[#This Row],[Department_Region]])-1)</f>
        <v>Cloud Tech</v>
      </c>
      <c r="U589" t="str">
        <f>RIGHT(Before_Tbl[[#This Row],[Department_Region]],LEN(Before_Tbl[[#This Row],[Department_Region]])-FIND("-",Before_Tbl[[#This Row],[Department_Region]]))</f>
        <v>Texas</v>
      </c>
      <c r="V589" t="str">
        <f>TRIM(PROPER(Before_Tbl[[#This Row],[Status]]))</f>
        <v>Pending</v>
      </c>
      <c r="W589" s="26">
        <v>45082</v>
      </c>
      <c r="X589" s="4">
        <v>77585.72</v>
      </c>
      <c r="Y589" t="str">
        <f>TRIM(LOWER(Before_Tbl[[#This Row],[Email]]))</f>
        <v>charlie.williams@example.com</v>
      </c>
      <c r="Z589" s="2" t="str">
        <f>SUBSTITUTE(Before_Tbl[[#This Row],[Phone]],"-","")</f>
        <v>5465408423</v>
      </c>
      <c r="AA589" t="str">
        <f>TRIM(PROPER(Before_Tbl[[#This Row],[Performance_Score]]))</f>
        <v>Excellent</v>
      </c>
      <c r="AB589" s="2" t="str">
        <f>TRIM(UPPER(Before_Tbl[[#This Row],[Remote_Work]]))</f>
        <v>FALSE</v>
      </c>
    </row>
    <row r="590" spans="1:28" x14ac:dyDescent="0.35">
      <c r="A590" t="s">
        <v>1029</v>
      </c>
      <c r="B590" t="s">
        <v>13</v>
      </c>
      <c r="C590" t="s">
        <v>20</v>
      </c>
      <c r="D590">
        <v>35</v>
      </c>
      <c r="E590" t="s">
        <v>27</v>
      </c>
      <c r="F590" t="s">
        <v>28</v>
      </c>
      <c r="G590" t="s">
        <v>1030</v>
      </c>
      <c r="H590">
        <v>74069.62</v>
      </c>
      <c r="I590" t="s">
        <v>22</v>
      </c>
      <c r="J590">
        <v>-5607540914</v>
      </c>
      <c r="K590" t="s">
        <v>30</v>
      </c>
      <c r="L590" t="b">
        <v>0</v>
      </c>
      <c r="P590" t="str">
        <f>TRIM(Before_Tbl[[#This Row],[Employee_ID]])</f>
        <v>EMP1588</v>
      </c>
      <c r="Q590" t="str">
        <f>TRIM(PROPER(Before_Tbl[[#This Row],[First_Name]]))</f>
        <v>Bob</v>
      </c>
      <c r="R590" t="str">
        <f>TRIM(PROPER(Before_Tbl[[#This Row],[Last_Name]]))</f>
        <v>Brown</v>
      </c>
      <c r="S590" s="25">
        <f t="shared" si="9"/>
        <v>35</v>
      </c>
      <c r="T590" t="str">
        <f>LEFT(Before_Tbl[[#This Row],[Department_Region]],FIND("-",Before_Tbl[[#This Row],[Department_Region]])-1)</f>
        <v>Admin</v>
      </c>
      <c r="U590" t="str">
        <f>RIGHT(Before_Tbl[[#This Row],[Department_Region]],LEN(Before_Tbl[[#This Row],[Department_Region]])-FIND("-",Before_Tbl[[#This Row],[Department_Region]]))</f>
        <v>Nevada</v>
      </c>
      <c r="V590" t="str">
        <f>TRIM(PROPER(Before_Tbl[[#This Row],[Status]]))</f>
        <v>Pending</v>
      </c>
      <c r="W590" s="26">
        <v>45317</v>
      </c>
      <c r="X590" s="4">
        <v>74069.62</v>
      </c>
      <c r="Y590" t="str">
        <f>TRIM(LOWER(Before_Tbl[[#This Row],[Email]]))</f>
        <v>bob.brown@example.com</v>
      </c>
      <c r="Z590" s="2" t="str">
        <f>SUBSTITUTE(Before_Tbl[[#This Row],[Phone]],"-","")</f>
        <v>5607540914</v>
      </c>
      <c r="AA590" t="str">
        <f>TRIM(PROPER(Before_Tbl[[#This Row],[Performance_Score]]))</f>
        <v>Good</v>
      </c>
      <c r="AB590" s="2" t="str">
        <f>TRIM(UPPER(Before_Tbl[[#This Row],[Remote_Work]]))</f>
        <v>FALSE</v>
      </c>
    </row>
    <row r="591" spans="1:28" x14ac:dyDescent="0.35">
      <c r="A591" t="s">
        <v>1031</v>
      </c>
      <c r="B591" t="s">
        <v>54</v>
      </c>
      <c r="C591" t="s">
        <v>26</v>
      </c>
      <c r="D591">
        <v>30</v>
      </c>
      <c r="E591" t="s">
        <v>196</v>
      </c>
      <c r="F591" t="s">
        <v>28</v>
      </c>
      <c r="G591" s="1">
        <v>45421</v>
      </c>
      <c r="H591">
        <v>67691.92</v>
      </c>
      <c r="I591" t="s">
        <v>120</v>
      </c>
      <c r="J591">
        <v>-863218121</v>
      </c>
      <c r="K591" t="s">
        <v>18</v>
      </c>
      <c r="L591" t="b">
        <v>1</v>
      </c>
      <c r="P591" t="str">
        <f>TRIM(Before_Tbl[[#This Row],[Employee_ID]])</f>
        <v>EMP1589</v>
      </c>
      <c r="Q591" t="str">
        <f>TRIM(PROPER(Before_Tbl[[#This Row],[First_Name]]))</f>
        <v>Charlie</v>
      </c>
      <c r="R591" t="str">
        <f>TRIM(PROPER(Before_Tbl[[#This Row],[Last_Name]]))</f>
        <v>Jones</v>
      </c>
      <c r="S591" s="25">
        <f t="shared" si="9"/>
        <v>30</v>
      </c>
      <c r="T591" t="str">
        <f>LEFT(Before_Tbl[[#This Row],[Department_Region]],FIND("-",Before_Tbl[[#This Row],[Department_Region]])-1)</f>
        <v>Admin</v>
      </c>
      <c r="U591" t="str">
        <f>RIGHT(Before_Tbl[[#This Row],[Department_Region]],LEN(Before_Tbl[[#This Row],[Department_Region]])-FIND("-",Before_Tbl[[#This Row],[Department_Region]]))</f>
        <v>New York</v>
      </c>
      <c r="V591" t="str">
        <f>TRIM(PROPER(Before_Tbl[[#This Row],[Status]]))</f>
        <v>Pending</v>
      </c>
      <c r="W591" s="26">
        <v>45421</v>
      </c>
      <c r="X591" s="4">
        <v>67691.92</v>
      </c>
      <c r="Y591" t="str">
        <f>TRIM(LOWER(Before_Tbl[[#This Row],[Email]]))</f>
        <v>charlie.jones@example.com</v>
      </c>
      <c r="Z591" s="2" t="str">
        <f>SUBSTITUTE(Before_Tbl[[#This Row],[Phone]],"-","")</f>
        <v>863218121</v>
      </c>
      <c r="AA591" t="str">
        <f>TRIM(PROPER(Before_Tbl[[#This Row],[Performance_Score]]))</f>
        <v>Average</v>
      </c>
      <c r="AB591" s="2" t="str">
        <f>TRIM(UPPER(Before_Tbl[[#This Row],[Remote_Work]]))</f>
        <v>TRUE</v>
      </c>
    </row>
    <row r="592" spans="1:28" x14ac:dyDescent="0.35">
      <c r="A592" t="s">
        <v>1032</v>
      </c>
      <c r="B592" t="s">
        <v>25</v>
      </c>
      <c r="C592" t="s">
        <v>122</v>
      </c>
      <c r="E592" t="s">
        <v>100</v>
      </c>
      <c r="F592" t="s">
        <v>28</v>
      </c>
      <c r="G592" t="s">
        <v>1033</v>
      </c>
      <c r="H592">
        <v>70345.69</v>
      </c>
      <c r="I592" t="s">
        <v>182</v>
      </c>
      <c r="J592">
        <v>-7645793896</v>
      </c>
      <c r="K592" t="s">
        <v>23</v>
      </c>
      <c r="L592" t="b">
        <v>1</v>
      </c>
      <c r="P592" t="str">
        <f>TRIM(Before_Tbl[[#This Row],[Employee_ID]])</f>
        <v>EMP1590</v>
      </c>
      <c r="Q592" t="str">
        <f>TRIM(PROPER(Before_Tbl[[#This Row],[First_Name]]))</f>
        <v>Alice</v>
      </c>
      <c r="R592" t="str">
        <f>TRIM(PROPER(Before_Tbl[[#This Row],[Last_Name]]))</f>
        <v>Smith</v>
      </c>
      <c r="S592" s="25">
        <f t="shared" si="9"/>
        <v>30</v>
      </c>
      <c r="T592" t="str">
        <f>LEFT(Before_Tbl[[#This Row],[Department_Region]],FIND("-",Before_Tbl[[#This Row],[Department_Region]])-1)</f>
        <v>Finance</v>
      </c>
      <c r="U592" t="str">
        <f>RIGHT(Before_Tbl[[#This Row],[Department_Region]],LEN(Before_Tbl[[#This Row],[Department_Region]])-FIND("-",Before_Tbl[[#This Row],[Department_Region]]))</f>
        <v>Nevada</v>
      </c>
      <c r="V592" t="str">
        <f>TRIM(PROPER(Before_Tbl[[#This Row],[Status]]))</f>
        <v>Pending</v>
      </c>
      <c r="W592" s="26">
        <v>43980</v>
      </c>
      <c r="X592" s="4">
        <v>70345.69</v>
      </c>
      <c r="Y592" t="str">
        <f>TRIM(LOWER(Before_Tbl[[#This Row],[Email]]))</f>
        <v>alice.smith@example.com</v>
      </c>
      <c r="Z592" s="2" t="str">
        <f>SUBSTITUTE(Before_Tbl[[#This Row],[Phone]],"-","")</f>
        <v>7645793896</v>
      </c>
      <c r="AA592" t="str">
        <f>TRIM(PROPER(Before_Tbl[[#This Row],[Performance_Score]]))</f>
        <v>Excellent</v>
      </c>
      <c r="AB592" s="2" t="str">
        <f>TRIM(UPPER(Before_Tbl[[#This Row],[Remote_Work]]))</f>
        <v>TRUE</v>
      </c>
    </row>
    <row r="593" spans="1:28" x14ac:dyDescent="0.35">
      <c r="A593" t="s">
        <v>1034</v>
      </c>
      <c r="B593" t="s">
        <v>13</v>
      </c>
      <c r="C593" t="s">
        <v>43</v>
      </c>
      <c r="D593">
        <v>30</v>
      </c>
      <c r="E593" t="s">
        <v>78</v>
      </c>
      <c r="F593" t="s">
        <v>33</v>
      </c>
      <c r="G593" s="1">
        <v>44419</v>
      </c>
      <c r="H593">
        <v>74999.69</v>
      </c>
      <c r="I593" t="s">
        <v>153</v>
      </c>
      <c r="J593">
        <v>-155029167</v>
      </c>
      <c r="K593" t="s">
        <v>30</v>
      </c>
      <c r="L593" t="b">
        <v>1</v>
      </c>
      <c r="P593" t="str">
        <f>TRIM(Before_Tbl[[#This Row],[Employee_ID]])</f>
        <v>EMP1591</v>
      </c>
      <c r="Q593" t="str">
        <f>TRIM(PROPER(Before_Tbl[[#This Row],[First_Name]]))</f>
        <v>Bob</v>
      </c>
      <c r="R593" t="str">
        <f>TRIM(PROPER(Before_Tbl[[#This Row],[Last_Name]]))</f>
        <v>Garcia</v>
      </c>
      <c r="S593" s="25">
        <f t="shared" si="9"/>
        <v>30</v>
      </c>
      <c r="T593" t="str">
        <f>LEFT(Before_Tbl[[#This Row],[Department_Region]],FIND("-",Before_Tbl[[#This Row],[Department_Region]])-1)</f>
        <v>DevOps</v>
      </c>
      <c r="U593" t="str">
        <f>RIGHT(Before_Tbl[[#This Row],[Department_Region]],LEN(Before_Tbl[[#This Row],[Department_Region]])-FIND("-",Before_Tbl[[#This Row],[Department_Region]]))</f>
        <v>Illinois</v>
      </c>
      <c r="V593" t="str">
        <f>TRIM(PROPER(Before_Tbl[[#This Row],[Status]]))</f>
        <v>Inactive</v>
      </c>
      <c r="W593" s="26">
        <v>44419</v>
      </c>
      <c r="X593" s="4">
        <v>74999.69</v>
      </c>
      <c r="Y593" t="str">
        <f>TRIM(LOWER(Before_Tbl[[#This Row],[Email]]))</f>
        <v>bob.garcia@example.com</v>
      </c>
      <c r="Z593" s="2" t="str">
        <f>SUBSTITUTE(Before_Tbl[[#This Row],[Phone]],"-","")</f>
        <v>155029167</v>
      </c>
      <c r="AA593" t="str">
        <f>TRIM(PROPER(Before_Tbl[[#This Row],[Performance_Score]]))</f>
        <v>Good</v>
      </c>
      <c r="AB593" s="2" t="str">
        <f>TRIM(UPPER(Before_Tbl[[#This Row],[Remote_Work]]))</f>
        <v>TRUE</v>
      </c>
    </row>
    <row r="594" spans="1:28" x14ac:dyDescent="0.35">
      <c r="A594" t="s">
        <v>1035</v>
      </c>
      <c r="B594" t="s">
        <v>59</v>
      </c>
      <c r="C594" t="s">
        <v>26</v>
      </c>
      <c r="D594">
        <v>25</v>
      </c>
      <c r="E594" t="s">
        <v>192</v>
      </c>
      <c r="F594" t="s">
        <v>16</v>
      </c>
      <c r="G594" t="s">
        <v>1036</v>
      </c>
      <c r="H594">
        <v>72245.02</v>
      </c>
      <c r="I594" t="s">
        <v>242</v>
      </c>
      <c r="J594">
        <v>-1546602415</v>
      </c>
      <c r="K594" t="s">
        <v>41</v>
      </c>
      <c r="L594" t="b">
        <v>1</v>
      </c>
      <c r="P594" t="str">
        <f>TRIM(Before_Tbl[[#This Row],[Employee_ID]])</f>
        <v>EMP1592</v>
      </c>
      <c r="Q594" t="str">
        <f>TRIM(PROPER(Before_Tbl[[#This Row],[First_Name]]))</f>
        <v>David</v>
      </c>
      <c r="R594" t="str">
        <f>TRIM(PROPER(Before_Tbl[[#This Row],[Last_Name]]))</f>
        <v>Jones</v>
      </c>
      <c r="S594" s="25">
        <f t="shared" si="9"/>
        <v>25</v>
      </c>
      <c r="T594" t="str">
        <f>LEFT(Before_Tbl[[#This Row],[Department_Region]],FIND("-",Before_Tbl[[#This Row],[Department_Region]])-1)</f>
        <v>HR</v>
      </c>
      <c r="U594" t="str">
        <f>RIGHT(Before_Tbl[[#This Row],[Department_Region]],LEN(Before_Tbl[[#This Row],[Department_Region]])-FIND("-",Before_Tbl[[#This Row],[Department_Region]]))</f>
        <v>Illinois</v>
      </c>
      <c r="V594" t="str">
        <f>TRIM(PROPER(Before_Tbl[[#This Row],[Status]]))</f>
        <v>Active</v>
      </c>
      <c r="W594" s="26">
        <v>44227</v>
      </c>
      <c r="X594" s="4">
        <v>72245.02</v>
      </c>
      <c r="Y594" t="str">
        <f>TRIM(LOWER(Before_Tbl[[#This Row],[Email]]))</f>
        <v>david.jones@example.com</v>
      </c>
      <c r="Z594" s="2" t="str">
        <f>SUBSTITUTE(Before_Tbl[[#This Row],[Phone]],"-","")</f>
        <v>1546602415</v>
      </c>
      <c r="AA594" t="str">
        <f>TRIM(PROPER(Before_Tbl[[#This Row],[Performance_Score]]))</f>
        <v>Poor</v>
      </c>
      <c r="AB594" s="2" t="str">
        <f>TRIM(UPPER(Before_Tbl[[#This Row],[Remote_Work]]))</f>
        <v>TRUE</v>
      </c>
    </row>
    <row r="595" spans="1:28" x14ac:dyDescent="0.35">
      <c r="A595" t="s">
        <v>1037</v>
      </c>
      <c r="B595" t="s">
        <v>32</v>
      </c>
      <c r="C595" t="s">
        <v>20</v>
      </c>
      <c r="E595" t="s">
        <v>89</v>
      </c>
      <c r="F595" t="s">
        <v>28</v>
      </c>
      <c r="G595" t="s">
        <v>1038</v>
      </c>
      <c r="H595">
        <v>106538.98</v>
      </c>
      <c r="I595" t="s">
        <v>155</v>
      </c>
      <c r="J595">
        <v>-1394498829</v>
      </c>
      <c r="K595" t="s">
        <v>23</v>
      </c>
      <c r="L595" t="b">
        <v>0</v>
      </c>
      <c r="P595" t="str">
        <f>TRIM(Before_Tbl[[#This Row],[Employee_ID]])</f>
        <v>EMP1593</v>
      </c>
      <c r="Q595" t="str">
        <f>TRIM(PROPER(Before_Tbl[[#This Row],[First_Name]]))</f>
        <v>Eva</v>
      </c>
      <c r="R595" t="str">
        <f>TRIM(PROPER(Before_Tbl[[#This Row],[Last_Name]]))</f>
        <v>Brown</v>
      </c>
      <c r="S595" s="25">
        <f t="shared" si="9"/>
        <v>30</v>
      </c>
      <c r="T595" t="str">
        <f>LEFT(Before_Tbl[[#This Row],[Department_Region]],FIND("-",Before_Tbl[[#This Row],[Department_Region]])-1)</f>
        <v>Admin</v>
      </c>
      <c r="U595" t="str">
        <f>RIGHT(Before_Tbl[[#This Row],[Department_Region]],LEN(Before_Tbl[[#This Row],[Department_Region]])-FIND("-",Before_Tbl[[#This Row],[Department_Region]]))</f>
        <v>Illinois</v>
      </c>
      <c r="V595" t="str">
        <f>TRIM(PROPER(Before_Tbl[[#This Row],[Status]]))</f>
        <v>Pending</v>
      </c>
      <c r="W595" s="26">
        <v>44577</v>
      </c>
      <c r="X595" s="4">
        <v>106538.98</v>
      </c>
      <c r="Y595" t="str">
        <f>TRIM(LOWER(Before_Tbl[[#This Row],[Email]]))</f>
        <v>eva.brown@example.com</v>
      </c>
      <c r="Z595" s="2" t="str">
        <f>SUBSTITUTE(Before_Tbl[[#This Row],[Phone]],"-","")</f>
        <v>1394498829</v>
      </c>
      <c r="AA595" t="str">
        <f>TRIM(PROPER(Before_Tbl[[#This Row],[Performance_Score]]))</f>
        <v>Excellent</v>
      </c>
      <c r="AB595" s="2" t="str">
        <f>TRIM(UPPER(Before_Tbl[[#This Row],[Remote_Work]]))</f>
        <v>FALSE</v>
      </c>
    </row>
    <row r="596" spans="1:28" x14ac:dyDescent="0.35">
      <c r="A596" t="s">
        <v>1039</v>
      </c>
      <c r="B596" t="s">
        <v>54</v>
      </c>
      <c r="C596" t="s">
        <v>20</v>
      </c>
      <c r="D596">
        <v>25</v>
      </c>
      <c r="E596" t="s">
        <v>66</v>
      </c>
      <c r="F596" t="s">
        <v>16</v>
      </c>
      <c r="G596" t="s">
        <v>388</v>
      </c>
      <c r="H596">
        <v>101787.14</v>
      </c>
      <c r="I596" t="s">
        <v>125</v>
      </c>
      <c r="J596">
        <v>-5973642479</v>
      </c>
      <c r="K596" t="s">
        <v>30</v>
      </c>
      <c r="L596" t="b">
        <v>0</v>
      </c>
      <c r="P596" t="str">
        <f>TRIM(Before_Tbl[[#This Row],[Employee_ID]])</f>
        <v>EMP1594</v>
      </c>
      <c r="Q596" t="str">
        <f>TRIM(PROPER(Before_Tbl[[#This Row],[First_Name]]))</f>
        <v>Charlie</v>
      </c>
      <c r="R596" t="str">
        <f>TRIM(PROPER(Before_Tbl[[#This Row],[Last_Name]]))</f>
        <v>Brown</v>
      </c>
      <c r="S596" s="25">
        <f t="shared" si="9"/>
        <v>25</v>
      </c>
      <c r="T596" t="str">
        <f>LEFT(Before_Tbl[[#This Row],[Department_Region]],FIND("-",Before_Tbl[[#This Row],[Department_Region]])-1)</f>
        <v>HR</v>
      </c>
      <c r="U596" t="str">
        <f>RIGHT(Before_Tbl[[#This Row],[Department_Region]],LEN(Before_Tbl[[#This Row],[Department_Region]])-FIND("-",Before_Tbl[[#This Row],[Department_Region]]))</f>
        <v>New York</v>
      </c>
      <c r="V596" t="str">
        <f>TRIM(PROPER(Before_Tbl[[#This Row],[Status]]))</f>
        <v>Active</v>
      </c>
      <c r="W596" s="26">
        <v>45289</v>
      </c>
      <c r="X596" s="4">
        <v>101787.14</v>
      </c>
      <c r="Y596" t="str">
        <f>TRIM(LOWER(Before_Tbl[[#This Row],[Email]]))</f>
        <v>charlie.brown@example.com</v>
      </c>
      <c r="Z596" s="2" t="str">
        <f>SUBSTITUTE(Before_Tbl[[#This Row],[Phone]],"-","")</f>
        <v>5973642479</v>
      </c>
      <c r="AA596" t="str">
        <f>TRIM(PROPER(Before_Tbl[[#This Row],[Performance_Score]]))</f>
        <v>Good</v>
      </c>
      <c r="AB596" s="2" t="str">
        <f>TRIM(UPPER(Before_Tbl[[#This Row],[Remote_Work]]))</f>
        <v>FALSE</v>
      </c>
    </row>
    <row r="597" spans="1:28" x14ac:dyDescent="0.35">
      <c r="A597" t="s">
        <v>1040</v>
      </c>
      <c r="B597" t="s">
        <v>37</v>
      </c>
      <c r="C597" t="s">
        <v>20</v>
      </c>
      <c r="D597">
        <v>30</v>
      </c>
      <c r="E597" t="s">
        <v>329</v>
      </c>
      <c r="F597" t="s">
        <v>33</v>
      </c>
      <c r="G597" s="1">
        <v>45334</v>
      </c>
      <c r="H597">
        <v>83596.78</v>
      </c>
      <c r="I597" t="s">
        <v>239</v>
      </c>
      <c r="J597">
        <v>-9624406305</v>
      </c>
      <c r="K597" t="s">
        <v>18</v>
      </c>
      <c r="L597" t="b">
        <v>0</v>
      </c>
      <c r="P597" t="str">
        <f>TRIM(Before_Tbl[[#This Row],[Employee_ID]])</f>
        <v>EMP1595</v>
      </c>
      <c r="Q597" t="str">
        <f>TRIM(PROPER(Before_Tbl[[#This Row],[First_Name]]))</f>
        <v>Frank</v>
      </c>
      <c r="R597" t="str">
        <f>TRIM(PROPER(Before_Tbl[[#This Row],[Last_Name]]))</f>
        <v>Brown</v>
      </c>
      <c r="S597" s="25">
        <f t="shared" si="9"/>
        <v>30</v>
      </c>
      <c r="T597" t="str">
        <f>LEFT(Before_Tbl[[#This Row],[Department_Region]],FIND("-",Before_Tbl[[#This Row],[Department_Region]])-1)</f>
        <v>DevOps</v>
      </c>
      <c r="U597" t="str">
        <f>RIGHT(Before_Tbl[[#This Row],[Department_Region]],LEN(Before_Tbl[[#This Row],[Department_Region]])-FIND("-",Before_Tbl[[#This Row],[Department_Region]]))</f>
        <v>Nevada</v>
      </c>
      <c r="V597" t="str">
        <f>TRIM(PROPER(Before_Tbl[[#This Row],[Status]]))</f>
        <v>Inactive</v>
      </c>
      <c r="W597" s="26">
        <v>45334</v>
      </c>
      <c r="X597" s="4">
        <v>83596.78</v>
      </c>
      <c r="Y597" t="str">
        <f>TRIM(LOWER(Before_Tbl[[#This Row],[Email]]))</f>
        <v>frank.brown@example.com</v>
      </c>
      <c r="Z597" s="2" t="str">
        <f>SUBSTITUTE(Before_Tbl[[#This Row],[Phone]],"-","")</f>
        <v>9624406305</v>
      </c>
      <c r="AA597" t="str">
        <f>TRIM(PROPER(Before_Tbl[[#This Row],[Performance_Score]]))</f>
        <v>Average</v>
      </c>
      <c r="AB597" s="2" t="str">
        <f>TRIM(UPPER(Before_Tbl[[#This Row],[Remote_Work]]))</f>
        <v>FALSE</v>
      </c>
    </row>
    <row r="598" spans="1:28" x14ac:dyDescent="0.35">
      <c r="A598" t="s">
        <v>1041</v>
      </c>
      <c r="B598" t="s">
        <v>32</v>
      </c>
      <c r="C598" t="s">
        <v>26</v>
      </c>
      <c r="D598">
        <v>40</v>
      </c>
      <c r="E598" t="s">
        <v>44</v>
      </c>
      <c r="F598" t="s">
        <v>16</v>
      </c>
      <c r="G598" t="s">
        <v>575</v>
      </c>
      <c r="H598">
        <v>92463.94</v>
      </c>
      <c r="I598" t="s">
        <v>278</v>
      </c>
      <c r="J598">
        <v>-2447951329</v>
      </c>
      <c r="K598" t="s">
        <v>18</v>
      </c>
      <c r="L598" t="b">
        <v>1</v>
      </c>
      <c r="P598" t="str">
        <f>TRIM(Before_Tbl[[#This Row],[Employee_ID]])</f>
        <v>EMP1596</v>
      </c>
      <c r="Q598" t="str">
        <f>TRIM(PROPER(Before_Tbl[[#This Row],[First_Name]]))</f>
        <v>Eva</v>
      </c>
      <c r="R598" t="str">
        <f>TRIM(PROPER(Before_Tbl[[#This Row],[Last_Name]]))</f>
        <v>Jones</v>
      </c>
      <c r="S598" s="25">
        <f t="shared" si="9"/>
        <v>40</v>
      </c>
      <c r="T598" t="str">
        <f>LEFT(Before_Tbl[[#This Row],[Department_Region]],FIND("-",Before_Tbl[[#This Row],[Department_Region]])-1)</f>
        <v>Sales</v>
      </c>
      <c r="U598" t="str">
        <f>RIGHT(Before_Tbl[[#This Row],[Department_Region]],LEN(Before_Tbl[[#This Row],[Department_Region]])-FIND("-",Before_Tbl[[#This Row],[Department_Region]]))</f>
        <v>Texas</v>
      </c>
      <c r="V598" t="str">
        <f>TRIM(PROPER(Before_Tbl[[#This Row],[Status]]))</f>
        <v>Active</v>
      </c>
      <c r="W598" s="26">
        <v>45153</v>
      </c>
      <c r="X598" s="4">
        <v>92463.94</v>
      </c>
      <c r="Y598" t="str">
        <f>TRIM(LOWER(Before_Tbl[[#This Row],[Email]]))</f>
        <v>eva.jones@example.com</v>
      </c>
      <c r="Z598" s="2" t="str">
        <f>SUBSTITUTE(Before_Tbl[[#This Row],[Phone]],"-","")</f>
        <v>2447951329</v>
      </c>
      <c r="AA598" t="str">
        <f>TRIM(PROPER(Before_Tbl[[#This Row],[Performance_Score]]))</f>
        <v>Average</v>
      </c>
      <c r="AB598" s="2" t="str">
        <f>TRIM(UPPER(Before_Tbl[[#This Row],[Remote_Work]]))</f>
        <v>TRUE</v>
      </c>
    </row>
    <row r="599" spans="1:28" x14ac:dyDescent="0.35">
      <c r="A599" t="s">
        <v>1042</v>
      </c>
      <c r="B599" t="s">
        <v>54</v>
      </c>
      <c r="C599" t="s">
        <v>14</v>
      </c>
      <c r="E599" t="s">
        <v>118</v>
      </c>
      <c r="F599" t="s">
        <v>28</v>
      </c>
      <c r="G599" t="s">
        <v>1043</v>
      </c>
      <c r="H599">
        <v>93863.32</v>
      </c>
      <c r="I599" t="s">
        <v>170</v>
      </c>
      <c r="J599">
        <v>-5319497968</v>
      </c>
      <c r="K599" t="s">
        <v>23</v>
      </c>
      <c r="L599" t="b">
        <v>0</v>
      </c>
      <c r="P599" t="str">
        <f>TRIM(Before_Tbl[[#This Row],[Employee_ID]])</f>
        <v>EMP1597</v>
      </c>
      <c r="Q599" t="str">
        <f>TRIM(PROPER(Before_Tbl[[#This Row],[First_Name]]))</f>
        <v>Charlie</v>
      </c>
      <c r="R599" t="str">
        <f>TRIM(PROPER(Before_Tbl[[#This Row],[Last_Name]]))</f>
        <v>Davis</v>
      </c>
      <c r="S599" s="25">
        <f t="shared" si="9"/>
        <v>30</v>
      </c>
      <c r="T599" t="str">
        <f>LEFT(Before_Tbl[[#This Row],[Department_Region]],FIND("-",Before_Tbl[[#This Row],[Department_Region]])-1)</f>
        <v>Admin</v>
      </c>
      <c r="U599" t="str">
        <f>RIGHT(Before_Tbl[[#This Row],[Department_Region]],LEN(Before_Tbl[[#This Row],[Department_Region]])-FIND("-",Before_Tbl[[#This Row],[Department_Region]]))</f>
        <v>California</v>
      </c>
      <c r="V599" t="str">
        <f>TRIM(PROPER(Before_Tbl[[#This Row],[Status]]))</f>
        <v>Pending</v>
      </c>
      <c r="W599" s="26">
        <v>45646</v>
      </c>
      <c r="X599" s="4">
        <v>93863.32</v>
      </c>
      <c r="Y599" t="str">
        <f>TRIM(LOWER(Before_Tbl[[#This Row],[Email]]))</f>
        <v>charlie.davis@example.com</v>
      </c>
      <c r="Z599" s="2" t="str">
        <f>SUBSTITUTE(Before_Tbl[[#This Row],[Phone]],"-","")</f>
        <v>5319497968</v>
      </c>
      <c r="AA599" t="str">
        <f>TRIM(PROPER(Before_Tbl[[#This Row],[Performance_Score]]))</f>
        <v>Excellent</v>
      </c>
      <c r="AB599" s="2" t="str">
        <f>TRIM(UPPER(Before_Tbl[[#This Row],[Remote_Work]]))</f>
        <v>FALSE</v>
      </c>
    </row>
    <row r="600" spans="1:28" x14ac:dyDescent="0.35">
      <c r="A600" t="s">
        <v>1044</v>
      </c>
      <c r="B600" t="s">
        <v>25</v>
      </c>
      <c r="C600" t="s">
        <v>20</v>
      </c>
      <c r="E600" t="s">
        <v>237</v>
      </c>
      <c r="F600" t="s">
        <v>28</v>
      </c>
      <c r="G600" t="s">
        <v>1045</v>
      </c>
      <c r="H600">
        <v>78359.41</v>
      </c>
      <c r="I600" t="s">
        <v>80</v>
      </c>
      <c r="J600">
        <v>-5867805554</v>
      </c>
      <c r="K600" t="s">
        <v>30</v>
      </c>
      <c r="L600" t="b">
        <v>0</v>
      </c>
      <c r="P600" t="str">
        <f>TRIM(Before_Tbl[[#This Row],[Employee_ID]])</f>
        <v>EMP1598</v>
      </c>
      <c r="Q600" t="str">
        <f>TRIM(PROPER(Before_Tbl[[#This Row],[First_Name]]))</f>
        <v>Alice</v>
      </c>
      <c r="R600" t="str">
        <f>TRIM(PROPER(Before_Tbl[[#This Row],[Last_Name]]))</f>
        <v>Brown</v>
      </c>
      <c r="S600" s="25">
        <f t="shared" si="9"/>
        <v>30</v>
      </c>
      <c r="T600" t="str">
        <f>LEFT(Before_Tbl[[#This Row],[Department_Region]],FIND("-",Before_Tbl[[#This Row],[Department_Region]])-1)</f>
        <v>DevOps</v>
      </c>
      <c r="U600" t="str">
        <f>RIGHT(Before_Tbl[[#This Row],[Department_Region]],LEN(Before_Tbl[[#This Row],[Department_Region]])-FIND("-",Before_Tbl[[#This Row],[Department_Region]]))</f>
        <v>Texas</v>
      </c>
      <c r="V600" t="str">
        <f>TRIM(PROPER(Before_Tbl[[#This Row],[Status]]))</f>
        <v>Pending</v>
      </c>
      <c r="W600" s="26">
        <v>45016</v>
      </c>
      <c r="X600" s="4">
        <v>78359.41</v>
      </c>
      <c r="Y600" t="str">
        <f>TRIM(LOWER(Before_Tbl[[#This Row],[Email]]))</f>
        <v>alice.brown@example.com</v>
      </c>
      <c r="Z600" s="2" t="str">
        <f>SUBSTITUTE(Before_Tbl[[#This Row],[Phone]],"-","")</f>
        <v>5867805554</v>
      </c>
      <c r="AA600" t="str">
        <f>TRIM(PROPER(Before_Tbl[[#This Row],[Performance_Score]]))</f>
        <v>Good</v>
      </c>
      <c r="AB600" s="2" t="str">
        <f>TRIM(UPPER(Before_Tbl[[#This Row],[Remote_Work]]))</f>
        <v>FALSE</v>
      </c>
    </row>
    <row r="601" spans="1:28" x14ac:dyDescent="0.35">
      <c r="A601" t="s">
        <v>1046</v>
      </c>
      <c r="B601" t="s">
        <v>25</v>
      </c>
      <c r="C601" t="s">
        <v>92</v>
      </c>
      <c r="E601" t="s">
        <v>192</v>
      </c>
      <c r="F601" t="s">
        <v>28</v>
      </c>
      <c r="G601" t="s">
        <v>780</v>
      </c>
      <c r="H601">
        <v>95773.57</v>
      </c>
      <c r="I601" t="s">
        <v>166</v>
      </c>
      <c r="J601">
        <v>-7277382645</v>
      </c>
      <c r="K601" t="s">
        <v>23</v>
      </c>
      <c r="L601" t="b">
        <v>0</v>
      </c>
      <c r="P601" t="str">
        <f>TRIM(Before_Tbl[[#This Row],[Employee_ID]])</f>
        <v>EMP1599</v>
      </c>
      <c r="Q601" t="str">
        <f>TRIM(PROPER(Before_Tbl[[#This Row],[First_Name]]))</f>
        <v>Alice</v>
      </c>
      <c r="R601" t="str">
        <f>TRIM(PROPER(Before_Tbl[[#This Row],[Last_Name]]))</f>
        <v>Miller</v>
      </c>
      <c r="S601" s="25">
        <f t="shared" si="9"/>
        <v>30</v>
      </c>
      <c r="T601" t="str">
        <f>LEFT(Before_Tbl[[#This Row],[Department_Region]],FIND("-",Before_Tbl[[#This Row],[Department_Region]])-1)</f>
        <v>HR</v>
      </c>
      <c r="U601" t="str">
        <f>RIGHT(Before_Tbl[[#This Row],[Department_Region]],LEN(Before_Tbl[[#This Row],[Department_Region]])-FIND("-",Before_Tbl[[#This Row],[Department_Region]]))</f>
        <v>Illinois</v>
      </c>
      <c r="V601" t="str">
        <f>TRIM(PROPER(Before_Tbl[[#This Row],[Status]]))</f>
        <v>Pending</v>
      </c>
      <c r="W601" s="26">
        <v>44797</v>
      </c>
      <c r="X601" s="4">
        <v>95773.57</v>
      </c>
      <c r="Y601" t="str">
        <f>TRIM(LOWER(Before_Tbl[[#This Row],[Email]]))</f>
        <v>alice.miller@example.com</v>
      </c>
      <c r="Z601" s="2" t="str">
        <f>SUBSTITUTE(Before_Tbl[[#This Row],[Phone]],"-","")</f>
        <v>7277382645</v>
      </c>
      <c r="AA601" t="str">
        <f>TRIM(PROPER(Before_Tbl[[#This Row],[Performance_Score]]))</f>
        <v>Excellent</v>
      </c>
      <c r="AB601" s="2" t="str">
        <f>TRIM(UPPER(Before_Tbl[[#This Row],[Remote_Work]]))</f>
        <v>FALSE</v>
      </c>
    </row>
    <row r="602" spans="1:28" x14ac:dyDescent="0.35">
      <c r="A602" t="s">
        <v>1047</v>
      </c>
      <c r="B602" t="s">
        <v>69</v>
      </c>
      <c r="C602" t="s">
        <v>26</v>
      </c>
      <c r="D602">
        <v>30</v>
      </c>
      <c r="E602" t="s">
        <v>219</v>
      </c>
      <c r="F602" t="s">
        <v>33</v>
      </c>
      <c r="G602" s="1">
        <v>43840</v>
      </c>
      <c r="H602">
        <v>82529.08</v>
      </c>
      <c r="I602" t="s">
        <v>76</v>
      </c>
      <c r="J602">
        <v>-917851384</v>
      </c>
      <c r="K602" t="s">
        <v>23</v>
      </c>
      <c r="L602" t="b">
        <v>1</v>
      </c>
      <c r="P602" t="str">
        <f>TRIM(Before_Tbl[[#This Row],[Employee_ID]])</f>
        <v>EMP1600</v>
      </c>
      <c r="Q602" t="str">
        <f>TRIM(PROPER(Before_Tbl[[#This Row],[First_Name]]))</f>
        <v>Grace</v>
      </c>
      <c r="R602" t="str">
        <f>TRIM(PROPER(Before_Tbl[[#This Row],[Last_Name]]))</f>
        <v>Jones</v>
      </c>
      <c r="S602" s="25">
        <f t="shared" si="9"/>
        <v>30</v>
      </c>
      <c r="T602" t="str">
        <f>LEFT(Before_Tbl[[#This Row],[Department_Region]],FIND("-",Before_Tbl[[#This Row],[Department_Region]])-1)</f>
        <v>Sales</v>
      </c>
      <c r="U602" t="str">
        <f>RIGHT(Before_Tbl[[#This Row],[Department_Region]],LEN(Before_Tbl[[#This Row],[Department_Region]])-FIND("-",Before_Tbl[[#This Row],[Department_Region]]))</f>
        <v>Nevada</v>
      </c>
      <c r="V602" t="str">
        <f>TRIM(PROPER(Before_Tbl[[#This Row],[Status]]))</f>
        <v>Inactive</v>
      </c>
      <c r="W602" s="26">
        <v>43840</v>
      </c>
      <c r="X602" s="4">
        <v>82529.08</v>
      </c>
      <c r="Y602" t="str">
        <f>TRIM(LOWER(Before_Tbl[[#This Row],[Email]]))</f>
        <v>grace.jones@example.com</v>
      </c>
      <c r="Z602" s="2" t="str">
        <f>SUBSTITUTE(Before_Tbl[[#This Row],[Phone]],"-","")</f>
        <v>917851384</v>
      </c>
      <c r="AA602" t="str">
        <f>TRIM(PROPER(Before_Tbl[[#This Row],[Performance_Score]]))</f>
        <v>Excellent</v>
      </c>
      <c r="AB602" s="2" t="str">
        <f>TRIM(UPPER(Before_Tbl[[#This Row],[Remote_Work]]))</f>
        <v>TRUE</v>
      </c>
    </row>
    <row r="603" spans="1:28" x14ac:dyDescent="0.35">
      <c r="A603" t="s">
        <v>1048</v>
      </c>
      <c r="B603" t="s">
        <v>69</v>
      </c>
      <c r="C603" t="s">
        <v>43</v>
      </c>
      <c r="D603">
        <v>35</v>
      </c>
      <c r="E603" t="s">
        <v>44</v>
      </c>
      <c r="F603" t="s">
        <v>28</v>
      </c>
      <c r="G603" s="1">
        <v>44291</v>
      </c>
      <c r="H603">
        <v>109358.73</v>
      </c>
      <c r="I603" t="s">
        <v>83</v>
      </c>
      <c r="J603">
        <v>-4457702991</v>
      </c>
      <c r="K603" t="s">
        <v>30</v>
      </c>
      <c r="L603" t="b">
        <v>0</v>
      </c>
      <c r="P603" t="str">
        <f>TRIM(Before_Tbl[[#This Row],[Employee_ID]])</f>
        <v>EMP1601</v>
      </c>
      <c r="Q603" t="str">
        <f>TRIM(PROPER(Before_Tbl[[#This Row],[First_Name]]))</f>
        <v>Grace</v>
      </c>
      <c r="R603" t="str">
        <f>TRIM(PROPER(Before_Tbl[[#This Row],[Last_Name]]))</f>
        <v>Garcia</v>
      </c>
      <c r="S603" s="25">
        <f t="shared" si="9"/>
        <v>35</v>
      </c>
      <c r="T603" t="str">
        <f>LEFT(Before_Tbl[[#This Row],[Department_Region]],FIND("-",Before_Tbl[[#This Row],[Department_Region]])-1)</f>
        <v>Sales</v>
      </c>
      <c r="U603" t="str">
        <f>RIGHT(Before_Tbl[[#This Row],[Department_Region]],LEN(Before_Tbl[[#This Row],[Department_Region]])-FIND("-",Before_Tbl[[#This Row],[Department_Region]]))</f>
        <v>Texas</v>
      </c>
      <c r="V603" t="str">
        <f>TRIM(PROPER(Before_Tbl[[#This Row],[Status]]))</f>
        <v>Pending</v>
      </c>
      <c r="W603" s="26">
        <v>44291</v>
      </c>
      <c r="X603" s="4">
        <v>109358.73</v>
      </c>
      <c r="Y603" t="str">
        <f>TRIM(LOWER(Before_Tbl[[#This Row],[Email]]))</f>
        <v>grace.garcia@example.com</v>
      </c>
      <c r="Z603" s="2" t="str">
        <f>SUBSTITUTE(Before_Tbl[[#This Row],[Phone]],"-","")</f>
        <v>4457702991</v>
      </c>
      <c r="AA603" t="str">
        <f>TRIM(PROPER(Before_Tbl[[#This Row],[Performance_Score]]))</f>
        <v>Good</v>
      </c>
      <c r="AB603" s="2" t="str">
        <f>TRIM(UPPER(Before_Tbl[[#This Row],[Remote_Work]]))</f>
        <v>FALSE</v>
      </c>
    </row>
    <row r="604" spans="1:28" x14ac:dyDescent="0.35">
      <c r="A604" t="s">
        <v>1049</v>
      </c>
      <c r="B604" t="s">
        <v>54</v>
      </c>
      <c r="C604" t="s">
        <v>20</v>
      </c>
      <c r="E604" t="s">
        <v>205</v>
      </c>
      <c r="F604" t="s">
        <v>16</v>
      </c>
      <c r="G604" s="1">
        <v>44197</v>
      </c>
      <c r="H604">
        <v>89645.01</v>
      </c>
      <c r="I604" t="s">
        <v>125</v>
      </c>
      <c r="J604">
        <v>-9596604872</v>
      </c>
      <c r="K604" t="s">
        <v>30</v>
      </c>
      <c r="L604" t="b">
        <v>1</v>
      </c>
      <c r="P604" t="str">
        <f>TRIM(Before_Tbl[[#This Row],[Employee_ID]])</f>
        <v>EMP1602</v>
      </c>
      <c r="Q604" t="str">
        <f>TRIM(PROPER(Before_Tbl[[#This Row],[First_Name]]))</f>
        <v>Charlie</v>
      </c>
      <c r="R604" t="str">
        <f>TRIM(PROPER(Before_Tbl[[#This Row],[Last_Name]]))</f>
        <v>Brown</v>
      </c>
      <c r="S604" s="25">
        <f t="shared" si="9"/>
        <v>30</v>
      </c>
      <c r="T604" t="str">
        <f>LEFT(Before_Tbl[[#This Row],[Department_Region]],FIND("-",Before_Tbl[[#This Row],[Department_Region]])-1)</f>
        <v>Admin</v>
      </c>
      <c r="U604" t="str">
        <f>RIGHT(Before_Tbl[[#This Row],[Department_Region]],LEN(Before_Tbl[[#This Row],[Department_Region]])-FIND("-",Before_Tbl[[#This Row],[Department_Region]]))</f>
        <v>Florida</v>
      </c>
      <c r="V604" t="str">
        <f>TRIM(PROPER(Before_Tbl[[#This Row],[Status]]))</f>
        <v>Active</v>
      </c>
      <c r="W604" s="26">
        <v>44197</v>
      </c>
      <c r="X604" s="4">
        <v>89645.01</v>
      </c>
      <c r="Y604" t="str">
        <f>TRIM(LOWER(Before_Tbl[[#This Row],[Email]]))</f>
        <v>charlie.brown@example.com</v>
      </c>
      <c r="Z604" s="2" t="str">
        <f>SUBSTITUTE(Before_Tbl[[#This Row],[Phone]],"-","")</f>
        <v>9596604872</v>
      </c>
      <c r="AA604" t="str">
        <f>TRIM(PROPER(Before_Tbl[[#This Row],[Performance_Score]]))</f>
        <v>Good</v>
      </c>
      <c r="AB604" s="2" t="str">
        <f>TRIM(UPPER(Before_Tbl[[#This Row],[Remote_Work]]))</f>
        <v>TRUE</v>
      </c>
    </row>
    <row r="605" spans="1:28" x14ac:dyDescent="0.35">
      <c r="A605" t="s">
        <v>1050</v>
      </c>
      <c r="B605" t="s">
        <v>54</v>
      </c>
      <c r="C605" t="s">
        <v>92</v>
      </c>
      <c r="D605">
        <v>40</v>
      </c>
      <c r="E605" t="s">
        <v>139</v>
      </c>
      <c r="F605" t="s">
        <v>16</v>
      </c>
      <c r="G605" s="1">
        <v>45508</v>
      </c>
      <c r="H605">
        <v>84134.95</v>
      </c>
      <c r="I605" t="s">
        <v>502</v>
      </c>
      <c r="J605">
        <v>-6826911632</v>
      </c>
      <c r="K605" t="s">
        <v>41</v>
      </c>
      <c r="L605" t="b">
        <v>1</v>
      </c>
      <c r="P605" t="str">
        <f>TRIM(Before_Tbl[[#This Row],[Employee_ID]])</f>
        <v>EMP1603</v>
      </c>
      <c r="Q605" t="str">
        <f>TRIM(PROPER(Before_Tbl[[#This Row],[First_Name]]))</f>
        <v>Charlie</v>
      </c>
      <c r="R605" t="str">
        <f>TRIM(PROPER(Before_Tbl[[#This Row],[Last_Name]]))</f>
        <v>Miller</v>
      </c>
      <c r="S605" s="25">
        <f t="shared" si="9"/>
        <v>40</v>
      </c>
      <c r="T605" t="str">
        <f>LEFT(Before_Tbl[[#This Row],[Department_Region]],FIND("-",Before_Tbl[[#This Row],[Department_Region]])-1)</f>
        <v>HR</v>
      </c>
      <c r="U605" t="str">
        <f>RIGHT(Before_Tbl[[#This Row],[Department_Region]],LEN(Before_Tbl[[#This Row],[Department_Region]])-FIND("-",Before_Tbl[[#This Row],[Department_Region]]))</f>
        <v>Texas</v>
      </c>
      <c r="V605" t="str">
        <f>TRIM(PROPER(Before_Tbl[[#This Row],[Status]]))</f>
        <v>Active</v>
      </c>
      <c r="W605" s="26">
        <v>45508</v>
      </c>
      <c r="X605" s="4">
        <v>84134.95</v>
      </c>
      <c r="Y605" t="str">
        <f>TRIM(LOWER(Before_Tbl[[#This Row],[Email]]))</f>
        <v>charlie.miller@example.com</v>
      </c>
      <c r="Z605" s="2" t="str">
        <f>SUBSTITUTE(Before_Tbl[[#This Row],[Phone]],"-","")</f>
        <v>6826911632</v>
      </c>
      <c r="AA605" t="str">
        <f>TRIM(PROPER(Before_Tbl[[#This Row],[Performance_Score]]))</f>
        <v>Poor</v>
      </c>
      <c r="AB605" s="2" t="str">
        <f>TRIM(UPPER(Before_Tbl[[#This Row],[Remote_Work]]))</f>
        <v>TRUE</v>
      </c>
    </row>
    <row r="606" spans="1:28" x14ac:dyDescent="0.35">
      <c r="A606" t="s">
        <v>1051</v>
      </c>
      <c r="B606" t="s">
        <v>37</v>
      </c>
      <c r="C606" t="s">
        <v>14</v>
      </c>
      <c r="D606">
        <v>30</v>
      </c>
      <c r="E606" t="s">
        <v>85</v>
      </c>
      <c r="F606" t="s">
        <v>16</v>
      </c>
      <c r="G606" t="s">
        <v>203</v>
      </c>
      <c r="H606">
        <v>113540.83</v>
      </c>
      <c r="I606" t="s">
        <v>52</v>
      </c>
      <c r="J606">
        <v>-1942268652</v>
      </c>
      <c r="K606" t="s">
        <v>30</v>
      </c>
      <c r="L606" t="b">
        <v>1</v>
      </c>
      <c r="P606" t="str">
        <f>TRIM(Before_Tbl[[#This Row],[Employee_ID]])</f>
        <v>EMP1604</v>
      </c>
      <c r="Q606" t="str">
        <f>TRIM(PROPER(Before_Tbl[[#This Row],[First_Name]]))</f>
        <v>Frank</v>
      </c>
      <c r="R606" t="str">
        <f>TRIM(PROPER(Before_Tbl[[#This Row],[Last_Name]]))</f>
        <v>Davis</v>
      </c>
      <c r="S606" s="25">
        <f t="shared" si="9"/>
        <v>30</v>
      </c>
      <c r="T606" t="str">
        <f>LEFT(Before_Tbl[[#This Row],[Department_Region]],FIND("-",Before_Tbl[[#This Row],[Department_Region]])-1)</f>
        <v>Cloud Tech</v>
      </c>
      <c r="U606" t="str">
        <f>RIGHT(Before_Tbl[[#This Row],[Department_Region]],LEN(Before_Tbl[[#This Row],[Department_Region]])-FIND("-",Before_Tbl[[#This Row],[Department_Region]]))</f>
        <v>Nevada</v>
      </c>
      <c r="V606" t="str">
        <f>TRIM(PROPER(Before_Tbl[[#This Row],[Status]]))</f>
        <v>Active</v>
      </c>
      <c r="W606" s="26">
        <v>44891</v>
      </c>
      <c r="X606" s="4">
        <v>113540.83</v>
      </c>
      <c r="Y606" t="str">
        <f>TRIM(LOWER(Before_Tbl[[#This Row],[Email]]))</f>
        <v>frank.davis@example.com</v>
      </c>
      <c r="Z606" s="2" t="str">
        <f>SUBSTITUTE(Before_Tbl[[#This Row],[Phone]],"-","")</f>
        <v>1942268652</v>
      </c>
      <c r="AA606" t="str">
        <f>TRIM(PROPER(Before_Tbl[[#This Row],[Performance_Score]]))</f>
        <v>Good</v>
      </c>
      <c r="AB606" s="2" t="str">
        <f>TRIM(UPPER(Before_Tbl[[#This Row],[Remote_Work]]))</f>
        <v>TRUE</v>
      </c>
    </row>
    <row r="607" spans="1:28" x14ac:dyDescent="0.35">
      <c r="A607" t="s">
        <v>1052</v>
      </c>
      <c r="B607" t="s">
        <v>65</v>
      </c>
      <c r="C607" t="s">
        <v>38</v>
      </c>
      <c r="D607">
        <v>40</v>
      </c>
      <c r="E607" t="s">
        <v>159</v>
      </c>
      <c r="F607" t="s">
        <v>28</v>
      </c>
      <c r="G607" t="s">
        <v>1053</v>
      </c>
      <c r="H607">
        <v>57225.75</v>
      </c>
      <c r="I607" t="s">
        <v>67</v>
      </c>
      <c r="J607">
        <v>-6945515887</v>
      </c>
      <c r="K607" t="s">
        <v>18</v>
      </c>
      <c r="L607" t="b">
        <v>1</v>
      </c>
      <c r="P607" t="str">
        <f>TRIM(Before_Tbl[[#This Row],[Employee_ID]])</f>
        <v>EMP1605</v>
      </c>
      <c r="Q607" t="str">
        <f>TRIM(PROPER(Before_Tbl[[#This Row],[First_Name]]))</f>
        <v>Heidi</v>
      </c>
      <c r="R607" t="str">
        <f>TRIM(PROPER(Before_Tbl[[#This Row],[Last_Name]]))</f>
        <v>Williams</v>
      </c>
      <c r="S607" s="25">
        <f t="shared" si="9"/>
        <v>40</v>
      </c>
      <c r="T607" t="str">
        <f>LEFT(Before_Tbl[[#This Row],[Department_Region]],FIND("-",Before_Tbl[[#This Row],[Department_Region]])-1)</f>
        <v>Cloud Tech</v>
      </c>
      <c r="U607" t="str">
        <f>RIGHT(Before_Tbl[[#This Row],[Department_Region]],LEN(Before_Tbl[[#This Row],[Department_Region]])-FIND("-",Before_Tbl[[#This Row],[Department_Region]]))</f>
        <v>Texas</v>
      </c>
      <c r="V607" t="str">
        <f>TRIM(PROPER(Before_Tbl[[#This Row],[Status]]))</f>
        <v>Pending</v>
      </c>
      <c r="W607" s="26">
        <v>44494</v>
      </c>
      <c r="X607" s="4">
        <v>57225.75</v>
      </c>
      <c r="Y607" t="str">
        <f>TRIM(LOWER(Before_Tbl[[#This Row],[Email]]))</f>
        <v>heidi.williams@example.com</v>
      </c>
      <c r="Z607" s="2" t="str">
        <f>SUBSTITUTE(Before_Tbl[[#This Row],[Phone]],"-","")</f>
        <v>6945515887</v>
      </c>
      <c r="AA607" t="str">
        <f>TRIM(PROPER(Before_Tbl[[#This Row],[Performance_Score]]))</f>
        <v>Average</v>
      </c>
      <c r="AB607" s="2" t="str">
        <f>TRIM(UPPER(Before_Tbl[[#This Row],[Remote_Work]]))</f>
        <v>TRUE</v>
      </c>
    </row>
    <row r="608" spans="1:28" x14ac:dyDescent="0.35">
      <c r="A608" t="s">
        <v>1054</v>
      </c>
      <c r="B608" t="s">
        <v>32</v>
      </c>
      <c r="C608" t="s">
        <v>14</v>
      </c>
      <c r="D608">
        <v>35</v>
      </c>
      <c r="E608" t="s">
        <v>98</v>
      </c>
      <c r="F608" t="s">
        <v>28</v>
      </c>
      <c r="G608" t="s">
        <v>1055</v>
      </c>
      <c r="H608">
        <v>76366.17</v>
      </c>
      <c r="I608" t="s">
        <v>35</v>
      </c>
      <c r="J608">
        <v>-6367747225</v>
      </c>
      <c r="K608" t="s">
        <v>23</v>
      </c>
      <c r="L608" t="b">
        <v>0</v>
      </c>
      <c r="P608" t="str">
        <f>TRIM(Before_Tbl[[#This Row],[Employee_ID]])</f>
        <v>EMP1606</v>
      </c>
      <c r="Q608" t="str">
        <f>TRIM(PROPER(Before_Tbl[[#This Row],[First_Name]]))</f>
        <v>Eva</v>
      </c>
      <c r="R608" t="str">
        <f>TRIM(PROPER(Before_Tbl[[#This Row],[Last_Name]]))</f>
        <v>Davis</v>
      </c>
      <c r="S608" s="25">
        <f t="shared" si="9"/>
        <v>35</v>
      </c>
      <c r="T608" t="str">
        <f>LEFT(Before_Tbl[[#This Row],[Department_Region]],FIND("-",Before_Tbl[[#This Row],[Department_Region]])-1)</f>
        <v>Sales</v>
      </c>
      <c r="U608" t="str">
        <f>RIGHT(Before_Tbl[[#This Row],[Department_Region]],LEN(Before_Tbl[[#This Row],[Department_Region]])-FIND("-",Before_Tbl[[#This Row],[Department_Region]]))</f>
        <v>Illinois</v>
      </c>
      <c r="V608" t="str">
        <f>TRIM(PROPER(Before_Tbl[[#This Row],[Status]]))</f>
        <v>Pending</v>
      </c>
      <c r="W608" s="26">
        <v>44187</v>
      </c>
      <c r="X608" s="4">
        <v>76366.17</v>
      </c>
      <c r="Y608" t="str">
        <f>TRIM(LOWER(Before_Tbl[[#This Row],[Email]]))</f>
        <v>eva.davis@example.com</v>
      </c>
      <c r="Z608" s="2" t="str">
        <f>SUBSTITUTE(Before_Tbl[[#This Row],[Phone]],"-","")</f>
        <v>6367747225</v>
      </c>
      <c r="AA608" t="str">
        <f>TRIM(PROPER(Before_Tbl[[#This Row],[Performance_Score]]))</f>
        <v>Excellent</v>
      </c>
      <c r="AB608" s="2" t="str">
        <f>TRIM(UPPER(Before_Tbl[[#This Row],[Remote_Work]]))</f>
        <v>FALSE</v>
      </c>
    </row>
    <row r="609" spans="1:28" x14ac:dyDescent="0.35">
      <c r="A609" t="s">
        <v>1056</v>
      </c>
      <c r="B609" t="s">
        <v>13</v>
      </c>
      <c r="C609" t="s">
        <v>43</v>
      </c>
      <c r="E609" t="s">
        <v>212</v>
      </c>
      <c r="F609" t="s">
        <v>16</v>
      </c>
      <c r="G609" t="s">
        <v>1057</v>
      </c>
      <c r="H609">
        <v>78408.95</v>
      </c>
      <c r="I609" t="s">
        <v>153</v>
      </c>
      <c r="J609">
        <v>-4085721695</v>
      </c>
      <c r="K609" t="s">
        <v>23</v>
      </c>
      <c r="L609" t="b">
        <v>1</v>
      </c>
      <c r="P609" t="str">
        <f>TRIM(Before_Tbl[[#This Row],[Employee_ID]])</f>
        <v>EMP1607</v>
      </c>
      <c r="Q609" t="str">
        <f>TRIM(PROPER(Before_Tbl[[#This Row],[First_Name]]))</f>
        <v>Bob</v>
      </c>
      <c r="R609" t="str">
        <f>TRIM(PROPER(Before_Tbl[[#This Row],[Last_Name]]))</f>
        <v>Garcia</v>
      </c>
      <c r="S609" s="25">
        <f t="shared" si="9"/>
        <v>30</v>
      </c>
      <c r="T609" t="str">
        <f>LEFT(Before_Tbl[[#This Row],[Department_Region]],FIND("-",Before_Tbl[[#This Row],[Department_Region]])-1)</f>
        <v>HR</v>
      </c>
      <c r="U609" t="str">
        <f>RIGHT(Before_Tbl[[#This Row],[Department_Region]],LEN(Before_Tbl[[#This Row],[Department_Region]])-FIND("-",Before_Tbl[[#This Row],[Department_Region]]))</f>
        <v>Florida</v>
      </c>
      <c r="V609" t="str">
        <f>TRIM(PROPER(Before_Tbl[[#This Row],[Status]]))</f>
        <v>Active</v>
      </c>
      <c r="W609" s="26">
        <v>44888</v>
      </c>
      <c r="X609" s="4">
        <v>78408.95</v>
      </c>
      <c r="Y609" t="str">
        <f>TRIM(LOWER(Before_Tbl[[#This Row],[Email]]))</f>
        <v>bob.garcia@example.com</v>
      </c>
      <c r="Z609" s="2" t="str">
        <f>SUBSTITUTE(Before_Tbl[[#This Row],[Phone]],"-","")</f>
        <v>4085721695</v>
      </c>
      <c r="AA609" t="str">
        <f>TRIM(PROPER(Before_Tbl[[#This Row],[Performance_Score]]))</f>
        <v>Excellent</v>
      </c>
      <c r="AB609" s="2" t="str">
        <f>TRIM(UPPER(Before_Tbl[[#This Row],[Remote_Work]]))</f>
        <v>TRUE</v>
      </c>
    </row>
    <row r="610" spans="1:28" x14ac:dyDescent="0.35">
      <c r="A610" t="s">
        <v>1058</v>
      </c>
      <c r="B610" t="s">
        <v>37</v>
      </c>
      <c r="C610" t="s">
        <v>20</v>
      </c>
      <c r="D610">
        <v>40</v>
      </c>
      <c r="E610" t="s">
        <v>265</v>
      </c>
      <c r="F610" t="s">
        <v>16</v>
      </c>
      <c r="G610" t="s">
        <v>1059</v>
      </c>
      <c r="H610">
        <v>111742.39999999999</v>
      </c>
      <c r="I610" t="s">
        <v>239</v>
      </c>
      <c r="J610">
        <v>-6630932997</v>
      </c>
      <c r="K610" t="s">
        <v>18</v>
      </c>
      <c r="L610" t="b">
        <v>1</v>
      </c>
      <c r="P610" t="str">
        <f>TRIM(Before_Tbl[[#This Row],[Employee_ID]])</f>
        <v>EMP1608</v>
      </c>
      <c r="Q610" t="str">
        <f>TRIM(PROPER(Before_Tbl[[#This Row],[First_Name]]))</f>
        <v>Frank</v>
      </c>
      <c r="R610" t="str">
        <f>TRIM(PROPER(Before_Tbl[[#This Row],[Last_Name]]))</f>
        <v>Brown</v>
      </c>
      <c r="S610" s="25">
        <f t="shared" si="9"/>
        <v>40</v>
      </c>
      <c r="T610" t="str">
        <f>LEFT(Before_Tbl[[#This Row],[Department_Region]],FIND("-",Before_Tbl[[#This Row],[Department_Region]])-1)</f>
        <v>Finance</v>
      </c>
      <c r="U610" t="str">
        <f>RIGHT(Before_Tbl[[#This Row],[Department_Region]],LEN(Before_Tbl[[#This Row],[Department_Region]])-FIND("-",Before_Tbl[[#This Row],[Department_Region]]))</f>
        <v>Illinois</v>
      </c>
      <c r="V610" t="str">
        <f>TRIM(PROPER(Before_Tbl[[#This Row],[Status]]))</f>
        <v>Active</v>
      </c>
      <c r="W610" s="26">
        <v>44858</v>
      </c>
      <c r="X610" s="4">
        <v>111742.39999999999</v>
      </c>
      <c r="Y610" t="str">
        <f>TRIM(LOWER(Before_Tbl[[#This Row],[Email]]))</f>
        <v>frank.brown@example.com</v>
      </c>
      <c r="Z610" s="2" t="str">
        <f>SUBSTITUTE(Before_Tbl[[#This Row],[Phone]],"-","")</f>
        <v>6630932997</v>
      </c>
      <c r="AA610" t="str">
        <f>TRIM(PROPER(Before_Tbl[[#This Row],[Performance_Score]]))</f>
        <v>Average</v>
      </c>
      <c r="AB610" s="2" t="str">
        <f>TRIM(UPPER(Before_Tbl[[#This Row],[Remote_Work]]))</f>
        <v>TRUE</v>
      </c>
    </row>
    <row r="611" spans="1:28" x14ac:dyDescent="0.35">
      <c r="A611" t="s">
        <v>1060</v>
      </c>
      <c r="B611" t="s">
        <v>59</v>
      </c>
      <c r="C611" t="s">
        <v>43</v>
      </c>
      <c r="D611">
        <v>25</v>
      </c>
      <c r="E611" t="s">
        <v>219</v>
      </c>
      <c r="F611" t="s">
        <v>33</v>
      </c>
      <c r="G611" s="1">
        <v>44442</v>
      </c>
      <c r="H611">
        <v>60516.83</v>
      </c>
      <c r="I611" t="s">
        <v>101</v>
      </c>
      <c r="J611">
        <v>-1996059328</v>
      </c>
      <c r="K611" t="s">
        <v>30</v>
      </c>
      <c r="L611" t="b">
        <v>0</v>
      </c>
      <c r="P611" t="str">
        <f>TRIM(Before_Tbl[[#This Row],[Employee_ID]])</f>
        <v>EMP1609</v>
      </c>
      <c r="Q611" t="str">
        <f>TRIM(PROPER(Before_Tbl[[#This Row],[First_Name]]))</f>
        <v>David</v>
      </c>
      <c r="R611" t="str">
        <f>TRIM(PROPER(Before_Tbl[[#This Row],[Last_Name]]))</f>
        <v>Garcia</v>
      </c>
      <c r="S611" s="25">
        <f t="shared" si="9"/>
        <v>25</v>
      </c>
      <c r="T611" t="str">
        <f>LEFT(Before_Tbl[[#This Row],[Department_Region]],FIND("-",Before_Tbl[[#This Row],[Department_Region]])-1)</f>
        <v>Sales</v>
      </c>
      <c r="U611" t="str">
        <f>RIGHT(Before_Tbl[[#This Row],[Department_Region]],LEN(Before_Tbl[[#This Row],[Department_Region]])-FIND("-",Before_Tbl[[#This Row],[Department_Region]]))</f>
        <v>Nevada</v>
      </c>
      <c r="V611" t="str">
        <f>TRIM(PROPER(Before_Tbl[[#This Row],[Status]]))</f>
        <v>Inactive</v>
      </c>
      <c r="W611" s="26">
        <v>44442</v>
      </c>
      <c r="X611" s="4">
        <v>60516.83</v>
      </c>
      <c r="Y611" t="str">
        <f>TRIM(LOWER(Before_Tbl[[#This Row],[Email]]))</f>
        <v>david.garcia@example.com</v>
      </c>
      <c r="Z611" s="2" t="str">
        <f>SUBSTITUTE(Before_Tbl[[#This Row],[Phone]],"-","")</f>
        <v>1996059328</v>
      </c>
      <c r="AA611" t="str">
        <f>TRIM(PROPER(Before_Tbl[[#This Row],[Performance_Score]]))</f>
        <v>Good</v>
      </c>
      <c r="AB611" s="2" t="str">
        <f>TRIM(UPPER(Before_Tbl[[#This Row],[Remote_Work]]))</f>
        <v>FALSE</v>
      </c>
    </row>
    <row r="612" spans="1:28" x14ac:dyDescent="0.35">
      <c r="A612" t="s">
        <v>1061</v>
      </c>
      <c r="B612" t="s">
        <v>13</v>
      </c>
      <c r="C612" t="s">
        <v>26</v>
      </c>
      <c r="D612">
        <v>30</v>
      </c>
      <c r="E612" t="s">
        <v>70</v>
      </c>
      <c r="F612" t="s">
        <v>28</v>
      </c>
      <c r="G612" t="s">
        <v>1062</v>
      </c>
      <c r="H612">
        <v>83706.17</v>
      </c>
      <c r="I612" t="s">
        <v>50</v>
      </c>
      <c r="J612">
        <v>-7150968831</v>
      </c>
      <c r="K612" t="s">
        <v>18</v>
      </c>
      <c r="L612" t="b">
        <v>0</v>
      </c>
      <c r="P612" t="str">
        <f>TRIM(Before_Tbl[[#This Row],[Employee_ID]])</f>
        <v>EMP1610</v>
      </c>
      <c r="Q612" t="str">
        <f>TRIM(PROPER(Before_Tbl[[#This Row],[First_Name]]))</f>
        <v>Bob</v>
      </c>
      <c r="R612" t="str">
        <f>TRIM(PROPER(Before_Tbl[[#This Row],[Last_Name]]))</f>
        <v>Jones</v>
      </c>
      <c r="S612" s="25">
        <f t="shared" si="9"/>
        <v>30</v>
      </c>
      <c r="T612" t="str">
        <f>LEFT(Before_Tbl[[#This Row],[Department_Region]],FIND("-",Before_Tbl[[#This Row],[Department_Region]])-1)</f>
        <v>Finance</v>
      </c>
      <c r="U612" t="str">
        <f>RIGHT(Before_Tbl[[#This Row],[Department_Region]],LEN(Before_Tbl[[#This Row],[Department_Region]])-FIND("-",Before_Tbl[[#This Row],[Department_Region]]))</f>
        <v>California</v>
      </c>
      <c r="V612" t="str">
        <f>TRIM(PROPER(Before_Tbl[[#This Row],[Status]]))</f>
        <v>Pending</v>
      </c>
      <c r="W612" s="26">
        <v>44063</v>
      </c>
      <c r="X612" s="4">
        <v>83706.17</v>
      </c>
      <c r="Y612" t="str">
        <f>TRIM(LOWER(Before_Tbl[[#This Row],[Email]]))</f>
        <v>bob.jones@example.com</v>
      </c>
      <c r="Z612" s="2" t="str">
        <f>SUBSTITUTE(Before_Tbl[[#This Row],[Phone]],"-","")</f>
        <v>7150968831</v>
      </c>
      <c r="AA612" t="str">
        <f>TRIM(PROPER(Before_Tbl[[#This Row],[Performance_Score]]))</f>
        <v>Average</v>
      </c>
      <c r="AB612" s="2" t="str">
        <f>TRIM(UPPER(Before_Tbl[[#This Row],[Remote_Work]]))</f>
        <v>FALSE</v>
      </c>
    </row>
    <row r="613" spans="1:28" x14ac:dyDescent="0.35">
      <c r="A613" t="s">
        <v>1063</v>
      </c>
      <c r="B613" t="s">
        <v>59</v>
      </c>
      <c r="C613" t="s">
        <v>55</v>
      </c>
      <c r="E613" t="s">
        <v>27</v>
      </c>
      <c r="F613" t="s">
        <v>33</v>
      </c>
      <c r="G613" t="s">
        <v>1064</v>
      </c>
      <c r="H613">
        <v>67056.92</v>
      </c>
      <c r="I613" t="s">
        <v>217</v>
      </c>
      <c r="J613">
        <v>-7532735240</v>
      </c>
      <c r="K613" t="s">
        <v>18</v>
      </c>
      <c r="L613" t="b">
        <v>1</v>
      </c>
      <c r="P613" t="str">
        <f>TRIM(Before_Tbl[[#This Row],[Employee_ID]])</f>
        <v>EMP1611</v>
      </c>
      <c r="Q613" t="str">
        <f>TRIM(PROPER(Before_Tbl[[#This Row],[First_Name]]))</f>
        <v>David</v>
      </c>
      <c r="R613" t="str">
        <f>TRIM(PROPER(Before_Tbl[[#This Row],[Last_Name]]))</f>
        <v>Johnson</v>
      </c>
      <c r="S613" s="25">
        <f t="shared" si="9"/>
        <v>30</v>
      </c>
      <c r="T613" t="str">
        <f>LEFT(Before_Tbl[[#This Row],[Department_Region]],FIND("-",Before_Tbl[[#This Row],[Department_Region]])-1)</f>
        <v>Admin</v>
      </c>
      <c r="U613" t="str">
        <f>RIGHT(Before_Tbl[[#This Row],[Department_Region]],LEN(Before_Tbl[[#This Row],[Department_Region]])-FIND("-",Before_Tbl[[#This Row],[Department_Region]]))</f>
        <v>Nevada</v>
      </c>
      <c r="V613" t="str">
        <f>TRIM(PROPER(Before_Tbl[[#This Row],[Status]]))</f>
        <v>Inactive</v>
      </c>
      <c r="W613" s="26">
        <v>43876</v>
      </c>
      <c r="X613" s="4">
        <v>67056.92</v>
      </c>
      <c r="Y613" t="str">
        <f>TRIM(LOWER(Before_Tbl[[#This Row],[Email]]))</f>
        <v>david.johnson@example.com</v>
      </c>
      <c r="Z613" s="2" t="str">
        <f>SUBSTITUTE(Before_Tbl[[#This Row],[Phone]],"-","")</f>
        <v>7532735240</v>
      </c>
      <c r="AA613" t="str">
        <f>TRIM(PROPER(Before_Tbl[[#This Row],[Performance_Score]]))</f>
        <v>Average</v>
      </c>
      <c r="AB613" s="2" t="str">
        <f>TRIM(UPPER(Before_Tbl[[#This Row],[Remote_Work]]))</f>
        <v>TRUE</v>
      </c>
    </row>
    <row r="614" spans="1:28" x14ac:dyDescent="0.35">
      <c r="A614" t="s">
        <v>1065</v>
      </c>
      <c r="B614" t="s">
        <v>54</v>
      </c>
      <c r="C614" t="s">
        <v>20</v>
      </c>
      <c r="D614">
        <v>30</v>
      </c>
      <c r="E614" t="s">
        <v>78</v>
      </c>
      <c r="F614" t="s">
        <v>16</v>
      </c>
      <c r="G614" t="s">
        <v>1066</v>
      </c>
      <c r="H614">
        <v>90058.85</v>
      </c>
      <c r="I614" t="s">
        <v>125</v>
      </c>
      <c r="J614">
        <v>-397739731</v>
      </c>
      <c r="K614" t="s">
        <v>41</v>
      </c>
      <c r="L614" t="b">
        <v>0</v>
      </c>
      <c r="P614" t="str">
        <f>TRIM(Before_Tbl[[#This Row],[Employee_ID]])</f>
        <v>EMP1612</v>
      </c>
      <c r="Q614" t="str">
        <f>TRIM(PROPER(Before_Tbl[[#This Row],[First_Name]]))</f>
        <v>Charlie</v>
      </c>
      <c r="R614" t="str">
        <f>TRIM(PROPER(Before_Tbl[[#This Row],[Last_Name]]))</f>
        <v>Brown</v>
      </c>
      <c r="S614" s="25">
        <f t="shared" si="9"/>
        <v>30</v>
      </c>
      <c r="T614" t="str">
        <f>LEFT(Before_Tbl[[#This Row],[Department_Region]],FIND("-",Before_Tbl[[#This Row],[Department_Region]])-1)</f>
        <v>DevOps</v>
      </c>
      <c r="U614" t="str">
        <f>RIGHT(Before_Tbl[[#This Row],[Department_Region]],LEN(Before_Tbl[[#This Row],[Department_Region]])-FIND("-",Before_Tbl[[#This Row],[Department_Region]]))</f>
        <v>Illinois</v>
      </c>
      <c r="V614" t="str">
        <f>TRIM(PROPER(Before_Tbl[[#This Row],[Status]]))</f>
        <v>Active</v>
      </c>
      <c r="W614" s="26">
        <v>45655</v>
      </c>
      <c r="X614" s="4">
        <v>90058.85</v>
      </c>
      <c r="Y614" t="str">
        <f>TRIM(LOWER(Before_Tbl[[#This Row],[Email]]))</f>
        <v>charlie.brown@example.com</v>
      </c>
      <c r="Z614" s="2" t="str">
        <f>SUBSTITUTE(Before_Tbl[[#This Row],[Phone]],"-","")</f>
        <v>397739731</v>
      </c>
      <c r="AA614" t="str">
        <f>TRIM(PROPER(Before_Tbl[[#This Row],[Performance_Score]]))</f>
        <v>Poor</v>
      </c>
      <c r="AB614" s="2" t="str">
        <f>TRIM(UPPER(Before_Tbl[[#This Row],[Remote_Work]]))</f>
        <v>FALSE</v>
      </c>
    </row>
    <row r="615" spans="1:28" x14ac:dyDescent="0.35">
      <c r="A615" t="s">
        <v>1067</v>
      </c>
      <c r="B615" t="s">
        <v>32</v>
      </c>
      <c r="C615" t="s">
        <v>55</v>
      </c>
      <c r="D615">
        <v>30</v>
      </c>
      <c r="E615" t="s">
        <v>74</v>
      </c>
      <c r="F615" t="s">
        <v>28</v>
      </c>
      <c r="G615" t="s">
        <v>1068</v>
      </c>
      <c r="H615">
        <v>94633.59</v>
      </c>
      <c r="I615" t="s">
        <v>323</v>
      </c>
      <c r="J615">
        <v>-7819523709</v>
      </c>
      <c r="K615" t="s">
        <v>18</v>
      </c>
      <c r="L615" t="b">
        <v>1</v>
      </c>
      <c r="P615" t="str">
        <f>TRIM(Before_Tbl[[#This Row],[Employee_ID]])</f>
        <v>EMP1613</v>
      </c>
      <c r="Q615" t="str">
        <f>TRIM(PROPER(Before_Tbl[[#This Row],[First_Name]]))</f>
        <v>Eva</v>
      </c>
      <c r="R615" t="str">
        <f>TRIM(PROPER(Before_Tbl[[#This Row],[Last_Name]]))</f>
        <v>Johnson</v>
      </c>
      <c r="S615" s="25">
        <f t="shared" si="9"/>
        <v>30</v>
      </c>
      <c r="T615" t="str">
        <f>LEFT(Before_Tbl[[#This Row],[Department_Region]],FIND("-",Before_Tbl[[#This Row],[Department_Region]])-1)</f>
        <v>Sales</v>
      </c>
      <c r="U615" t="str">
        <f>RIGHT(Before_Tbl[[#This Row],[Department_Region]],LEN(Before_Tbl[[#This Row],[Department_Region]])-FIND("-",Before_Tbl[[#This Row],[Department_Region]]))</f>
        <v>Florida</v>
      </c>
      <c r="V615" t="str">
        <f>TRIM(PROPER(Before_Tbl[[#This Row],[Status]]))</f>
        <v>Pending</v>
      </c>
      <c r="W615" s="26">
        <v>44985</v>
      </c>
      <c r="X615" s="4">
        <v>94633.59</v>
      </c>
      <c r="Y615" t="str">
        <f>TRIM(LOWER(Before_Tbl[[#This Row],[Email]]))</f>
        <v>eva.johnson@example.com</v>
      </c>
      <c r="Z615" s="2" t="str">
        <f>SUBSTITUTE(Before_Tbl[[#This Row],[Phone]],"-","")</f>
        <v>7819523709</v>
      </c>
      <c r="AA615" t="str">
        <f>TRIM(PROPER(Before_Tbl[[#This Row],[Performance_Score]]))</f>
        <v>Average</v>
      </c>
      <c r="AB615" s="2" t="str">
        <f>TRIM(UPPER(Before_Tbl[[#This Row],[Remote_Work]]))</f>
        <v>TRUE</v>
      </c>
    </row>
    <row r="616" spans="1:28" x14ac:dyDescent="0.35">
      <c r="A616" t="s">
        <v>1069</v>
      </c>
      <c r="B616" t="s">
        <v>32</v>
      </c>
      <c r="C616" t="s">
        <v>92</v>
      </c>
      <c r="D616">
        <v>25</v>
      </c>
      <c r="E616" t="s">
        <v>205</v>
      </c>
      <c r="F616" t="s">
        <v>28</v>
      </c>
      <c r="G616" t="s">
        <v>1070</v>
      </c>
      <c r="H616">
        <v>110711.17</v>
      </c>
      <c r="I616" t="s">
        <v>263</v>
      </c>
      <c r="J616">
        <v>-687616480</v>
      </c>
      <c r="K616" t="s">
        <v>23</v>
      </c>
      <c r="L616" t="b">
        <v>1</v>
      </c>
      <c r="P616" t="str">
        <f>TRIM(Before_Tbl[[#This Row],[Employee_ID]])</f>
        <v>EMP1614</v>
      </c>
      <c r="Q616" t="str">
        <f>TRIM(PROPER(Before_Tbl[[#This Row],[First_Name]]))</f>
        <v>Eva</v>
      </c>
      <c r="R616" t="str">
        <f>TRIM(PROPER(Before_Tbl[[#This Row],[Last_Name]]))</f>
        <v>Miller</v>
      </c>
      <c r="S616" s="25">
        <f t="shared" si="9"/>
        <v>25</v>
      </c>
      <c r="T616" t="str">
        <f>LEFT(Before_Tbl[[#This Row],[Department_Region]],FIND("-",Before_Tbl[[#This Row],[Department_Region]])-1)</f>
        <v>Admin</v>
      </c>
      <c r="U616" t="str">
        <f>RIGHT(Before_Tbl[[#This Row],[Department_Region]],LEN(Before_Tbl[[#This Row],[Department_Region]])-FIND("-",Before_Tbl[[#This Row],[Department_Region]]))</f>
        <v>Florida</v>
      </c>
      <c r="V616" t="str">
        <f>TRIM(PROPER(Before_Tbl[[#This Row],[Status]]))</f>
        <v>Pending</v>
      </c>
      <c r="W616" s="26">
        <v>44796</v>
      </c>
      <c r="X616" s="4">
        <v>110711.17</v>
      </c>
      <c r="Y616" t="str">
        <f>TRIM(LOWER(Before_Tbl[[#This Row],[Email]]))</f>
        <v>eva.miller@example.com</v>
      </c>
      <c r="Z616" s="2" t="str">
        <f>SUBSTITUTE(Before_Tbl[[#This Row],[Phone]],"-","")</f>
        <v>687616480</v>
      </c>
      <c r="AA616" t="str">
        <f>TRIM(PROPER(Before_Tbl[[#This Row],[Performance_Score]]))</f>
        <v>Excellent</v>
      </c>
      <c r="AB616" s="2" t="str">
        <f>TRIM(UPPER(Before_Tbl[[#This Row],[Remote_Work]]))</f>
        <v>TRUE</v>
      </c>
    </row>
    <row r="617" spans="1:28" x14ac:dyDescent="0.35">
      <c r="A617" t="s">
        <v>1071</v>
      </c>
      <c r="B617" t="s">
        <v>69</v>
      </c>
      <c r="C617" t="s">
        <v>38</v>
      </c>
      <c r="E617" t="s">
        <v>89</v>
      </c>
      <c r="F617" t="s">
        <v>16</v>
      </c>
      <c r="G617" t="s">
        <v>333</v>
      </c>
      <c r="H617">
        <v>96175.41</v>
      </c>
      <c r="I617" t="s">
        <v>71</v>
      </c>
      <c r="J617">
        <v>-9807704604</v>
      </c>
      <c r="K617" t="s">
        <v>18</v>
      </c>
      <c r="L617" t="b">
        <v>1</v>
      </c>
      <c r="P617" t="str">
        <f>TRIM(Before_Tbl[[#This Row],[Employee_ID]])</f>
        <v>EMP1615</v>
      </c>
      <c r="Q617" t="str">
        <f>TRIM(PROPER(Before_Tbl[[#This Row],[First_Name]]))</f>
        <v>Grace</v>
      </c>
      <c r="R617" t="str">
        <f>TRIM(PROPER(Before_Tbl[[#This Row],[Last_Name]]))</f>
        <v>Williams</v>
      </c>
      <c r="S617" s="25">
        <f t="shared" si="9"/>
        <v>30</v>
      </c>
      <c r="T617" t="str">
        <f>LEFT(Before_Tbl[[#This Row],[Department_Region]],FIND("-",Before_Tbl[[#This Row],[Department_Region]])-1)</f>
        <v>Admin</v>
      </c>
      <c r="U617" t="str">
        <f>RIGHT(Before_Tbl[[#This Row],[Department_Region]],LEN(Before_Tbl[[#This Row],[Department_Region]])-FIND("-",Before_Tbl[[#This Row],[Department_Region]]))</f>
        <v>Illinois</v>
      </c>
      <c r="V617" t="str">
        <f>TRIM(PROPER(Before_Tbl[[#This Row],[Status]]))</f>
        <v>Active</v>
      </c>
      <c r="W617" s="26">
        <v>45107</v>
      </c>
      <c r="X617" s="4">
        <v>96175.41</v>
      </c>
      <c r="Y617" t="str">
        <f>TRIM(LOWER(Before_Tbl[[#This Row],[Email]]))</f>
        <v>grace.williams@example.com</v>
      </c>
      <c r="Z617" s="2" t="str">
        <f>SUBSTITUTE(Before_Tbl[[#This Row],[Phone]],"-","")</f>
        <v>9807704604</v>
      </c>
      <c r="AA617" t="str">
        <f>TRIM(PROPER(Before_Tbl[[#This Row],[Performance_Score]]))</f>
        <v>Average</v>
      </c>
      <c r="AB617" s="2" t="str">
        <f>TRIM(UPPER(Before_Tbl[[#This Row],[Remote_Work]]))</f>
        <v>TRUE</v>
      </c>
    </row>
    <row r="618" spans="1:28" x14ac:dyDescent="0.35">
      <c r="A618" t="s">
        <v>1072</v>
      </c>
      <c r="B618" t="s">
        <v>37</v>
      </c>
      <c r="C618" t="s">
        <v>122</v>
      </c>
      <c r="D618">
        <v>40</v>
      </c>
      <c r="E618" t="s">
        <v>98</v>
      </c>
      <c r="F618" t="s">
        <v>16</v>
      </c>
      <c r="G618" t="s">
        <v>1073</v>
      </c>
      <c r="H618">
        <v>76474.789999999994</v>
      </c>
      <c r="I618" t="s">
        <v>137</v>
      </c>
      <c r="J618">
        <v>-6876112490</v>
      </c>
      <c r="K618" t="s">
        <v>23</v>
      </c>
      <c r="L618" t="b">
        <v>1</v>
      </c>
      <c r="P618" t="str">
        <f>TRIM(Before_Tbl[[#This Row],[Employee_ID]])</f>
        <v>EMP1616</v>
      </c>
      <c r="Q618" t="str">
        <f>TRIM(PROPER(Before_Tbl[[#This Row],[First_Name]]))</f>
        <v>Frank</v>
      </c>
      <c r="R618" t="str">
        <f>TRIM(PROPER(Before_Tbl[[#This Row],[Last_Name]]))</f>
        <v>Smith</v>
      </c>
      <c r="S618" s="25">
        <f t="shared" si="9"/>
        <v>40</v>
      </c>
      <c r="T618" t="str">
        <f>LEFT(Before_Tbl[[#This Row],[Department_Region]],FIND("-",Before_Tbl[[#This Row],[Department_Region]])-1)</f>
        <v>Sales</v>
      </c>
      <c r="U618" t="str">
        <f>RIGHT(Before_Tbl[[#This Row],[Department_Region]],LEN(Before_Tbl[[#This Row],[Department_Region]])-FIND("-",Before_Tbl[[#This Row],[Department_Region]]))</f>
        <v>Illinois</v>
      </c>
      <c r="V618" t="str">
        <f>TRIM(PROPER(Before_Tbl[[#This Row],[Status]]))</f>
        <v>Active</v>
      </c>
      <c r="W618" s="26">
        <v>44301</v>
      </c>
      <c r="X618" s="4">
        <v>76474.789999999994</v>
      </c>
      <c r="Y618" t="str">
        <f>TRIM(LOWER(Before_Tbl[[#This Row],[Email]]))</f>
        <v>frank.smith@example.com</v>
      </c>
      <c r="Z618" s="2" t="str">
        <f>SUBSTITUTE(Before_Tbl[[#This Row],[Phone]],"-","")</f>
        <v>6876112490</v>
      </c>
      <c r="AA618" t="str">
        <f>TRIM(PROPER(Before_Tbl[[#This Row],[Performance_Score]]))</f>
        <v>Excellent</v>
      </c>
      <c r="AB618" s="2" t="str">
        <f>TRIM(UPPER(Before_Tbl[[#This Row],[Remote_Work]]))</f>
        <v>TRUE</v>
      </c>
    </row>
    <row r="619" spans="1:28" x14ac:dyDescent="0.35">
      <c r="A619" t="s">
        <v>1074</v>
      </c>
      <c r="B619" t="s">
        <v>25</v>
      </c>
      <c r="C619" t="s">
        <v>43</v>
      </c>
      <c r="D619">
        <v>30</v>
      </c>
      <c r="E619" t="s">
        <v>98</v>
      </c>
      <c r="F619" t="s">
        <v>28</v>
      </c>
      <c r="G619" s="1">
        <v>44809</v>
      </c>
      <c r="H619">
        <v>107855.99</v>
      </c>
      <c r="I619" t="s">
        <v>45</v>
      </c>
      <c r="J619">
        <v>-2565237340</v>
      </c>
      <c r="K619" t="s">
        <v>23</v>
      </c>
      <c r="L619" t="b">
        <v>0</v>
      </c>
      <c r="P619" t="str">
        <f>TRIM(Before_Tbl[[#This Row],[Employee_ID]])</f>
        <v>EMP1617</v>
      </c>
      <c r="Q619" t="str">
        <f>TRIM(PROPER(Before_Tbl[[#This Row],[First_Name]]))</f>
        <v>Alice</v>
      </c>
      <c r="R619" t="str">
        <f>TRIM(PROPER(Before_Tbl[[#This Row],[Last_Name]]))</f>
        <v>Garcia</v>
      </c>
      <c r="S619" s="25">
        <f t="shared" si="9"/>
        <v>30</v>
      </c>
      <c r="T619" t="str">
        <f>LEFT(Before_Tbl[[#This Row],[Department_Region]],FIND("-",Before_Tbl[[#This Row],[Department_Region]])-1)</f>
        <v>Sales</v>
      </c>
      <c r="U619" t="str">
        <f>RIGHT(Before_Tbl[[#This Row],[Department_Region]],LEN(Before_Tbl[[#This Row],[Department_Region]])-FIND("-",Before_Tbl[[#This Row],[Department_Region]]))</f>
        <v>Illinois</v>
      </c>
      <c r="V619" t="str">
        <f>TRIM(PROPER(Before_Tbl[[#This Row],[Status]]))</f>
        <v>Pending</v>
      </c>
      <c r="W619" s="26">
        <v>44809</v>
      </c>
      <c r="X619" s="4">
        <v>107855.99</v>
      </c>
      <c r="Y619" t="str">
        <f>TRIM(LOWER(Before_Tbl[[#This Row],[Email]]))</f>
        <v>alice.garcia@example.com</v>
      </c>
      <c r="Z619" s="2" t="str">
        <f>SUBSTITUTE(Before_Tbl[[#This Row],[Phone]],"-","")</f>
        <v>2565237340</v>
      </c>
      <c r="AA619" t="str">
        <f>TRIM(PROPER(Before_Tbl[[#This Row],[Performance_Score]]))</f>
        <v>Excellent</v>
      </c>
      <c r="AB619" s="2" t="str">
        <f>TRIM(UPPER(Before_Tbl[[#This Row],[Remote_Work]]))</f>
        <v>FALSE</v>
      </c>
    </row>
    <row r="620" spans="1:28" x14ac:dyDescent="0.35">
      <c r="A620" t="s">
        <v>1075</v>
      </c>
      <c r="B620" t="s">
        <v>54</v>
      </c>
      <c r="C620" t="s">
        <v>14</v>
      </c>
      <c r="D620">
        <v>40</v>
      </c>
      <c r="E620" t="s">
        <v>98</v>
      </c>
      <c r="F620" t="s">
        <v>16</v>
      </c>
      <c r="G620" s="1">
        <v>45334</v>
      </c>
      <c r="H620">
        <v>104870.78</v>
      </c>
      <c r="I620" t="s">
        <v>170</v>
      </c>
      <c r="J620">
        <v>-5177345474</v>
      </c>
      <c r="K620" t="s">
        <v>23</v>
      </c>
      <c r="L620" t="b">
        <v>1</v>
      </c>
      <c r="P620" t="str">
        <f>TRIM(Before_Tbl[[#This Row],[Employee_ID]])</f>
        <v>EMP1618</v>
      </c>
      <c r="Q620" t="str">
        <f>TRIM(PROPER(Before_Tbl[[#This Row],[First_Name]]))</f>
        <v>Charlie</v>
      </c>
      <c r="R620" t="str">
        <f>TRIM(PROPER(Before_Tbl[[#This Row],[Last_Name]]))</f>
        <v>Davis</v>
      </c>
      <c r="S620" s="25">
        <f t="shared" si="9"/>
        <v>40</v>
      </c>
      <c r="T620" t="str">
        <f>LEFT(Before_Tbl[[#This Row],[Department_Region]],FIND("-",Before_Tbl[[#This Row],[Department_Region]])-1)</f>
        <v>Sales</v>
      </c>
      <c r="U620" t="str">
        <f>RIGHT(Before_Tbl[[#This Row],[Department_Region]],LEN(Before_Tbl[[#This Row],[Department_Region]])-FIND("-",Before_Tbl[[#This Row],[Department_Region]]))</f>
        <v>Illinois</v>
      </c>
      <c r="V620" t="str">
        <f>TRIM(PROPER(Before_Tbl[[#This Row],[Status]]))</f>
        <v>Active</v>
      </c>
      <c r="W620" s="26">
        <v>45334</v>
      </c>
      <c r="X620" s="4">
        <v>104870.78</v>
      </c>
      <c r="Y620" t="str">
        <f>TRIM(LOWER(Before_Tbl[[#This Row],[Email]]))</f>
        <v>charlie.davis@example.com</v>
      </c>
      <c r="Z620" s="2" t="str">
        <f>SUBSTITUTE(Before_Tbl[[#This Row],[Phone]],"-","")</f>
        <v>5177345474</v>
      </c>
      <c r="AA620" t="str">
        <f>TRIM(PROPER(Before_Tbl[[#This Row],[Performance_Score]]))</f>
        <v>Excellent</v>
      </c>
      <c r="AB620" s="2" t="str">
        <f>TRIM(UPPER(Before_Tbl[[#This Row],[Remote_Work]]))</f>
        <v>TRUE</v>
      </c>
    </row>
    <row r="621" spans="1:28" x14ac:dyDescent="0.35">
      <c r="A621" t="s">
        <v>1076</v>
      </c>
      <c r="B621" t="s">
        <v>13</v>
      </c>
      <c r="C621" t="s">
        <v>38</v>
      </c>
      <c r="D621">
        <v>25</v>
      </c>
      <c r="E621" t="s">
        <v>100</v>
      </c>
      <c r="F621" t="s">
        <v>16</v>
      </c>
      <c r="G621" t="s">
        <v>1077</v>
      </c>
      <c r="H621" t="s">
        <v>277</v>
      </c>
      <c r="I621" t="s">
        <v>144</v>
      </c>
      <c r="J621">
        <v>-7494902283</v>
      </c>
      <c r="K621" t="s">
        <v>30</v>
      </c>
      <c r="L621" t="b">
        <v>0</v>
      </c>
      <c r="P621" t="str">
        <f>TRIM(Before_Tbl[[#This Row],[Employee_ID]])</f>
        <v>EMP1619</v>
      </c>
      <c r="Q621" t="str">
        <f>TRIM(PROPER(Before_Tbl[[#This Row],[First_Name]]))</f>
        <v>Bob</v>
      </c>
      <c r="R621" t="str">
        <f>TRIM(PROPER(Before_Tbl[[#This Row],[Last_Name]]))</f>
        <v>Williams</v>
      </c>
      <c r="S621" s="25">
        <f t="shared" si="9"/>
        <v>25</v>
      </c>
      <c r="T621" t="str">
        <f>LEFT(Before_Tbl[[#This Row],[Department_Region]],FIND("-",Before_Tbl[[#This Row],[Department_Region]])-1)</f>
        <v>Finance</v>
      </c>
      <c r="U621" t="str">
        <f>RIGHT(Before_Tbl[[#This Row],[Department_Region]],LEN(Before_Tbl[[#This Row],[Department_Region]])-FIND("-",Before_Tbl[[#This Row],[Department_Region]]))</f>
        <v>Nevada</v>
      </c>
      <c r="V621" t="str">
        <f>TRIM(PROPER(Before_Tbl[[#This Row],[Status]]))</f>
        <v>Active</v>
      </c>
      <c r="W621" s="26">
        <v>45066</v>
      </c>
      <c r="X621" s="4"/>
      <c r="Y621" t="str">
        <f>TRIM(LOWER(Before_Tbl[[#This Row],[Email]]))</f>
        <v>bob.williams@example.com</v>
      </c>
      <c r="Z621" s="2" t="str">
        <f>SUBSTITUTE(Before_Tbl[[#This Row],[Phone]],"-","")</f>
        <v>7494902283</v>
      </c>
      <c r="AA621" t="str">
        <f>TRIM(PROPER(Before_Tbl[[#This Row],[Performance_Score]]))</f>
        <v>Good</v>
      </c>
      <c r="AB621" s="2" t="str">
        <f>TRIM(UPPER(Before_Tbl[[#This Row],[Remote_Work]]))</f>
        <v>FALSE</v>
      </c>
    </row>
    <row r="622" spans="1:28" x14ac:dyDescent="0.35">
      <c r="A622" t="s">
        <v>1078</v>
      </c>
      <c r="B622" t="s">
        <v>69</v>
      </c>
      <c r="C622" t="s">
        <v>20</v>
      </c>
      <c r="E622" t="s">
        <v>70</v>
      </c>
      <c r="F622" t="s">
        <v>16</v>
      </c>
      <c r="G622" t="s">
        <v>1079</v>
      </c>
      <c r="H622">
        <v>87087.16</v>
      </c>
      <c r="I622" t="s">
        <v>201</v>
      </c>
      <c r="J622">
        <v>-359544293</v>
      </c>
      <c r="K622" t="s">
        <v>41</v>
      </c>
      <c r="L622" t="b">
        <v>0</v>
      </c>
      <c r="P622" t="str">
        <f>TRIM(Before_Tbl[[#This Row],[Employee_ID]])</f>
        <v>EMP1620</v>
      </c>
      <c r="Q622" t="str">
        <f>TRIM(PROPER(Before_Tbl[[#This Row],[First_Name]]))</f>
        <v>Grace</v>
      </c>
      <c r="R622" t="str">
        <f>TRIM(PROPER(Before_Tbl[[#This Row],[Last_Name]]))</f>
        <v>Brown</v>
      </c>
      <c r="S622" s="25">
        <f t="shared" si="9"/>
        <v>30</v>
      </c>
      <c r="T622" t="str">
        <f>LEFT(Before_Tbl[[#This Row],[Department_Region]],FIND("-",Before_Tbl[[#This Row],[Department_Region]])-1)</f>
        <v>Finance</v>
      </c>
      <c r="U622" t="str">
        <f>RIGHT(Before_Tbl[[#This Row],[Department_Region]],LEN(Before_Tbl[[#This Row],[Department_Region]])-FIND("-",Before_Tbl[[#This Row],[Department_Region]]))</f>
        <v>California</v>
      </c>
      <c r="V622" t="str">
        <f>TRIM(PROPER(Before_Tbl[[#This Row],[Status]]))</f>
        <v>Active</v>
      </c>
      <c r="W622" s="26">
        <v>45259</v>
      </c>
      <c r="X622" s="4">
        <v>87087.16</v>
      </c>
      <c r="Y622" t="str">
        <f>TRIM(LOWER(Before_Tbl[[#This Row],[Email]]))</f>
        <v>grace.brown@example.com</v>
      </c>
      <c r="Z622" s="2" t="str">
        <f>SUBSTITUTE(Before_Tbl[[#This Row],[Phone]],"-","")</f>
        <v>359544293</v>
      </c>
      <c r="AA622" t="str">
        <f>TRIM(PROPER(Before_Tbl[[#This Row],[Performance_Score]]))</f>
        <v>Poor</v>
      </c>
      <c r="AB622" s="2" t="str">
        <f>TRIM(UPPER(Before_Tbl[[#This Row],[Remote_Work]]))</f>
        <v>FALSE</v>
      </c>
    </row>
    <row r="623" spans="1:28" x14ac:dyDescent="0.35">
      <c r="A623" t="s">
        <v>1080</v>
      </c>
      <c r="B623" t="s">
        <v>65</v>
      </c>
      <c r="C623" t="s">
        <v>55</v>
      </c>
      <c r="D623">
        <v>40</v>
      </c>
      <c r="E623" t="s">
        <v>192</v>
      </c>
      <c r="F623" t="s">
        <v>28</v>
      </c>
      <c r="G623" s="1">
        <v>45508</v>
      </c>
      <c r="H623">
        <v>108603.34</v>
      </c>
      <c r="I623" t="s">
        <v>113</v>
      </c>
      <c r="J623">
        <v>-7742229463</v>
      </c>
      <c r="K623" t="s">
        <v>23</v>
      </c>
      <c r="L623" t="b">
        <v>0</v>
      </c>
      <c r="P623" t="str">
        <f>TRIM(Before_Tbl[[#This Row],[Employee_ID]])</f>
        <v>EMP1621</v>
      </c>
      <c r="Q623" t="str">
        <f>TRIM(PROPER(Before_Tbl[[#This Row],[First_Name]]))</f>
        <v>Heidi</v>
      </c>
      <c r="R623" t="str">
        <f>TRIM(PROPER(Before_Tbl[[#This Row],[Last_Name]]))</f>
        <v>Johnson</v>
      </c>
      <c r="S623" s="25">
        <f t="shared" si="9"/>
        <v>40</v>
      </c>
      <c r="T623" t="str">
        <f>LEFT(Before_Tbl[[#This Row],[Department_Region]],FIND("-",Before_Tbl[[#This Row],[Department_Region]])-1)</f>
        <v>HR</v>
      </c>
      <c r="U623" t="str">
        <f>RIGHT(Before_Tbl[[#This Row],[Department_Region]],LEN(Before_Tbl[[#This Row],[Department_Region]])-FIND("-",Before_Tbl[[#This Row],[Department_Region]]))</f>
        <v>Illinois</v>
      </c>
      <c r="V623" t="str">
        <f>TRIM(PROPER(Before_Tbl[[#This Row],[Status]]))</f>
        <v>Pending</v>
      </c>
      <c r="W623" s="26">
        <v>45508</v>
      </c>
      <c r="X623" s="4">
        <v>108603.34</v>
      </c>
      <c r="Y623" t="str">
        <f>TRIM(LOWER(Before_Tbl[[#This Row],[Email]]))</f>
        <v>heidi.johnson@example.com</v>
      </c>
      <c r="Z623" s="2" t="str">
        <f>SUBSTITUTE(Before_Tbl[[#This Row],[Phone]],"-","")</f>
        <v>7742229463</v>
      </c>
      <c r="AA623" t="str">
        <f>TRIM(PROPER(Before_Tbl[[#This Row],[Performance_Score]]))</f>
        <v>Excellent</v>
      </c>
      <c r="AB623" s="2" t="str">
        <f>TRIM(UPPER(Before_Tbl[[#This Row],[Remote_Work]]))</f>
        <v>FALSE</v>
      </c>
    </row>
    <row r="624" spans="1:28" x14ac:dyDescent="0.35">
      <c r="A624" t="s">
        <v>1081</v>
      </c>
      <c r="B624" t="s">
        <v>69</v>
      </c>
      <c r="C624" t="s">
        <v>14</v>
      </c>
      <c r="D624">
        <v>30</v>
      </c>
      <c r="E624" t="s">
        <v>212</v>
      </c>
      <c r="F624" t="s">
        <v>16</v>
      </c>
      <c r="G624" t="s">
        <v>1082</v>
      </c>
      <c r="H624">
        <v>55867.23</v>
      </c>
      <c r="I624" t="s">
        <v>235</v>
      </c>
      <c r="J624">
        <v>-3039429044</v>
      </c>
      <c r="K624" t="s">
        <v>23</v>
      </c>
      <c r="L624" t="b">
        <v>0</v>
      </c>
      <c r="P624" t="str">
        <f>TRIM(Before_Tbl[[#This Row],[Employee_ID]])</f>
        <v>EMP1622</v>
      </c>
      <c r="Q624" t="str">
        <f>TRIM(PROPER(Before_Tbl[[#This Row],[First_Name]]))</f>
        <v>Grace</v>
      </c>
      <c r="R624" t="str">
        <f>TRIM(PROPER(Before_Tbl[[#This Row],[Last_Name]]))</f>
        <v>Davis</v>
      </c>
      <c r="S624" s="25">
        <f t="shared" si="9"/>
        <v>30</v>
      </c>
      <c r="T624" t="str">
        <f>LEFT(Before_Tbl[[#This Row],[Department_Region]],FIND("-",Before_Tbl[[#This Row],[Department_Region]])-1)</f>
        <v>HR</v>
      </c>
      <c r="U624" t="str">
        <f>RIGHT(Before_Tbl[[#This Row],[Department_Region]],LEN(Before_Tbl[[#This Row],[Department_Region]])-FIND("-",Before_Tbl[[#This Row],[Department_Region]]))</f>
        <v>Florida</v>
      </c>
      <c r="V624" t="str">
        <f>TRIM(PROPER(Before_Tbl[[#This Row],[Status]]))</f>
        <v>Active</v>
      </c>
      <c r="W624" s="26">
        <v>45590</v>
      </c>
      <c r="X624" s="4">
        <v>55867.23</v>
      </c>
      <c r="Y624" t="str">
        <f>TRIM(LOWER(Before_Tbl[[#This Row],[Email]]))</f>
        <v>grace.davis@example.com</v>
      </c>
      <c r="Z624" s="2" t="str">
        <f>SUBSTITUTE(Before_Tbl[[#This Row],[Phone]],"-","")</f>
        <v>3039429044</v>
      </c>
      <c r="AA624" t="str">
        <f>TRIM(PROPER(Before_Tbl[[#This Row],[Performance_Score]]))</f>
        <v>Excellent</v>
      </c>
      <c r="AB624" s="2" t="str">
        <f>TRIM(UPPER(Before_Tbl[[#This Row],[Remote_Work]]))</f>
        <v>FALSE</v>
      </c>
    </row>
    <row r="625" spans="1:28" x14ac:dyDescent="0.35">
      <c r="A625" t="s">
        <v>1083</v>
      </c>
      <c r="B625" t="s">
        <v>69</v>
      </c>
      <c r="C625" t="s">
        <v>55</v>
      </c>
      <c r="D625">
        <v>35</v>
      </c>
      <c r="E625" t="s">
        <v>103</v>
      </c>
      <c r="F625" t="s">
        <v>28</v>
      </c>
      <c r="G625" s="1">
        <v>45325</v>
      </c>
      <c r="H625">
        <v>105259.57</v>
      </c>
      <c r="I625" t="s">
        <v>127</v>
      </c>
      <c r="J625">
        <v>-8867925297</v>
      </c>
      <c r="K625" t="s">
        <v>30</v>
      </c>
      <c r="L625" t="b">
        <v>1</v>
      </c>
      <c r="P625" t="str">
        <f>TRIM(Before_Tbl[[#This Row],[Employee_ID]])</f>
        <v>EMP1623</v>
      </c>
      <c r="Q625" t="str">
        <f>TRIM(PROPER(Before_Tbl[[#This Row],[First_Name]]))</f>
        <v>Grace</v>
      </c>
      <c r="R625" t="str">
        <f>TRIM(PROPER(Before_Tbl[[#This Row],[Last_Name]]))</f>
        <v>Johnson</v>
      </c>
      <c r="S625" s="25">
        <f t="shared" si="9"/>
        <v>35</v>
      </c>
      <c r="T625" t="str">
        <f>LEFT(Before_Tbl[[#This Row],[Department_Region]],FIND("-",Before_Tbl[[#This Row],[Department_Region]])-1)</f>
        <v>Admin</v>
      </c>
      <c r="U625" t="str">
        <f>RIGHT(Before_Tbl[[#This Row],[Department_Region]],LEN(Before_Tbl[[#This Row],[Department_Region]])-FIND("-",Before_Tbl[[#This Row],[Department_Region]]))</f>
        <v>Texas</v>
      </c>
      <c r="V625" t="str">
        <f>TRIM(PROPER(Before_Tbl[[#This Row],[Status]]))</f>
        <v>Pending</v>
      </c>
      <c r="W625" s="26">
        <v>45325</v>
      </c>
      <c r="X625" s="4">
        <v>105259.57</v>
      </c>
      <c r="Y625" t="str">
        <f>TRIM(LOWER(Before_Tbl[[#This Row],[Email]]))</f>
        <v>grace.johnson@example.com</v>
      </c>
      <c r="Z625" s="2" t="str">
        <f>SUBSTITUTE(Before_Tbl[[#This Row],[Phone]],"-","")</f>
        <v>8867925297</v>
      </c>
      <c r="AA625" t="str">
        <f>TRIM(PROPER(Before_Tbl[[#This Row],[Performance_Score]]))</f>
        <v>Good</v>
      </c>
      <c r="AB625" s="2" t="str">
        <f>TRIM(UPPER(Before_Tbl[[#This Row],[Remote_Work]]))</f>
        <v>TRUE</v>
      </c>
    </row>
    <row r="626" spans="1:28" x14ac:dyDescent="0.35">
      <c r="A626" t="s">
        <v>1084</v>
      </c>
      <c r="B626" t="s">
        <v>13</v>
      </c>
      <c r="C626" t="s">
        <v>26</v>
      </c>
      <c r="E626" t="s">
        <v>39</v>
      </c>
      <c r="F626" t="s">
        <v>28</v>
      </c>
      <c r="G626" t="s">
        <v>1085</v>
      </c>
      <c r="H626">
        <v>98143.67</v>
      </c>
      <c r="I626" t="s">
        <v>50</v>
      </c>
      <c r="J626">
        <v>-5856728726</v>
      </c>
      <c r="K626" t="s">
        <v>23</v>
      </c>
      <c r="L626" t="b">
        <v>0</v>
      </c>
      <c r="P626" t="str">
        <f>TRIM(Before_Tbl[[#This Row],[Employee_ID]])</f>
        <v>EMP1624</v>
      </c>
      <c r="Q626" t="str">
        <f>TRIM(PROPER(Before_Tbl[[#This Row],[First_Name]]))</f>
        <v>Bob</v>
      </c>
      <c r="R626" t="str">
        <f>TRIM(PROPER(Before_Tbl[[#This Row],[Last_Name]]))</f>
        <v>Jones</v>
      </c>
      <c r="S626" s="25">
        <f t="shared" si="9"/>
        <v>30</v>
      </c>
      <c r="T626" t="str">
        <f>LEFT(Before_Tbl[[#This Row],[Department_Region]],FIND("-",Before_Tbl[[#This Row],[Department_Region]])-1)</f>
        <v>Cloud Tech</v>
      </c>
      <c r="U626" t="str">
        <f>RIGHT(Before_Tbl[[#This Row],[Department_Region]],LEN(Before_Tbl[[#This Row],[Department_Region]])-FIND("-",Before_Tbl[[#This Row],[Department_Region]]))</f>
        <v>Florida</v>
      </c>
      <c r="V626" t="str">
        <f>TRIM(PROPER(Before_Tbl[[#This Row],[Status]]))</f>
        <v>Pending</v>
      </c>
      <c r="W626" s="26">
        <v>44251</v>
      </c>
      <c r="X626" s="4">
        <v>98143.67</v>
      </c>
      <c r="Y626" t="str">
        <f>TRIM(LOWER(Before_Tbl[[#This Row],[Email]]))</f>
        <v>bob.jones@example.com</v>
      </c>
      <c r="Z626" s="2" t="str">
        <f>SUBSTITUTE(Before_Tbl[[#This Row],[Phone]],"-","")</f>
        <v>5856728726</v>
      </c>
      <c r="AA626" t="str">
        <f>TRIM(PROPER(Before_Tbl[[#This Row],[Performance_Score]]))</f>
        <v>Excellent</v>
      </c>
      <c r="AB626" s="2" t="str">
        <f>TRIM(UPPER(Before_Tbl[[#This Row],[Remote_Work]]))</f>
        <v>FALSE</v>
      </c>
    </row>
    <row r="627" spans="1:28" x14ac:dyDescent="0.35">
      <c r="A627" t="s">
        <v>1086</v>
      </c>
      <c r="B627" t="s">
        <v>37</v>
      </c>
      <c r="C627" t="s">
        <v>55</v>
      </c>
      <c r="D627">
        <v>25</v>
      </c>
      <c r="E627" t="s">
        <v>205</v>
      </c>
      <c r="F627" t="s">
        <v>28</v>
      </c>
      <c r="G627" t="s">
        <v>1087</v>
      </c>
      <c r="H627">
        <v>67754.289999999994</v>
      </c>
      <c r="I627" t="s">
        <v>271</v>
      </c>
      <c r="J627">
        <v>-6015343323</v>
      </c>
      <c r="K627" t="s">
        <v>18</v>
      </c>
      <c r="L627" t="b">
        <v>1</v>
      </c>
      <c r="P627" t="str">
        <f>TRIM(Before_Tbl[[#This Row],[Employee_ID]])</f>
        <v>EMP1625</v>
      </c>
      <c r="Q627" t="str">
        <f>TRIM(PROPER(Before_Tbl[[#This Row],[First_Name]]))</f>
        <v>Frank</v>
      </c>
      <c r="R627" t="str">
        <f>TRIM(PROPER(Before_Tbl[[#This Row],[Last_Name]]))</f>
        <v>Johnson</v>
      </c>
      <c r="S627" s="25">
        <f t="shared" si="9"/>
        <v>25</v>
      </c>
      <c r="T627" t="str">
        <f>LEFT(Before_Tbl[[#This Row],[Department_Region]],FIND("-",Before_Tbl[[#This Row],[Department_Region]])-1)</f>
        <v>Admin</v>
      </c>
      <c r="U627" t="str">
        <f>RIGHT(Before_Tbl[[#This Row],[Department_Region]],LEN(Before_Tbl[[#This Row],[Department_Region]])-FIND("-",Before_Tbl[[#This Row],[Department_Region]]))</f>
        <v>Florida</v>
      </c>
      <c r="V627" t="str">
        <f>TRIM(PROPER(Before_Tbl[[#This Row],[Status]]))</f>
        <v>Pending</v>
      </c>
      <c r="W627" s="26">
        <v>45029</v>
      </c>
      <c r="X627" s="4">
        <v>67754.289999999994</v>
      </c>
      <c r="Y627" t="str">
        <f>TRIM(LOWER(Before_Tbl[[#This Row],[Email]]))</f>
        <v>frank.johnson@example.com</v>
      </c>
      <c r="Z627" s="2" t="str">
        <f>SUBSTITUTE(Before_Tbl[[#This Row],[Phone]],"-","")</f>
        <v>6015343323</v>
      </c>
      <c r="AA627" t="str">
        <f>TRIM(PROPER(Before_Tbl[[#This Row],[Performance_Score]]))</f>
        <v>Average</v>
      </c>
      <c r="AB627" s="2" t="str">
        <f>TRIM(UPPER(Before_Tbl[[#This Row],[Remote_Work]]))</f>
        <v>TRUE</v>
      </c>
    </row>
    <row r="628" spans="1:28" x14ac:dyDescent="0.35">
      <c r="A628" t="s">
        <v>1088</v>
      </c>
      <c r="B628" t="s">
        <v>69</v>
      </c>
      <c r="C628" t="s">
        <v>26</v>
      </c>
      <c r="E628" t="s">
        <v>192</v>
      </c>
      <c r="F628" t="s">
        <v>33</v>
      </c>
      <c r="G628" t="s">
        <v>600</v>
      </c>
      <c r="H628">
        <v>77821.789999999994</v>
      </c>
      <c r="I628" t="s">
        <v>76</v>
      </c>
      <c r="J628">
        <v>-9135779082</v>
      </c>
      <c r="K628" t="s">
        <v>18</v>
      </c>
      <c r="L628" t="b">
        <v>0</v>
      </c>
      <c r="P628" t="str">
        <f>TRIM(Before_Tbl[[#This Row],[Employee_ID]])</f>
        <v>EMP1626</v>
      </c>
      <c r="Q628" t="str">
        <f>TRIM(PROPER(Before_Tbl[[#This Row],[First_Name]]))</f>
        <v>Grace</v>
      </c>
      <c r="R628" t="str">
        <f>TRIM(PROPER(Before_Tbl[[#This Row],[Last_Name]]))</f>
        <v>Jones</v>
      </c>
      <c r="S628" s="25">
        <f t="shared" si="9"/>
        <v>30</v>
      </c>
      <c r="T628" t="str">
        <f>LEFT(Before_Tbl[[#This Row],[Department_Region]],FIND("-",Before_Tbl[[#This Row],[Department_Region]])-1)</f>
        <v>HR</v>
      </c>
      <c r="U628" t="str">
        <f>RIGHT(Before_Tbl[[#This Row],[Department_Region]],LEN(Before_Tbl[[#This Row],[Department_Region]])-FIND("-",Before_Tbl[[#This Row],[Department_Region]]))</f>
        <v>Illinois</v>
      </c>
      <c r="V628" t="str">
        <f>TRIM(PROPER(Before_Tbl[[#This Row],[Status]]))</f>
        <v>Inactive</v>
      </c>
      <c r="W628" s="26">
        <v>45224</v>
      </c>
      <c r="X628" s="4">
        <v>77821.789999999994</v>
      </c>
      <c r="Y628" t="str">
        <f>TRIM(LOWER(Before_Tbl[[#This Row],[Email]]))</f>
        <v>grace.jones@example.com</v>
      </c>
      <c r="Z628" s="2" t="str">
        <f>SUBSTITUTE(Before_Tbl[[#This Row],[Phone]],"-","")</f>
        <v>9135779082</v>
      </c>
      <c r="AA628" t="str">
        <f>TRIM(PROPER(Before_Tbl[[#This Row],[Performance_Score]]))</f>
        <v>Average</v>
      </c>
      <c r="AB628" s="2" t="str">
        <f>TRIM(UPPER(Before_Tbl[[#This Row],[Remote_Work]]))</f>
        <v>FALSE</v>
      </c>
    </row>
    <row r="629" spans="1:28" x14ac:dyDescent="0.35">
      <c r="A629" t="s">
        <v>1089</v>
      </c>
      <c r="B629" t="s">
        <v>65</v>
      </c>
      <c r="C629" t="s">
        <v>92</v>
      </c>
      <c r="D629">
        <v>30</v>
      </c>
      <c r="E629" t="s">
        <v>192</v>
      </c>
      <c r="F629" t="s">
        <v>28</v>
      </c>
      <c r="G629" t="s">
        <v>1090</v>
      </c>
      <c r="H629">
        <v>67764.44</v>
      </c>
      <c r="I629" t="s">
        <v>130</v>
      </c>
      <c r="J629">
        <v>-3506158147</v>
      </c>
      <c r="K629" t="s">
        <v>41</v>
      </c>
      <c r="L629" t="b">
        <v>0</v>
      </c>
      <c r="P629" t="str">
        <f>TRIM(Before_Tbl[[#This Row],[Employee_ID]])</f>
        <v>EMP1627</v>
      </c>
      <c r="Q629" t="str">
        <f>TRIM(PROPER(Before_Tbl[[#This Row],[First_Name]]))</f>
        <v>Heidi</v>
      </c>
      <c r="R629" t="str">
        <f>TRIM(PROPER(Before_Tbl[[#This Row],[Last_Name]]))</f>
        <v>Miller</v>
      </c>
      <c r="S629" s="25">
        <f t="shared" si="9"/>
        <v>30</v>
      </c>
      <c r="T629" t="str">
        <f>LEFT(Before_Tbl[[#This Row],[Department_Region]],FIND("-",Before_Tbl[[#This Row],[Department_Region]])-1)</f>
        <v>HR</v>
      </c>
      <c r="U629" t="str">
        <f>RIGHT(Before_Tbl[[#This Row],[Department_Region]],LEN(Before_Tbl[[#This Row],[Department_Region]])-FIND("-",Before_Tbl[[#This Row],[Department_Region]]))</f>
        <v>Illinois</v>
      </c>
      <c r="V629" t="str">
        <f>TRIM(PROPER(Before_Tbl[[#This Row],[Status]]))</f>
        <v>Pending</v>
      </c>
      <c r="W629" s="26">
        <v>44821</v>
      </c>
      <c r="X629" s="4">
        <v>67764.44</v>
      </c>
      <c r="Y629" t="str">
        <f>TRIM(LOWER(Before_Tbl[[#This Row],[Email]]))</f>
        <v>heidi.miller@example.com</v>
      </c>
      <c r="Z629" s="2" t="str">
        <f>SUBSTITUTE(Before_Tbl[[#This Row],[Phone]],"-","")</f>
        <v>3506158147</v>
      </c>
      <c r="AA629" t="str">
        <f>TRIM(PROPER(Before_Tbl[[#This Row],[Performance_Score]]))</f>
        <v>Poor</v>
      </c>
      <c r="AB629" s="2" t="str">
        <f>TRIM(UPPER(Before_Tbl[[#This Row],[Remote_Work]]))</f>
        <v>FALSE</v>
      </c>
    </row>
    <row r="630" spans="1:28" x14ac:dyDescent="0.35">
      <c r="A630" t="s">
        <v>1091</v>
      </c>
      <c r="B630" t="s">
        <v>37</v>
      </c>
      <c r="C630" t="s">
        <v>14</v>
      </c>
      <c r="D630">
        <v>40</v>
      </c>
      <c r="E630" t="s">
        <v>56</v>
      </c>
      <c r="F630" t="s">
        <v>28</v>
      </c>
      <c r="G630" t="s">
        <v>967</v>
      </c>
      <c r="H630">
        <v>102346.99</v>
      </c>
      <c r="I630" t="s">
        <v>52</v>
      </c>
      <c r="J630">
        <v>-8810798333</v>
      </c>
      <c r="K630" t="s">
        <v>23</v>
      </c>
      <c r="L630" t="b">
        <v>1</v>
      </c>
      <c r="P630" t="str">
        <f>TRIM(Before_Tbl[[#This Row],[Employee_ID]])</f>
        <v>EMP1628</v>
      </c>
      <c r="Q630" t="str">
        <f>TRIM(PROPER(Before_Tbl[[#This Row],[First_Name]]))</f>
        <v>Frank</v>
      </c>
      <c r="R630" t="str">
        <f>TRIM(PROPER(Before_Tbl[[#This Row],[Last_Name]]))</f>
        <v>Davis</v>
      </c>
      <c r="S630" s="25">
        <f t="shared" si="9"/>
        <v>40</v>
      </c>
      <c r="T630" t="str">
        <f>LEFT(Before_Tbl[[#This Row],[Department_Region]],FIND("-",Before_Tbl[[#This Row],[Department_Region]])-1)</f>
        <v>DevOps</v>
      </c>
      <c r="U630" t="str">
        <f>RIGHT(Before_Tbl[[#This Row],[Department_Region]],LEN(Before_Tbl[[#This Row],[Department_Region]])-FIND("-",Before_Tbl[[#This Row],[Department_Region]]))</f>
        <v>New York</v>
      </c>
      <c r="V630" t="str">
        <f>TRIM(PROPER(Before_Tbl[[#This Row],[Status]]))</f>
        <v>Pending</v>
      </c>
      <c r="W630" s="26">
        <v>44074</v>
      </c>
      <c r="X630" s="4">
        <v>102346.99</v>
      </c>
      <c r="Y630" t="str">
        <f>TRIM(LOWER(Before_Tbl[[#This Row],[Email]]))</f>
        <v>frank.davis@example.com</v>
      </c>
      <c r="Z630" s="2" t="str">
        <f>SUBSTITUTE(Before_Tbl[[#This Row],[Phone]],"-","")</f>
        <v>8810798333</v>
      </c>
      <c r="AA630" t="str">
        <f>TRIM(PROPER(Before_Tbl[[#This Row],[Performance_Score]]))</f>
        <v>Excellent</v>
      </c>
      <c r="AB630" s="2" t="str">
        <f>TRIM(UPPER(Before_Tbl[[#This Row],[Remote_Work]]))</f>
        <v>TRUE</v>
      </c>
    </row>
    <row r="631" spans="1:28" x14ac:dyDescent="0.35">
      <c r="A631" t="s">
        <v>1092</v>
      </c>
      <c r="B631" t="s">
        <v>54</v>
      </c>
      <c r="C631" t="s">
        <v>14</v>
      </c>
      <c r="D631">
        <v>25</v>
      </c>
      <c r="E631" t="s">
        <v>89</v>
      </c>
      <c r="F631" t="s">
        <v>33</v>
      </c>
      <c r="G631" t="s">
        <v>625</v>
      </c>
      <c r="H631">
        <v>73690.649999999994</v>
      </c>
      <c r="I631" t="s">
        <v>170</v>
      </c>
      <c r="J631">
        <v>-2337209483</v>
      </c>
      <c r="K631" t="s">
        <v>30</v>
      </c>
      <c r="L631" t="b">
        <v>1</v>
      </c>
      <c r="P631" t="str">
        <f>TRIM(Before_Tbl[[#This Row],[Employee_ID]])</f>
        <v>EMP1629</v>
      </c>
      <c r="Q631" t="str">
        <f>TRIM(PROPER(Before_Tbl[[#This Row],[First_Name]]))</f>
        <v>Charlie</v>
      </c>
      <c r="R631" t="str">
        <f>TRIM(PROPER(Before_Tbl[[#This Row],[Last_Name]]))</f>
        <v>Davis</v>
      </c>
      <c r="S631" s="25">
        <f t="shared" si="9"/>
        <v>25</v>
      </c>
      <c r="T631" t="str">
        <f>LEFT(Before_Tbl[[#This Row],[Department_Region]],FIND("-",Before_Tbl[[#This Row],[Department_Region]])-1)</f>
        <v>Admin</v>
      </c>
      <c r="U631" t="str">
        <f>RIGHT(Before_Tbl[[#This Row],[Department_Region]],LEN(Before_Tbl[[#This Row],[Department_Region]])-FIND("-",Before_Tbl[[#This Row],[Department_Region]]))</f>
        <v>Illinois</v>
      </c>
      <c r="V631" t="str">
        <f>TRIM(PROPER(Before_Tbl[[#This Row],[Status]]))</f>
        <v>Inactive</v>
      </c>
      <c r="W631" s="26">
        <v>45440</v>
      </c>
      <c r="X631" s="4">
        <v>73690.649999999994</v>
      </c>
      <c r="Y631" t="str">
        <f>TRIM(LOWER(Before_Tbl[[#This Row],[Email]]))</f>
        <v>charlie.davis@example.com</v>
      </c>
      <c r="Z631" s="2" t="str">
        <f>SUBSTITUTE(Before_Tbl[[#This Row],[Phone]],"-","")</f>
        <v>2337209483</v>
      </c>
      <c r="AA631" t="str">
        <f>TRIM(PROPER(Before_Tbl[[#This Row],[Performance_Score]]))</f>
        <v>Good</v>
      </c>
      <c r="AB631" s="2" t="str">
        <f>TRIM(UPPER(Before_Tbl[[#This Row],[Remote_Work]]))</f>
        <v>TRUE</v>
      </c>
    </row>
    <row r="632" spans="1:28" x14ac:dyDescent="0.35">
      <c r="A632" t="s">
        <v>1093</v>
      </c>
      <c r="B632" t="s">
        <v>25</v>
      </c>
      <c r="C632" t="s">
        <v>122</v>
      </c>
      <c r="D632">
        <v>30</v>
      </c>
      <c r="E632" t="s">
        <v>100</v>
      </c>
      <c r="F632" t="s">
        <v>16</v>
      </c>
      <c r="G632" s="1">
        <v>45419</v>
      </c>
      <c r="H632">
        <v>56376.2</v>
      </c>
      <c r="I632" t="s">
        <v>182</v>
      </c>
      <c r="J632">
        <v>-1312840332</v>
      </c>
      <c r="K632" t="s">
        <v>18</v>
      </c>
      <c r="L632" t="b">
        <v>1</v>
      </c>
      <c r="P632" t="str">
        <f>TRIM(Before_Tbl[[#This Row],[Employee_ID]])</f>
        <v>EMP1630</v>
      </c>
      <c r="Q632" t="str">
        <f>TRIM(PROPER(Before_Tbl[[#This Row],[First_Name]]))</f>
        <v>Alice</v>
      </c>
      <c r="R632" t="str">
        <f>TRIM(PROPER(Before_Tbl[[#This Row],[Last_Name]]))</f>
        <v>Smith</v>
      </c>
      <c r="S632" s="25">
        <f t="shared" si="9"/>
        <v>30</v>
      </c>
      <c r="T632" t="str">
        <f>LEFT(Before_Tbl[[#This Row],[Department_Region]],FIND("-",Before_Tbl[[#This Row],[Department_Region]])-1)</f>
        <v>Finance</v>
      </c>
      <c r="U632" t="str">
        <f>RIGHT(Before_Tbl[[#This Row],[Department_Region]],LEN(Before_Tbl[[#This Row],[Department_Region]])-FIND("-",Before_Tbl[[#This Row],[Department_Region]]))</f>
        <v>Nevada</v>
      </c>
      <c r="V632" t="str">
        <f>TRIM(PROPER(Before_Tbl[[#This Row],[Status]]))</f>
        <v>Active</v>
      </c>
      <c r="W632" s="26">
        <v>45419</v>
      </c>
      <c r="X632" s="4">
        <v>56376.2</v>
      </c>
      <c r="Y632" t="str">
        <f>TRIM(LOWER(Before_Tbl[[#This Row],[Email]]))</f>
        <v>alice.smith@example.com</v>
      </c>
      <c r="Z632" s="2" t="str">
        <f>SUBSTITUTE(Before_Tbl[[#This Row],[Phone]],"-","")</f>
        <v>1312840332</v>
      </c>
      <c r="AA632" t="str">
        <f>TRIM(PROPER(Before_Tbl[[#This Row],[Performance_Score]]))</f>
        <v>Average</v>
      </c>
      <c r="AB632" s="2" t="str">
        <f>TRIM(UPPER(Before_Tbl[[#This Row],[Remote_Work]]))</f>
        <v>TRUE</v>
      </c>
    </row>
    <row r="633" spans="1:28" x14ac:dyDescent="0.35">
      <c r="A633" t="s">
        <v>1094</v>
      </c>
      <c r="B633" t="s">
        <v>69</v>
      </c>
      <c r="C633" t="s">
        <v>20</v>
      </c>
      <c r="D633">
        <v>25</v>
      </c>
      <c r="E633" t="s">
        <v>268</v>
      </c>
      <c r="F633" t="s">
        <v>16</v>
      </c>
      <c r="G633" t="s">
        <v>499</v>
      </c>
      <c r="H633">
        <v>55602.78</v>
      </c>
      <c r="I633" t="s">
        <v>201</v>
      </c>
      <c r="J633">
        <v>-9977180512</v>
      </c>
      <c r="K633" t="s">
        <v>30</v>
      </c>
      <c r="L633" t="b">
        <v>0</v>
      </c>
      <c r="P633" t="str">
        <f>TRIM(Before_Tbl[[#This Row],[Employee_ID]])</f>
        <v>EMP1631</v>
      </c>
      <c r="Q633" t="str">
        <f>TRIM(PROPER(Before_Tbl[[#This Row],[First_Name]]))</f>
        <v>Grace</v>
      </c>
      <c r="R633" t="str">
        <f>TRIM(PROPER(Before_Tbl[[#This Row],[Last_Name]]))</f>
        <v>Brown</v>
      </c>
      <c r="S633" s="25">
        <f t="shared" si="9"/>
        <v>25</v>
      </c>
      <c r="T633" t="str">
        <f>LEFT(Before_Tbl[[#This Row],[Department_Region]],FIND("-",Before_Tbl[[#This Row],[Department_Region]])-1)</f>
        <v>Cloud Tech</v>
      </c>
      <c r="U633" t="str">
        <f>RIGHT(Before_Tbl[[#This Row],[Department_Region]],LEN(Before_Tbl[[#This Row],[Department_Region]])-FIND("-",Before_Tbl[[#This Row],[Department_Region]]))</f>
        <v>California</v>
      </c>
      <c r="V633" t="str">
        <f>TRIM(PROPER(Before_Tbl[[#This Row],[Status]]))</f>
        <v>Active</v>
      </c>
      <c r="W633" s="26">
        <v>44590</v>
      </c>
      <c r="X633" s="4">
        <v>55602.78</v>
      </c>
      <c r="Y633" t="str">
        <f>TRIM(LOWER(Before_Tbl[[#This Row],[Email]]))</f>
        <v>grace.brown@example.com</v>
      </c>
      <c r="Z633" s="2" t="str">
        <f>SUBSTITUTE(Before_Tbl[[#This Row],[Phone]],"-","")</f>
        <v>9977180512</v>
      </c>
      <c r="AA633" t="str">
        <f>TRIM(PROPER(Before_Tbl[[#This Row],[Performance_Score]]))</f>
        <v>Good</v>
      </c>
      <c r="AB633" s="2" t="str">
        <f>TRIM(UPPER(Before_Tbl[[#This Row],[Remote_Work]]))</f>
        <v>FALSE</v>
      </c>
    </row>
    <row r="634" spans="1:28" x14ac:dyDescent="0.35">
      <c r="A634" t="s">
        <v>1095</v>
      </c>
      <c r="B634" t="s">
        <v>69</v>
      </c>
      <c r="C634" t="s">
        <v>26</v>
      </c>
      <c r="D634">
        <v>40</v>
      </c>
      <c r="E634" t="s">
        <v>219</v>
      </c>
      <c r="F634" t="s">
        <v>28</v>
      </c>
      <c r="G634" s="1">
        <v>44447</v>
      </c>
      <c r="H634">
        <v>99812.41</v>
      </c>
      <c r="I634" t="s">
        <v>76</v>
      </c>
      <c r="J634">
        <v>-7171731892</v>
      </c>
      <c r="K634" t="s">
        <v>30</v>
      </c>
      <c r="L634" t="b">
        <v>0</v>
      </c>
      <c r="P634" t="str">
        <f>TRIM(Before_Tbl[[#This Row],[Employee_ID]])</f>
        <v>EMP1632</v>
      </c>
      <c r="Q634" t="str">
        <f>TRIM(PROPER(Before_Tbl[[#This Row],[First_Name]]))</f>
        <v>Grace</v>
      </c>
      <c r="R634" t="str">
        <f>TRIM(PROPER(Before_Tbl[[#This Row],[Last_Name]]))</f>
        <v>Jones</v>
      </c>
      <c r="S634" s="25">
        <f t="shared" si="9"/>
        <v>40</v>
      </c>
      <c r="T634" t="str">
        <f>LEFT(Before_Tbl[[#This Row],[Department_Region]],FIND("-",Before_Tbl[[#This Row],[Department_Region]])-1)</f>
        <v>Sales</v>
      </c>
      <c r="U634" t="str">
        <f>RIGHT(Before_Tbl[[#This Row],[Department_Region]],LEN(Before_Tbl[[#This Row],[Department_Region]])-FIND("-",Before_Tbl[[#This Row],[Department_Region]]))</f>
        <v>Nevada</v>
      </c>
      <c r="V634" t="str">
        <f>TRIM(PROPER(Before_Tbl[[#This Row],[Status]]))</f>
        <v>Pending</v>
      </c>
      <c r="W634" s="26">
        <v>44447</v>
      </c>
      <c r="X634" s="4">
        <v>99812.41</v>
      </c>
      <c r="Y634" t="str">
        <f>TRIM(LOWER(Before_Tbl[[#This Row],[Email]]))</f>
        <v>grace.jones@example.com</v>
      </c>
      <c r="Z634" s="2" t="str">
        <f>SUBSTITUTE(Before_Tbl[[#This Row],[Phone]],"-","")</f>
        <v>7171731892</v>
      </c>
      <c r="AA634" t="str">
        <f>TRIM(PROPER(Before_Tbl[[#This Row],[Performance_Score]]))</f>
        <v>Good</v>
      </c>
      <c r="AB634" s="2" t="str">
        <f>TRIM(UPPER(Before_Tbl[[#This Row],[Remote_Work]]))</f>
        <v>FALSE</v>
      </c>
    </row>
    <row r="635" spans="1:28" x14ac:dyDescent="0.35">
      <c r="A635" t="s">
        <v>1096</v>
      </c>
      <c r="B635" t="s">
        <v>54</v>
      </c>
      <c r="C635" t="s">
        <v>122</v>
      </c>
      <c r="D635">
        <v>40</v>
      </c>
      <c r="E635" t="s">
        <v>21</v>
      </c>
      <c r="F635" t="s">
        <v>16</v>
      </c>
      <c r="G635" s="1">
        <v>45483</v>
      </c>
      <c r="H635">
        <v>95981.9</v>
      </c>
      <c r="I635" t="s">
        <v>194</v>
      </c>
      <c r="J635">
        <v>-9749096172</v>
      </c>
      <c r="K635" t="s">
        <v>18</v>
      </c>
      <c r="L635" t="b">
        <v>1</v>
      </c>
      <c r="P635" t="str">
        <f>TRIM(Before_Tbl[[#This Row],[Employee_ID]])</f>
        <v>EMP1633</v>
      </c>
      <c r="Q635" t="str">
        <f>TRIM(PROPER(Before_Tbl[[#This Row],[First_Name]]))</f>
        <v>Charlie</v>
      </c>
      <c r="R635" t="str">
        <f>TRIM(PROPER(Before_Tbl[[#This Row],[Last_Name]]))</f>
        <v>Smith</v>
      </c>
      <c r="S635" s="25">
        <f t="shared" si="9"/>
        <v>40</v>
      </c>
      <c r="T635" t="str">
        <f>LEFT(Before_Tbl[[#This Row],[Department_Region]],FIND("-",Before_Tbl[[#This Row],[Department_Region]])-1)</f>
        <v>Finance</v>
      </c>
      <c r="U635" t="str">
        <f>RIGHT(Before_Tbl[[#This Row],[Department_Region]],LEN(Before_Tbl[[#This Row],[Department_Region]])-FIND("-",Before_Tbl[[#This Row],[Department_Region]]))</f>
        <v>Texas</v>
      </c>
      <c r="V635" t="str">
        <f>TRIM(PROPER(Before_Tbl[[#This Row],[Status]]))</f>
        <v>Active</v>
      </c>
      <c r="W635" s="26">
        <v>45483</v>
      </c>
      <c r="X635" s="4">
        <v>95981.9</v>
      </c>
      <c r="Y635" t="str">
        <f>TRIM(LOWER(Before_Tbl[[#This Row],[Email]]))</f>
        <v>charlie.smith@example.com</v>
      </c>
      <c r="Z635" s="2" t="str">
        <f>SUBSTITUTE(Before_Tbl[[#This Row],[Phone]],"-","")</f>
        <v>9749096172</v>
      </c>
      <c r="AA635" t="str">
        <f>TRIM(PROPER(Before_Tbl[[#This Row],[Performance_Score]]))</f>
        <v>Average</v>
      </c>
      <c r="AB635" s="2" t="str">
        <f>TRIM(UPPER(Before_Tbl[[#This Row],[Remote_Work]]))</f>
        <v>TRUE</v>
      </c>
    </row>
    <row r="636" spans="1:28" x14ac:dyDescent="0.35">
      <c r="A636" t="s">
        <v>1097</v>
      </c>
      <c r="B636" t="s">
        <v>32</v>
      </c>
      <c r="C636" t="s">
        <v>55</v>
      </c>
      <c r="D636">
        <v>30</v>
      </c>
      <c r="E636" t="s">
        <v>95</v>
      </c>
      <c r="F636" t="s">
        <v>28</v>
      </c>
      <c r="G636" t="s">
        <v>1098</v>
      </c>
      <c r="H636">
        <v>98891.48</v>
      </c>
      <c r="I636" t="s">
        <v>323</v>
      </c>
      <c r="J636">
        <v>-9970469471</v>
      </c>
      <c r="K636" t="s">
        <v>30</v>
      </c>
      <c r="L636" t="b">
        <v>1</v>
      </c>
      <c r="P636" t="str">
        <f>TRIM(Before_Tbl[[#This Row],[Employee_ID]])</f>
        <v>EMP1634</v>
      </c>
      <c r="Q636" t="str">
        <f>TRIM(PROPER(Before_Tbl[[#This Row],[First_Name]]))</f>
        <v>Eva</v>
      </c>
      <c r="R636" t="str">
        <f>TRIM(PROPER(Before_Tbl[[#This Row],[Last_Name]]))</f>
        <v>Johnson</v>
      </c>
      <c r="S636" s="25">
        <f t="shared" si="9"/>
        <v>30</v>
      </c>
      <c r="T636" t="str">
        <f>LEFT(Before_Tbl[[#This Row],[Department_Region]],FIND("-",Before_Tbl[[#This Row],[Department_Region]])-1)</f>
        <v>Cloud Tech</v>
      </c>
      <c r="U636" t="str">
        <f>RIGHT(Before_Tbl[[#This Row],[Department_Region]],LEN(Before_Tbl[[#This Row],[Department_Region]])-FIND("-",Before_Tbl[[#This Row],[Department_Region]]))</f>
        <v>Illinois</v>
      </c>
      <c r="V636" t="str">
        <f>TRIM(PROPER(Before_Tbl[[#This Row],[Status]]))</f>
        <v>Pending</v>
      </c>
      <c r="W636" s="26">
        <v>44887</v>
      </c>
      <c r="X636" s="4">
        <v>98891.48</v>
      </c>
      <c r="Y636" t="str">
        <f>TRIM(LOWER(Before_Tbl[[#This Row],[Email]]))</f>
        <v>eva.johnson@example.com</v>
      </c>
      <c r="Z636" s="2" t="str">
        <f>SUBSTITUTE(Before_Tbl[[#This Row],[Phone]],"-","")</f>
        <v>9970469471</v>
      </c>
      <c r="AA636" t="str">
        <f>TRIM(PROPER(Before_Tbl[[#This Row],[Performance_Score]]))</f>
        <v>Good</v>
      </c>
      <c r="AB636" s="2" t="str">
        <f>TRIM(UPPER(Before_Tbl[[#This Row],[Remote_Work]]))</f>
        <v>TRUE</v>
      </c>
    </row>
    <row r="637" spans="1:28" x14ac:dyDescent="0.35">
      <c r="A637" t="s">
        <v>1099</v>
      </c>
      <c r="B637" t="s">
        <v>25</v>
      </c>
      <c r="C637" t="s">
        <v>55</v>
      </c>
      <c r="D637">
        <v>35</v>
      </c>
      <c r="E637" t="s">
        <v>27</v>
      </c>
      <c r="F637" t="s">
        <v>16</v>
      </c>
      <c r="G637" t="s">
        <v>834</v>
      </c>
      <c r="H637">
        <v>56079</v>
      </c>
      <c r="I637" t="s">
        <v>150</v>
      </c>
      <c r="J637">
        <v>-5878444834</v>
      </c>
      <c r="K637" t="s">
        <v>18</v>
      </c>
      <c r="L637" t="b">
        <v>1</v>
      </c>
      <c r="P637" t="str">
        <f>TRIM(Before_Tbl[[#This Row],[Employee_ID]])</f>
        <v>EMP1635</v>
      </c>
      <c r="Q637" t="str">
        <f>TRIM(PROPER(Before_Tbl[[#This Row],[First_Name]]))</f>
        <v>Alice</v>
      </c>
      <c r="R637" t="str">
        <f>TRIM(PROPER(Before_Tbl[[#This Row],[Last_Name]]))</f>
        <v>Johnson</v>
      </c>
      <c r="S637" s="25">
        <f t="shared" si="9"/>
        <v>35</v>
      </c>
      <c r="T637" t="str">
        <f>LEFT(Before_Tbl[[#This Row],[Department_Region]],FIND("-",Before_Tbl[[#This Row],[Department_Region]])-1)</f>
        <v>Admin</v>
      </c>
      <c r="U637" t="str">
        <f>RIGHT(Before_Tbl[[#This Row],[Department_Region]],LEN(Before_Tbl[[#This Row],[Department_Region]])-FIND("-",Before_Tbl[[#This Row],[Department_Region]]))</f>
        <v>Nevada</v>
      </c>
      <c r="V637" t="str">
        <f>TRIM(PROPER(Before_Tbl[[#This Row],[Status]]))</f>
        <v>Active</v>
      </c>
      <c r="W637" s="26">
        <v>44153</v>
      </c>
      <c r="X637" s="4">
        <v>56079</v>
      </c>
      <c r="Y637" t="str">
        <f>TRIM(LOWER(Before_Tbl[[#This Row],[Email]]))</f>
        <v>alice.johnson@example.com</v>
      </c>
      <c r="Z637" s="2" t="str">
        <f>SUBSTITUTE(Before_Tbl[[#This Row],[Phone]],"-","")</f>
        <v>5878444834</v>
      </c>
      <c r="AA637" t="str">
        <f>TRIM(PROPER(Before_Tbl[[#This Row],[Performance_Score]]))</f>
        <v>Average</v>
      </c>
      <c r="AB637" s="2" t="str">
        <f>TRIM(UPPER(Before_Tbl[[#This Row],[Remote_Work]]))</f>
        <v>TRUE</v>
      </c>
    </row>
    <row r="638" spans="1:28" x14ac:dyDescent="0.35">
      <c r="A638" t="s">
        <v>1100</v>
      </c>
      <c r="B638" t="s">
        <v>69</v>
      </c>
      <c r="C638" t="s">
        <v>122</v>
      </c>
      <c r="D638">
        <v>35</v>
      </c>
      <c r="E638" t="s">
        <v>230</v>
      </c>
      <c r="F638" t="s">
        <v>33</v>
      </c>
      <c r="G638" t="s">
        <v>1101</v>
      </c>
      <c r="H638" t="s">
        <v>277</v>
      </c>
      <c r="I638" t="s">
        <v>135</v>
      </c>
      <c r="J638">
        <v>-4884712704</v>
      </c>
      <c r="K638" t="s">
        <v>30</v>
      </c>
      <c r="L638" t="b">
        <v>1</v>
      </c>
      <c r="P638" t="str">
        <f>TRIM(Before_Tbl[[#This Row],[Employee_ID]])</f>
        <v>EMP1636</v>
      </c>
      <c r="Q638" t="str">
        <f>TRIM(PROPER(Before_Tbl[[#This Row],[First_Name]]))</f>
        <v>Grace</v>
      </c>
      <c r="R638" t="str">
        <f>TRIM(PROPER(Before_Tbl[[#This Row],[Last_Name]]))</f>
        <v>Smith</v>
      </c>
      <c r="S638" s="25">
        <f t="shared" si="9"/>
        <v>35</v>
      </c>
      <c r="T638" t="str">
        <f>LEFT(Before_Tbl[[#This Row],[Department_Region]],FIND("-",Before_Tbl[[#This Row],[Department_Region]])-1)</f>
        <v>DevOps</v>
      </c>
      <c r="U638" t="str">
        <f>RIGHT(Before_Tbl[[#This Row],[Department_Region]],LEN(Before_Tbl[[#This Row],[Department_Region]])-FIND("-",Before_Tbl[[#This Row],[Department_Region]]))</f>
        <v>Florida</v>
      </c>
      <c r="V638" t="str">
        <f>TRIM(PROPER(Before_Tbl[[#This Row],[Status]]))</f>
        <v>Inactive</v>
      </c>
      <c r="W638" s="26">
        <v>45031</v>
      </c>
      <c r="X638" s="4"/>
      <c r="Y638" t="str">
        <f>TRIM(LOWER(Before_Tbl[[#This Row],[Email]]))</f>
        <v>grace.smith@example.com</v>
      </c>
      <c r="Z638" s="2" t="str">
        <f>SUBSTITUTE(Before_Tbl[[#This Row],[Phone]],"-","")</f>
        <v>4884712704</v>
      </c>
      <c r="AA638" t="str">
        <f>TRIM(PROPER(Before_Tbl[[#This Row],[Performance_Score]]))</f>
        <v>Good</v>
      </c>
      <c r="AB638" s="2" t="str">
        <f>TRIM(UPPER(Before_Tbl[[#This Row],[Remote_Work]]))</f>
        <v>TRUE</v>
      </c>
    </row>
    <row r="639" spans="1:28" x14ac:dyDescent="0.35">
      <c r="A639" t="s">
        <v>1102</v>
      </c>
      <c r="B639" t="s">
        <v>13</v>
      </c>
      <c r="C639" t="s">
        <v>14</v>
      </c>
      <c r="D639">
        <v>25</v>
      </c>
      <c r="E639" t="s">
        <v>177</v>
      </c>
      <c r="F639" t="s">
        <v>28</v>
      </c>
      <c r="G639" t="s">
        <v>467</v>
      </c>
      <c r="H639">
        <v>89137.97</v>
      </c>
      <c r="I639" t="s">
        <v>17</v>
      </c>
      <c r="J639">
        <v>-8772216416</v>
      </c>
      <c r="K639" t="s">
        <v>18</v>
      </c>
      <c r="L639" t="b">
        <v>0</v>
      </c>
      <c r="P639" t="str">
        <f>TRIM(Before_Tbl[[#This Row],[Employee_ID]])</f>
        <v>EMP1637</v>
      </c>
      <c r="Q639" t="str">
        <f>TRIM(PROPER(Before_Tbl[[#This Row],[First_Name]]))</f>
        <v>Bob</v>
      </c>
      <c r="R639" t="str">
        <f>TRIM(PROPER(Before_Tbl[[#This Row],[Last_Name]]))</f>
        <v>Davis</v>
      </c>
      <c r="S639" s="25">
        <f t="shared" si="9"/>
        <v>25</v>
      </c>
      <c r="T639" t="str">
        <f>LEFT(Before_Tbl[[#This Row],[Department_Region]],FIND("-",Before_Tbl[[#This Row],[Department_Region]])-1)</f>
        <v>Sales</v>
      </c>
      <c r="U639" t="str">
        <f>RIGHT(Before_Tbl[[#This Row],[Department_Region]],LEN(Before_Tbl[[#This Row],[Department_Region]])-FIND("-",Before_Tbl[[#This Row],[Department_Region]]))</f>
        <v>California</v>
      </c>
      <c r="V639" t="str">
        <f>TRIM(PROPER(Before_Tbl[[#This Row],[Status]]))</f>
        <v>Pending</v>
      </c>
      <c r="W639" s="26">
        <v>45530</v>
      </c>
      <c r="X639" s="4">
        <v>89137.97</v>
      </c>
      <c r="Y639" t="str">
        <f>TRIM(LOWER(Before_Tbl[[#This Row],[Email]]))</f>
        <v>bob.davis@example.com</v>
      </c>
      <c r="Z639" s="2" t="str">
        <f>SUBSTITUTE(Before_Tbl[[#This Row],[Phone]],"-","")</f>
        <v>8772216416</v>
      </c>
      <c r="AA639" t="str">
        <f>TRIM(PROPER(Before_Tbl[[#This Row],[Performance_Score]]))</f>
        <v>Average</v>
      </c>
      <c r="AB639" s="2" t="str">
        <f>TRIM(UPPER(Before_Tbl[[#This Row],[Remote_Work]]))</f>
        <v>FALSE</v>
      </c>
    </row>
    <row r="640" spans="1:28" x14ac:dyDescent="0.35">
      <c r="A640" t="s">
        <v>1103</v>
      </c>
      <c r="B640" t="s">
        <v>37</v>
      </c>
      <c r="C640" t="s">
        <v>55</v>
      </c>
      <c r="D640">
        <v>35</v>
      </c>
      <c r="E640" t="s">
        <v>89</v>
      </c>
      <c r="F640" t="s">
        <v>16</v>
      </c>
      <c r="G640" t="s">
        <v>1104</v>
      </c>
      <c r="H640">
        <v>115079.97</v>
      </c>
      <c r="I640" t="s">
        <v>271</v>
      </c>
      <c r="J640">
        <v>-5823133483</v>
      </c>
      <c r="K640" t="s">
        <v>23</v>
      </c>
      <c r="L640" t="b">
        <v>1</v>
      </c>
      <c r="P640" t="str">
        <f>TRIM(Before_Tbl[[#This Row],[Employee_ID]])</f>
        <v>EMP1638</v>
      </c>
      <c r="Q640" t="str">
        <f>TRIM(PROPER(Before_Tbl[[#This Row],[First_Name]]))</f>
        <v>Frank</v>
      </c>
      <c r="R640" t="str">
        <f>TRIM(PROPER(Before_Tbl[[#This Row],[Last_Name]]))</f>
        <v>Johnson</v>
      </c>
      <c r="S640" s="25">
        <f t="shared" si="9"/>
        <v>35</v>
      </c>
      <c r="T640" t="str">
        <f>LEFT(Before_Tbl[[#This Row],[Department_Region]],FIND("-",Before_Tbl[[#This Row],[Department_Region]])-1)</f>
        <v>Admin</v>
      </c>
      <c r="U640" t="str">
        <f>RIGHT(Before_Tbl[[#This Row],[Department_Region]],LEN(Before_Tbl[[#This Row],[Department_Region]])-FIND("-",Before_Tbl[[#This Row],[Department_Region]]))</f>
        <v>Illinois</v>
      </c>
      <c r="V640" t="str">
        <f>TRIM(PROPER(Before_Tbl[[#This Row],[Status]]))</f>
        <v>Active</v>
      </c>
      <c r="W640" s="26">
        <v>44762</v>
      </c>
      <c r="X640" s="4">
        <v>115079.97</v>
      </c>
      <c r="Y640" t="str">
        <f>TRIM(LOWER(Before_Tbl[[#This Row],[Email]]))</f>
        <v>frank.johnson@example.com</v>
      </c>
      <c r="Z640" s="2" t="str">
        <f>SUBSTITUTE(Before_Tbl[[#This Row],[Phone]],"-","")</f>
        <v>5823133483</v>
      </c>
      <c r="AA640" t="str">
        <f>TRIM(PROPER(Before_Tbl[[#This Row],[Performance_Score]]))</f>
        <v>Excellent</v>
      </c>
      <c r="AB640" s="2" t="str">
        <f>TRIM(UPPER(Before_Tbl[[#This Row],[Remote_Work]]))</f>
        <v>TRUE</v>
      </c>
    </row>
    <row r="641" spans="1:28" x14ac:dyDescent="0.35">
      <c r="A641" t="s">
        <v>1105</v>
      </c>
      <c r="B641" t="s">
        <v>32</v>
      </c>
      <c r="C641" t="s">
        <v>43</v>
      </c>
      <c r="D641">
        <v>30</v>
      </c>
      <c r="E641" t="s">
        <v>265</v>
      </c>
      <c r="F641" t="s">
        <v>16</v>
      </c>
      <c r="G641" t="s">
        <v>1106</v>
      </c>
      <c r="H641">
        <v>55067.02</v>
      </c>
      <c r="I641" t="s">
        <v>297</v>
      </c>
      <c r="J641">
        <v>-5871493924</v>
      </c>
      <c r="K641" t="s">
        <v>41</v>
      </c>
      <c r="L641" t="b">
        <v>1</v>
      </c>
      <c r="P641" t="str">
        <f>TRIM(Before_Tbl[[#This Row],[Employee_ID]])</f>
        <v>EMP1639</v>
      </c>
      <c r="Q641" t="str">
        <f>TRIM(PROPER(Before_Tbl[[#This Row],[First_Name]]))</f>
        <v>Eva</v>
      </c>
      <c r="R641" t="str">
        <f>TRIM(PROPER(Before_Tbl[[#This Row],[Last_Name]]))</f>
        <v>Garcia</v>
      </c>
      <c r="S641" s="25">
        <f t="shared" si="9"/>
        <v>30</v>
      </c>
      <c r="T641" t="str">
        <f>LEFT(Before_Tbl[[#This Row],[Department_Region]],FIND("-",Before_Tbl[[#This Row],[Department_Region]])-1)</f>
        <v>Finance</v>
      </c>
      <c r="U641" t="str">
        <f>RIGHT(Before_Tbl[[#This Row],[Department_Region]],LEN(Before_Tbl[[#This Row],[Department_Region]])-FIND("-",Before_Tbl[[#This Row],[Department_Region]]))</f>
        <v>Illinois</v>
      </c>
      <c r="V641" t="str">
        <f>TRIM(PROPER(Before_Tbl[[#This Row],[Status]]))</f>
        <v>Active</v>
      </c>
      <c r="W641" s="26">
        <v>44975</v>
      </c>
      <c r="X641" s="4">
        <v>55067.02</v>
      </c>
      <c r="Y641" t="str">
        <f>TRIM(LOWER(Before_Tbl[[#This Row],[Email]]))</f>
        <v>eva.garcia@example.com</v>
      </c>
      <c r="Z641" s="2" t="str">
        <f>SUBSTITUTE(Before_Tbl[[#This Row],[Phone]],"-","")</f>
        <v>5871493924</v>
      </c>
      <c r="AA641" t="str">
        <f>TRIM(PROPER(Before_Tbl[[#This Row],[Performance_Score]]))</f>
        <v>Poor</v>
      </c>
      <c r="AB641" s="2" t="str">
        <f>TRIM(UPPER(Before_Tbl[[#This Row],[Remote_Work]]))</f>
        <v>TRUE</v>
      </c>
    </row>
    <row r="642" spans="1:28" x14ac:dyDescent="0.35">
      <c r="A642" t="s">
        <v>1107</v>
      </c>
      <c r="B642" t="s">
        <v>13</v>
      </c>
      <c r="C642" t="s">
        <v>92</v>
      </c>
      <c r="E642" t="s">
        <v>192</v>
      </c>
      <c r="F642" t="s">
        <v>28</v>
      </c>
      <c r="G642" t="s">
        <v>1108</v>
      </c>
      <c r="H642">
        <v>98593.43</v>
      </c>
      <c r="I642" t="s">
        <v>93</v>
      </c>
      <c r="J642">
        <v>-2362292586</v>
      </c>
      <c r="K642" t="s">
        <v>18</v>
      </c>
      <c r="L642" t="b">
        <v>1</v>
      </c>
      <c r="P642" t="str">
        <f>TRIM(Before_Tbl[[#This Row],[Employee_ID]])</f>
        <v>EMP1640</v>
      </c>
      <c r="Q642" t="str">
        <f>TRIM(PROPER(Before_Tbl[[#This Row],[First_Name]]))</f>
        <v>Bob</v>
      </c>
      <c r="R642" t="str">
        <f>TRIM(PROPER(Before_Tbl[[#This Row],[Last_Name]]))</f>
        <v>Miller</v>
      </c>
      <c r="S642" s="25">
        <f t="shared" ref="S642:S705" si="10">IF(ISBLANK(D642),30,D642)</f>
        <v>30</v>
      </c>
      <c r="T642" t="str">
        <f>LEFT(Before_Tbl[[#This Row],[Department_Region]],FIND("-",Before_Tbl[[#This Row],[Department_Region]])-1)</f>
        <v>HR</v>
      </c>
      <c r="U642" t="str">
        <f>RIGHT(Before_Tbl[[#This Row],[Department_Region]],LEN(Before_Tbl[[#This Row],[Department_Region]])-FIND("-",Before_Tbl[[#This Row],[Department_Region]]))</f>
        <v>Illinois</v>
      </c>
      <c r="V642" t="str">
        <f>TRIM(PROPER(Before_Tbl[[#This Row],[Status]]))</f>
        <v>Pending</v>
      </c>
      <c r="W642" s="26">
        <v>44343</v>
      </c>
      <c r="X642" s="4">
        <v>98593.43</v>
      </c>
      <c r="Y642" t="str">
        <f>TRIM(LOWER(Before_Tbl[[#This Row],[Email]]))</f>
        <v>bob.miller@example.com</v>
      </c>
      <c r="Z642" s="2" t="str">
        <f>SUBSTITUTE(Before_Tbl[[#This Row],[Phone]],"-","")</f>
        <v>2362292586</v>
      </c>
      <c r="AA642" t="str">
        <f>TRIM(PROPER(Before_Tbl[[#This Row],[Performance_Score]]))</f>
        <v>Average</v>
      </c>
      <c r="AB642" s="2" t="str">
        <f>TRIM(UPPER(Before_Tbl[[#This Row],[Remote_Work]]))</f>
        <v>TRUE</v>
      </c>
    </row>
    <row r="643" spans="1:28" x14ac:dyDescent="0.35">
      <c r="A643" t="s">
        <v>1109</v>
      </c>
      <c r="B643" t="s">
        <v>65</v>
      </c>
      <c r="C643" t="s">
        <v>92</v>
      </c>
      <c r="D643">
        <v>30</v>
      </c>
      <c r="E643" t="s">
        <v>212</v>
      </c>
      <c r="F643" t="s">
        <v>28</v>
      </c>
      <c r="G643" s="1">
        <v>44569</v>
      </c>
      <c r="H643">
        <v>112756.67</v>
      </c>
      <c r="I643" t="s">
        <v>130</v>
      </c>
      <c r="J643">
        <v>-9643474523</v>
      </c>
      <c r="K643" t="s">
        <v>18</v>
      </c>
      <c r="L643" t="b">
        <v>1</v>
      </c>
      <c r="P643" t="str">
        <f>TRIM(Before_Tbl[[#This Row],[Employee_ID]])</f>
        <v>EMP1641</v>
      </c>
      <c r="Q643" t="str">
        <f>TRIM(PROPER(Before_Tbl[[#This Row],[First_Name]]))</f>
        <v>Heidi</v>
      </c>
      <c r="R643" t="str">
        <f>TRIM(PROPER(Before_Tbl[[#This Row],[Last_Name]]))</f>
        <v>Miller</v>
      </c>
      <c r="S643" s="25">
        <f t="shared" si="10"/>
        <v>30</v>
      </c>
      <c r="T643" t="str">
        <f>LEFT(Before_Tbl[[#This Row],[Department_Region]],FIND("-",Before_Tbl[[#This Row],[Department_Region]])-1)</f>
        <v>HR</v>
      </c>
      <c r="U643" t="str">
        <f>RIGHT(Before_Tbl[[#This Row],[Department_Region]],LEN(Before_Tbl[[#This Row],[Department_Region]])-FIND("-",Before_Tbl[[#This Row],[Department_Region]]))</f>
        <v>Florida</v>
      </c>
      <c r="V643" t="str">
        <f>TRIM(PROPER(Before_Tbl[[#This Row],[Status]]))</f>
        <v>Pending</v>
      </c>
      <c r="W643" s="26">
        <v>44569</v>
      </c>
      <c r="X643" s="4">
        <v>112756.67</v>
      </c>
      <c r="Y643" t="str">
        <f>TRIM(LOWER(Before_Tbl[[#This Row],[Email]]))</f>
        <v>heidi.miller@example.com</v>
      </c>
      <c r="Z643" s="2" t="str">
        <f>SUBSTITUTE(Before_Tbl[[#This Row],[Phone]],"-","")</f>
        <v>9643474523</v>
      </c>
      <c r="AA643" t="str">
        <f>TRIM(PROPER(Before_Tbl[[#This Row],[Performance_Score]]))</f>
        <v>Average</v>
      </c>
      <c r="AB643" s="2" t="str">
        <f>TRIM(UPPER(Before_Tbl[[#This Row],[Remote_Work]]))</f>
        <v>TRUE</v>
      </c>
    </row>
    <row r="644" spans="1:28" x14ac:dyDescent="0.35">
      <c r="A644" t="s">
        <v>1110</v>
      </c>
      <c r="B644" t="s">
        <v>65</v>
      </c>
      <c r="C644" t="s">
        <v>43</v>
      </c>
      <c r="D644">
        <v>25</v>
      </c>
      <c r="E644" t="s">
        <v>139</v>
      </c>
      <c r="F644" t="s">
        <v>33</v>
      </c>
      <c r="G644" t="s">
        <v>998</v>
      </c>
      <c r="H644">
        <v>105205.92</v>
      </c>
      <c r="I644" t="s">
        <v>257</v>
      </c>
      <c r="J644">
        <v>-5557469659</v>
      </c>
      <c r="K644" t="s">
        <v>41</v>
      </c>
      <c r="L644" t="b">
        <v>0</v>
      </c>
      <c r="P644" t="str">
        <f>TRIM(Before_Tbl[[#This Row],[Employee_ID]])</f>
        <v>EMP1642</v>
      </c>
      <c r="Q644" t="str">
        <f>TRIM(PROPER(Before_Tbl[[#This Row],[First_Name]]))</f>
        <v>Heidi</v>
      </c>
      <c r="R644" t="str">
        <f>TRIM(PROPER(Before_Tbl[[#This Row],[Last_Name]]))</f>
        <v>Garcia</v>
      </c>
      <c r="S644" s="25">
        <f t="shared" si="10"/>
        <v>25</v>
      </c>
      <c r="T644" t="str">
        <f>LEFT(Before_Tbl[[#This Row],[Department_Region]],FIND("-",Before_Tbl[[#This Row],[Department_Region]])-1)</f>
        <v>HR</v>
      </c>
      <c r="U644" t="str">
        <f>RIGHT(Before_Tbl[[#This Row],[Department_Region]],LEN(Before_Tbl[[#This Row],[Department_Region]])-FIND("-",Before_Tbl[[#This Row],[Department_Region]]))</f>
        <v>Texas</v>
      </c>
      <c r="V644" t="str">
        <f>TRIM(PROPER(Before_Tbl[[#This Row],[Status]]))</f>
        <v>Inactive</v>
      </c>
      <c r="W644" s="26">
        <v>45128</v>
      </c>
      <c r="X644" s="4">
        <v>105205.92</v>
      </c>
      <c r="Y644" t="str">
        <f>TRIM(LOWER(Before_Tbl[[#This Row],[Email]]))</f>
        <v>heidi.garcia@example.com</v>
      </c>
      <c r="Z644" s="2" t="str">
        <f>SUBSTITUTE(Before_Tbl[[#This Row],[Phone]],"-","")</f>
        <v>5557469659</v>
      </c>
      <c r="AA644" t="str">
        <f>TRIM(PROPER(Before_Tbl[[#This Row],[Performance_Score]]))</f>
        <v>Poor</v>
      </c>
      <c r="AB644" s="2" t="str">
        <f>TRIM(UPPER(Before_Tbl[[#This Row],[Remote_Work]]))</f>
        <v>FALSE</v>
      </c>
    </row>
    <row r="645" spans="1:28" x14ac:dyDescent="0.35">
      <c r="A645" t="s">
        <v>1111</v>
      </c>
      <c r="B645" t="s">
        <v>59</v>
      </c>
      <c r="C645" t="s">
        <v>122</v>
      </c>
      <c r="D645">
        <v>35</v>
      </c>
      <c r="E645" t="s">
        <v>70</v>
      </c>
      <c r="F645" t="s">
        <v>28</v>
      </c>
      <c r="G645" s="1">
        <v>44958</v>
      </c>
      <c r="H645">
        <v>50680.62</v>
      </c>
      <c r="I645" t="s">
        <v>341</v>
      </c>
      <c r="J645">
        <v>-6065274032</v>
      </c>
      <c r="K645" t="s">
        <v>18</v>
      </c>
      <c r="L645" t="b">
        <v>1</v>
      </c>
      <c r="P645" t="str">
        <f>TRIM(Before_Tbl[[#This Row],[Employee_ID]])</f>
        <v>EMP1643</v>
      </c>
      <c r="Q645" t="str">
        <f>TRIM(PROPER(Before_Tbl[[#This Row],[First_Name]]))</f>
        <v>David</v>
      </c>
      <c r="R645" t="str">
        <f>TRIM(PROPER(Before_Tbl[[#This Row],[Last_Name]]))</f>
        <v>Smith</v>
      </c>
      <c r="S645" s="25">
        <f t="shared" si="10"/>
        <v>35</v>
      </c>
      <c r="T645" t="str">
        <f>LEFT(Before_Tbl[[#This Row],[Department_Region]],FIND("-",Before_Tbl[[#This Row],[Department_Region]])-1)</f>
        <v>Finance</v>
      </c>
      <c r="U645" t="str">
        <f>RIGHT(Before_Tbl[[#This Row],[Department_Region]],LEN(Before_Tbl[[#This Row],[Department_Region]])-FIND("-",Before_Tbl[[#This Row],[Department_Region]]))</f>
        <v>California</v>
      </c>
      <c r="V645" t="str">
        <f>TRIM(PROPER(Before_Tbl[[#This Row],[Status]]))</f>
        <v>Pending</v>
      </c>
      <c r="W645" s="26">
        <v>44958</v>
      </c>
      <c r="X645" s="4">
        <v>50680.62</v>
      </c>
      <c r="Y645" t="str">
        <f>TRIM(LOWER(Before_Tbl[[#This Row],[Email]]))</f>
        <v>david.smith@example.com</v>
      </c>
      <c r="Z645" s="2" t="str">
        <f>SUBSTITUTE(Before_Tbl[[#This Row],[Phone]],"-","")</f>
        <v>6065274032</v>
      </c>
      <c r="AA645" t="str">
        <f>TRIM(PROPER(Before_Tbl[[#This Row],[Performance_Score]]))</f>
        <v>Average</v>
      </c>
      <c r="AB645" s="2" t="str">
        <f>TRIM(UPPER(Before_Tbl[[#This Row],[Remote_Work]]))</f>
        <v>TRUE</v>
      </c>
    </row>
    <row r="646" spans="1:28" x14ac:dyDescent="0.35">
      <c r="A646" t="s">
        <v>1112</v>
      </c>
      <c r="B646" t="s">
        <v>59</v>
      </c>
      <c r="C646" t="s">
        <v>43</v>
      </c>
      <c r="D646">
        <v>35</v>
      </c>
      <c r="E646" t="s">
        <v>39</v>
      </c>
      <c r="F646" t="s">
        <v>28</v>
      </c>
      <c r="G646" t="s">
        <v>1113</v>
      </c>
      <c r="H646">
        <v>107475.23</v>
      </c>
      <c r="I646" t="s">
        <v>101</v>
      </c>
      <c r="J646">
        <v>-4450566587</v>
      </c>
      <c r="K646" t="s">
        <v>18</v>
      </c>
      <c r="L646" t="b">
        <v>0</v>
      </c>
      <c r="P646" t="str">
        <f>TRIM(Before_Tbl[[#This Row],[Employee_ID]])</f>
        <v>EMP1644</v>
      </c>
      <c r="Q646" t="str">
        <f>TRIM(PROPER(Before_Tbl[[#This Row],[First_Name]]))</f>
        <v>David</v>
      </c>
      <c r="R646" t="str">
        <f>TRIM(PROPER(Before_Tbl[[#This Row],[Last_Name]]))</f>
        <v>Garcia</v>
      </c>
      <c r="S646" s="25">
        <f t="shared" si="10"/>
        <v>35</v>
      </c>
      <c r="T646" t="str">
        <f>LEFT(Before_Tbl[[#This Row],[Department_Region]],FIND("-",Before_Tbl[[#This Row],[Department_Region]])-1)</f>
        <v>Cloud Tech</v>
      </c>
      <c r="U646" t="str">
        <f>RIGHT(Before_Tbl[[#This Row],[Department_Region]],LEN(Before_Tbl[[#This Row],[Department_Region]])-FIND("-",Before_Tbl[[#This Row],[Department_Region]]))</f>
        <v>Florida</v>
      </c>
      <c r="V646" t="str">
        <f>TRIM(PROPER(Before_Tbl[[#This Row],[Status]]))</f>
        <v>Pending</v>
      </c>
      <c r="W646" s="26">
        <v>45364</v>
      </c>
      <c r="X646" s="4">
        <v>107475.23</v>
      </c>
      <c r="Y646" t="str">
        <f>TRIM(LOWER(Before_Tbl[[#This Row],[Email]]))</f>
        <v>david.garcia@example.com</v>
      </c>
      <c r="Z646" s="2" t="str">
        <f>SUBSTITUTE(Before_Tbl[[#This Row],[Phone]],"-","")</f>
        <v>4450566587</v>
      </c>
      <c r="AA646" t="str">
        <f>TRIM(PROPER(Before_Tbl[[#This Row],[Performance_Score]]))</f>
        <v>Average</v>
      </c>
      <c r="AB646" s="2" t="str">
        <f>TRIM(UPPER(Before_Tbl[[#This Row],[Remote_Work]]))</f>
        <v>FALSE</v>
      </c>
    </row>
    <row r="647" spans="1:28" x14ac:dyDescent="0.35">
      <c r="A647" t="s">
        <v>1114</v>
      </c>
      <c r="B647" t="s">
        <v>54</v>
      </c>
      <c r="C647" t="s">
        <v>26</v>
      </c>
      <c r="D647">
        <v>40</v>
      </c>
      <c r="E647" t="s">
        <v>146</v>
      </c>
      <c r="F647" t="s">
        <v>16</v>
      </c>
      <c r="G647" t="s">
        <v>1115</v>
      </c>
      <c r="H647">
        <v>68835.3</v>
      </c>
      <c r="I647" t="s">
        <v>120</v>
      </c>
      <c r="J647">
        <v>-3398741131</v>
      </c>
      <c r="K647" t="s">
        <v>30</v>
      </c>
      <c r="L647" t="b">
        <v>1</v>
      </c>
      <c r="P647" t="str">
        <f>TRIM(Before_Tbl[[#This Row],[Employee_ID]])</f>
        <v>EMP1645</v>
      </c>
      <c r="Q647" t="str">
        <f>TRIM(PROPER(Before_Tbl[[#This Row],[First_Name]]))</f>
        <v>Charlie</v>
      </c>
      <c r="R647" t="str">
        <f>TRIM(PROPER(Before_Tbl[[#This Row],[Last_Name]]))</f>
        <v>Jones</v>
      </c>
      <c r="S647" s="25">
        <f t="shared" si="10"/>
        <v>40</v>
      </c>
      <c r="T647" t="str">
        <f>LEFT(Before_Tbl[[#This Row],[Department_Region]],FIND("-",Before_Tbl[[#This Row],[Department_Region]])-1)</f>
        <v>HR</v>
      </c>
      <c r="U647" t="str">
        <f>RIGHT(Before_Tbl[[#This Row],[Department_Region]],LEN(Before_Tbl[[#This Row],[Department_Region]])-FIND("-",Before_Tbl[[#This Row],[Department_Region]]))</f>
        <v>California</v>
      </c>
      <c r="V647" t="str">
        <f>TRIM(PROPER(Before_Tbl[[#This Row],[Status]]))</f>
        <v>Active</v>
      </c>
      <c r="W647" s="26">
        <v>45005</v>
      </c>
      <c r="X647" s="4">
        <v>68835.3</v>
      </c>
      <c r="Y647" t="str">
        <f>TRIM(LOWER(Before_Tbl[[#This Row],[Email]]))</f>
        <v>charlie.jones@example.com</v>
      </c>
      <c r="Z647" s="2" t="str">
        <f>SUBSTITUTE(Before_Tbl[[#This Row],[Phone]],"-","")</f>
        <v>3398741131</v>
      </c>
      <c r="AA647" t="str">
        <f>TRIM(PROPER(Before_Tbl[[#This Row],[Performance_Score]]))</f>
        <v>Good</v>
      </c>
      <c r="AB647" s="2" t="str">
        <f>TRIM(UPPER(Before_Tbl[[#This Row],[Remote_Work]]))</f>
        <v>TRUE</v>
      </c>
    </row>
    <row r="648" spans="1:28" x14ac:dyDescent="0.35">
      <c r="A648" t="s">
        <v>1116</v>
      </c>
      <c r="B648" t="s">
        <v>59</v>
      </c>
      <c r="C648" t="s">
        <v>26</v>
      </c>
      <c r="D648">
        <v>40</v>
      </c>
      <c r="E648" t="s">
        <v>56</v>
      </c>
      <c r="F648" t="s">
        <v>16</v>
      </c>
      <c r="G648" t="s">
        <v>1117</v>
      </c>
      <c r="H648">
        <v>66943.960000000006</v>
      </c>
      <c r="I648" t="s">
        <v>242</v>
      </c>
      <c r="J648">
        <v>-5797067348</v>
      </c>
      <c r="K648" t="s">
        <v>41</v>
      </c>
      <c r="L648" t="b">
        <v>1</v>
      </c>
      <c r="P648" t="str">
        <f>TRIM(Before_Tbl[[#This Row],[Employee_ID]])</f>
        <v>EMP1646</v>
      </c>
      <c r="Q648" t="str">
        <f>TRIM(PROPER(Before_Tbl[[#This Row],[First_Name]]))</f>
        <v>David</v>
      </c>
      <c r="R648" t="str">
        <f>TRIM(PROPER(Before_Tbl[[#This Row],[Last_Name]]))</f>
        <v>Jones</v>
      </c>
      <c r="S648" s="25">
        <f t="shared" si="10"/>
        <v>40</v>
      </c>
      <c r="T648" t="str">
        <f>LEFT(Before_Tbl[[#This Row],[Department_Region]],FIND("-",Before_Tbl[[#This Row],[Department_Region]])-1)</f>
        <v>DevOps</v>
      </c>
      <c r="U648" t="str">
        <f>RIGHT(Before_Tbl[[#This Row],[Department_Region]],LEN(Before_Tbl[[#This Row],[Department_Region]])-FIND("-",Before_Tbl[[#This Row],[Department_Region]]))</f>
        <v>New York</v>
      </c>
      <c r="V648" t="str">
        <f>TRIM(PROPER(Before_Tbl[[#This Row],[Status]]))</f>
        <v>Active</v>
      </c>
      <c r="W648" s="26">
        <v>45337</v>
      </c>
      <c r="X648" s="4">
        <v>66943.960000000006</v>
      </c>
      <c r="Y648" t="str">
        <f>TRIM(LOWER(Before_Tbl[[#This Row],[Email]]))</f>
        <v>david.jones@example.com</v>
      </c>
      <c r="Z648" s="2" t="str">
        <f>SUBSTITUTE(Before_Tbl[[#This Row],[Phone]],"-","")</f>
        <v>5797067348</v>
      </c>
      <c r="AA648" t="str">
        <f>TRIM(PROPER(Before_Tbl[[#This Row],[Performance_Score]]))</f>
        <v>Poor</v>
      </c>
      <c r="AB648" s="2" t="str">
        <f>TRIM(UPPER(Before_Tbl[[#This Row],[Remote_Work]]))</f>
        <v>TRUE</v>
      </c>
    </row>
    <row r="649" spans="1:28" x14ac:dyDescent="0.35">
      <c r="A649" t="s">
        <v>1118</v>
      </c>
      <c r="B649" t="s">
        <v>59</v>
      </c>
      <c r="C649" t="s">
        <v>122</v>
      </c>
      <c r="D649">
        <v>30</v>
      </c>
      <c r="E649" t="s">
        <v>89</v>
      </c>
      <c r="F649" t="s">
        <v>33</v>
      </c>
      <c r="G649" t="s">
        <v>1119</v>
      </c>
      <c r="H649">
        <v>104525.69</v>
      </c>
      <c r="I649" t="s">
        <v>341</v>
      </c>
      <c r="J649">
        <v>-9601054856</v>
      </c>
      <c r="K649" t="s">
        <v>23</v>
      </c>
      <c r="L649" t="b">
        <v>0</v>
      </c>
      <c r="P649" t="str">
        <f>TRIM(Before_Tbl[[#This Row],[Employee_ID]])</f>
        <v>EMP1647</v>
      </c>
      <c r="Q649" t="str">
        <f>TRIM(PROPER(Before_Tbl[[#This Row],[First_Name]]))</f>
        <v>David</v>
      </c>
      <c r="R649" t="str">
        <f>TRIM(PROPER(Before_Tbl[[#This Row],[Last_Name]]))</f>
        <v>Smith</v>
      </c>
      <c r="S649" s="25">
        <f t="shared" si="10"/>
        <v>30</v>
      </c>
      <c r="T649" t="str">
        <f>LEFT(Before_Tbl[[#This Row],[Department_Region]],FIND("-",Before_Tbl[[#This Row],[Department_Region]])-1)</f>
        <v>Admin</v>
      </c>
      <c r="U649" t="str">
        <f>RIGHT(Before_Tbl[[#This Row],[Department_Region]],LEN(Before_Tbl[[#This Row],[Department_Region]])-FIND("-",Before_Tbl[[#This Row],[Department_Region]]))</f>
        <v>Illinois</v>
      </c>
      <c r="V649" t="str">
        <f>TRIM(PROPER(Before_Tbl[[#This Row],[Status]]))</f>
        <v>Inactive</v>
      </c>
      <c r="W649" s="26">
        <v>44150</v>
      </c>
      <c r="X649" s="4">
        <v>104525.69</v>
      </c>
      <c r="Y649" t="str">
        <f>TRIM(LOWER(Before_Tbl[[#This Row],[Email]]))</f>
        <v>david.smith@example.com</v>
      </c>
      <c r="Z649" s="2" t="str">
        <f>SUBSTITUTE(Before_Tbl[[#This Row],[Phone]],"-","")</f>
        <v>9601054856</v>
      </c>
      <c r="AA649" t="str">
        <f>TRIM(PROPER(Before_Tbl[[#This Row],[Performance_Score]]))</f>
        <v>Excellent</v>
      </c>
      <c r="AB649" s="2" t="str">
        <f>TRIM(UPPER(Before_Tbl[[#This Row],[Remote_Work]]))</f>
        <v>FALSE</v>
      </c>
    </row>
    <row r="650" spans="1:28" x14ac:dyDescent="0.35">
      <c r="A650" t="s">
        <v>1120</v>
      </c>
      <c r="B650" t="s">
        <v>13</v>
      </c>
      <c r="C650" t="s">
        <v>43</v>
      </c>
      <c r="D650">
        <v>40</v>
      </c>
      <c r="E650" t="s">
        <v>44</v>
      </c>
      <c r="F650" t="s">
        <v>28</v>
      </c>
      <c r="G650" t="s">
        <v>1121</v>
      </c>
      <c r="H650">
        <v>109360.74</v>
      </c>
      <c r="I650" t="s">
        <v>153</v>
      </c>
      <c r="J650">
        <v>-4172156228</v>
      </c>
      <c r="K650" t="s">
        <v>18</v>
      </c>
      <c r="L650" t="b">
        <v>1</v>
      </c>
      <c r="P650" t="str">
        <f>TRIM(Before_Tbl[[#This Row],[Employee_ID]])</f>
        <v>EMP1648</v>
      </c>
      <c r="Q650" t="str">
        <f>TRIM(PROPER(Before_Tbl[[#This Row],[First_Name]]))</f>
        <v>Bob</v>
      </c>
      <c r="R650" t="str">
        <f>TRIM(PROPER(Before_Tbl[[#This Row],[Last_Name]]))</f>
        <v>Garcia</v>
      </c>
      <c r="S650" s="25">
        <f t="shared" si="10"/>
        <v>40</v>
      </c>
      <c r="T650" t="str">
        <f>LEFT(Before_Tbl[[#This Row],[Department_Region]],FIND("-",Before_Tbl[[#This Row],[Department_Region]])-1)</f>
        <v>Sales</v>
      </c>
      <c r="U650" t="str">
        <f>RIGHT(Before_Tbl[[#This Row],[Department_Region]],LEN(Before_Tbl[[#This Row],[Department_Region]])-FIND("-",Before_Tbl[[#This Row],[Department_Region]]))</f>
        <v>Texas</v>
      </c>
      <c r="V650" t="str">
        <f>TRIM(PROPER(Before_Tbl[[#This Row],[Status]]))</f>
        <v>Pending</v>
      </c>
      <c r="W650" s="26">
        <v>43917</v>
      </c>
      <c r="X650" s="4">
        <v>109360.74</v>
      </c>
      <c r="Y650" t="str">
        <f>TRIM(LOWER(Before_Tbl[[#This Row],[Email]]))</f>
        <v>bob.garcia@example.com</v>
      </c>
      <c r="Z650" s="2" t="str">
        <f>SUBSTITUTE(Before_Tbl[[#This Row],[Phone]],"-","")</f>
        <v>4172156228</v>
      </c>
      <c r="AA650" t="str">
        <f>TRIM(PROPER(Before_Tbl[[#This Row],[Performance_Score]]))</f>
        <v>Average</v>
      </c>
      <c r="AB650" s="2" t="str">
        <f>TRIM(UPPER(Before_Tbl[[#This Row],[Remote_Work]]))</f>
        <v>TRUE</v>
      </c>
    </row>
    <row r="651" spans="1:28" x14ac:dyDescent="0.35">
      <c r="A651" t="s">
        <v>1122</v>
      </c>
      <c r="B651" t="s">
        <v>37</v>
      </c>
      <c r="C651" t="s">
        <v>26</v>
      </c>
      <c r="D651">
        <v>40</v>
      </c>
      <c r="E651" t="s">
        <v>177</v>
      </c>
      <c r="F651" t="s">
        <v>33</v>
      </c>
      <c r="G651" s="1">
        <v>44440</v>
      </c>
      <c r="H651">
        <v>118907.63</v>
      </c>
      <c r="I651" t="s">
        <v>47</v>
      </c>
      <c r="J651">
        <v>-4938173597</v>
      </c>
      <c r="K651" t="s">
        <v>41</v>
      </c>
      <c r="L651" t="b">
        <v>0</v>
      </c>
      <c r="P651" t="str">
        <f>TRIM(Before_Tbl[[#This Row],[Employee_ID]])</f>
        <v>EMP1649</v>
      </c>
      <c r="Q651" t="str">
        <f>TRIM(PROPER(Before_Tbl[[#This Row],[First_Name]]))</f>
        <v>Frank</v>
      </c>
      <c r="R651" t="str">
        <f>TRIM(PROPER(Before_Tbl[[#This Row],[Last_Name]]))</f>
        <v>Jones</v>
      </c>
      <c r="S651" s="25">
        <f t="shared" si="10"/>
        <v>40</v>
      </c>
      <c r="T651" t="str">
        <f>LEFT(Before_Tbl[[#This Row],[Department_Region]],FIND("-",Before_Tbl[[#This Row],[Department_Region]])-1)</f>
        <v>Sales</v>
      </c>
      <c r="U651" t="str">
        <f>RIGHT(Before_Tbl[[#This Row],[Department_Region]],LEN(Before_Tbl[[#This Row],[Department_Region]])-FIND("-",Before_Tbl[[#This Row],[Department_Region]]))</f>
        <v>California</v>
      </c>
      <c r="V651" t="str">
        <f>TRIM(PROPER(Before_Tbl[[#This Row],[Status]]))</f>
        <v>Inactive</v>
      </c>
      <c r="W651" s="26">
        <v>44440</v>
      </c>
      <c r="X651" s="4">
        <v>118907.63</v>
      </c>
      <c r="Y651" t="str">
        <f>TRIM(LOWER(Before_Tbl[[#This Row],[Email]]))</f>
        <v>frank.jones@example.com</v>
      </c>
      <c r="Z651" s="2" t="str">
        <f>SUBSTITUTE(Before_Tbl[[#This Row],[Phone]],"-","")</f>
        <v>4938173597</v>
      </c>
      <c r="AA651" t="str">
        <f>TRIM(PROPER(Before_Tbl[[#This Row],[Performance_Score]]))</f>
        <v>Poor</v>
      </c>
      <c r="AB651" s="2" t="str">
        <f>TRIM(UPPER(Before_Tbl[[#This Row],[Remote_Work]]))</f>
        <v>FALSE</v>
      </c>
    </row>
    <row r="652" spans="1:28" x14ac:dyDescent="0.35">
      <c r="A652" t="s">
        <v>1123</v>
      </c>
      <c r="B652" t="s">
        <v>32</v>
      </c>
      <c r="C652" t="s">
        <v>14</v>
      </c>
      <c r="D652">
        <v>40</v>
      </c>
      <c r="E652" t="s">
        <v>89</v>
      </c>
      <c r="F652" t="s">
        <v>16</v>
      </c>
      <c r="G652" t="s">
        <v>1124</v>
      </c>
      <c r="H652">
        <v>86801.48</v>
      </c>
      <c r="I652" t="s">
        <v>35</v>
      </c>
      <c r="J652">
        <v>-4884021556</v>
      </c>
      <c r="K652" t="s">
        <v>30</v>
      </c>
      <c r="L652" t="b">
        <v>0</v>
      </c>
      <c r="P652" t="str">
        <f>TRIM(Before_Tbl[[#This Row],[Employee_ID]])</f>
        <v>EMP1650</v>
      </c>
      <c r="Q652" t="str">
        <f>TRIM(PROPER(Before_Tbl[[#This Row],[First_Name]]))</f>
        <v>Eva</v>
      </c>
      <c r="R652" t="str">
        <f>TRIM(PROPER(Before_Tbl[[#This Row],[Last_Name]]))</f>
        <v>Davis</v>
      </c>
      <c r="S652" s="25">
        <f t="shared" si="10"/>
        <v>40</v>
      </c>
      <c r="T652" t="str">
        <f>LEFT(Before_Tbl[[#This Row],[Department_Region]],FIND("-",Before_Tbl[[#This Row],[Department_Region]])-1)</f>
        <v>Admin</v>
      </c>
      <c r="U652" t="str">
        <f>RIGHT(Before_Tbl[[#This Row],[Department_Region]],LEN(Before_Tbl[[#This Row],[Department_Region]])-FIND("-",Before_Tbl[[#This Row],[Department_Region]]))</f>
        <v>Illinois</v>
      </c>
      <c r="V652" t="str">
        <f>TRIM(PROPER(Before_Tbl[[#This Row],[Status]]))</f>
        <v>Active</v>
      </c>
      <c r="W652" s="26">
        <v>43941</v>
      </c>
      <c r="X652" s="4">
        <v>86801.48</v>
      </c>
      <c r="Y652" t="str">
        <f>TRIM(LOWER(Before_Tbl[[#This Row],[Email]]))</f>
        <v>eva.davis@example.com</v>
      </c>
      <c r="Z652" s="2" t="str">
        <f>SUBSTITUTE(Before_Tbl[[#This Row],[Phone]],"-","")</f>
        <v>4884021556</v>
      </c>
      <c r="AA652" t="str">
        <f>TRIM(PROPER(Before_Tbl[[#This Row],[Performance_Score]]))</f>
        <v>Good</v>
      </c>
      <c r="AB652" s="2" t="str">
        <f>TRIM(UPPER(Before_Tbl[[#This Row],[Remote_Work]]))</f>
        <v>FALSE</v>
      </c>
    </row>
    <row r="653" spans="1:28" x14ac:dyDescent="0.35">
      <c r="A653" t="s">
        <v>1125</v>
      </c>
      <c r="B653" t="s">
        <v>25</v>
      </c>
      <c r="C653" t="s">
        <v>43</v>
      </c>
      <c r="E653" t="s">
        <v>212</v>
      </c>
      <c r="F653" t="s">
        <v>28</v>
      </c>
      <c r="G653" s="1">
        <v>45509</v>
      </c>
      <c r="H653">
        <v>62236.03</v>
      </c>
      <c r="I653" t="s">
        <v>45</v>
      </c>
      <c r="J653">
        <v>-3257375533</v>
      </c>
      <c r="K653" t="s">
        <v>23</v>
      </c>
      <c r="L653" t="b">
        <v>1</v>
      </c>
      <c r="P653" t="str">
        <f>TRIM(Before_Tbl[[#This Row],[Employee_ID]])</f>
        <v>EMP1651</v>
      </c>
      <c r="Q653" t="str">
        <f>TRIM(PROPER(Before_Tbl[[#This Row],[First_Name]]))</f>
        <v>Alice</v>
      </c>
      <c r="R653" t="str">
        <f>TRIM(PROPER(Before_Tbl[[#This Row],[Last_Name]]))</f>
        <v>Garcia</v>
      </c>
      <c r="S653" s="25">
        <f t="shared" si="10"/>
        <v>30</v>
      </c>
      <c r="T653" t="str">
        <f>LEFT(Before_Tbl[[#This Row],[Department_Region]],FIND("-",Before_Tbl[[#This Row],[Department_Region]])-1)</f>
        <v>HR</v>
      </c>
      <c r="U653" t="str">
        <f>RIGHT(Before_Tbl[[#This Row],[Department_Region]],LEN(Before_Tbl[[#This Row],[Department_Region]])-FIND("-",Before_Tbl[[#This Row],[Department_Region]]))</f>
        <v>Florida</v>
      </c>
      <c r="V653" t="str">
        <f>TRIM(PROPER(Before_Tbl[[#This Row],[Status]]))</f>
        <v>Pending</v>
      </c>
      <c r="W653" s="26">
        <v>45509</v>
      </c>
      <c r="X653" s="4">
        <v>62236.03</v>
      </c>
      <c r="Y653" t="str">
        <f>TRIM(LOWER(Before_Tbl[[#This Row],[Email]]))</f>
        <v>alice.garcia@example.com</v>
      </c>
      <c r="Z653" s="2" t="str">
        <f>SUBSTITUTE(Before_Tbl[[#This Row],[Phone]],"-","")</f>
        <v>3257375533</v>
      </c>
      <c r="AA653" t="str">
        <f>TRIM(PROPER(Before_Tbl[[#This Row],[Performance_Score]]))</f>
        <v>Excellent</v>
      </c>
      <c r="AB653" s="2" t="str">
        <f>TRIM(UPPER(Before_Tbl[[#This Row],[Remote_Work]]))</f>
        <v>TRUE</v>
      </c>
    </row>
    <row r="654" spans="1:28" x14ac:dyDescent="0.35">
      <c r="A654" t="s">
        <v>1126</v>
      </c>
      <c r="B654" t="s">
        <v>65</v>
      </c>
      <c r="C654" t="s">
        <v>14</v>
      </c>
      <c r="D654">
        <v>35</v>
      </c>
      <c r="E654" t="s">
        <v>237</v>
      </c>
      <c r="F654" t="s">
        <v>16</v>
      </c>
      <c r="G654" s="1">
        <v>45270</v>
      </c>
      <c r="H654">
        <v>64752.67</v>
      </c>
      <c r="I654" t="s">
        <v>395</v>
      </c>
      <c r="J654">
        <v>-4902166669</v>
      </c>
      <c r="K654" t="s">
        <v>41</v>
      </c>
      <c r="L654" t="b">
        <v>0</v>
      </c>
      <c r="P654" t="str">
        <f>TRIM(Before_Tbl[[#This Row],[Employee_ID]])</f>
        <v>EMP1652</v>
      </c>
      <c r="Q654" t="str">
        <f>TRIM(PROPER(Before_Tbl[[#This Row],[First_Name]]))</f>
        <v>Heidi</v>
      </c>
      <c r="R654" t="str">
        <f>TRIM(PROPER(Before_Tbl[[#This Row],[Last_Name]]))</f>
        <v>Davis</v>
      </c>
      <c r="S654" s="25">
        <f t="shared" si="10"/>
        <v>35</v>
      </c>
      <c r="T654" t="str">
        <f>LEFT(Before_Tbl[[#This Row],[Department_Region]],FIND("-",Before_Tbl[[#This Row],[Department_Region]])-1)</f>
        <v>DevOps</v>
      </c>
      <c r="U654" t="str">
        <f>RIGHT(Before_Tbl[[#This Row],[Department_Region]],LEN(Before_Tbl[[#This Row],[Department_Region]])-FIND("-",Before_Tbl[[#This Row],[Department_Region]]))</f>
        <v>Texas</v>
      </c>
      <c r="V654" t="str">
        <f>TRIM(PROPER(Before_Tbl[[#This Row],[Status]]))</f>
        <v>Active</v>
      </c>
      <c r="W654" s="26">
        <v>45270</v>
      </c>
      <c r="X654" s="4">
        <v>64752.67</v>
      </c>
      <c r="Y654" t="str">
        <f>TRIM(LOWER(Before_Tbl[[#This Row],[Email]]))</f>
        <v>heidi.davis@example.com</v>
      </c>
      <c r="Z654" s="2" t="str">
        <f>SUBSTITUTE(Before_Tbl[[#This Row],[Phone]],"-","")</f>
        <v>4902166669</v>
      </c>
      <c r="AA654" t="str">
        <f>TRIM(PROPER(Before_Tbl[[#This Row],[Performance_Score]]))</f>
        <v>Poor</v>
      </c>
      <c r="AB654" s="2" t="str">
        <f>TRIM(UPPER(Before_Tbl[[#This Row],[Remote_Work]]))</f>
        <v>FALSE</v>
      </c>
    </row>
    <row r="655" spans="1:28" x14ac:dyDescent="0.35">
      <c r="A655" t="s">
        <v>1127</v>
      </c>
      <c r="B655" t="s">
        <v>37</v>
      </c>
      <c r="C655" t="s">
        <v>26</v>
      </c>
      <c r="D655">
        <v>35</v>
      </c>
      <c r="E655" t="s">
        <v>177</v>
      </c>
      <c r="F655" t="s">
        <v>16</v>
      </c>
      <c r="G655" t="s">
        <v>1128</v>
      </c>
      <c r="H655">
        <v>68399.429999999993</v>
      </c>
      <c r="I655" t="s">
        <v>47</v>
      </c>
      <c r="J655">
        <v>-8085096084</v>
      </c>
      <c r="K655" t="s">
        <v>23</v>
      </c>
      <c r="L655" t="b">
        <v>0</v>
      </c>
      <c r="P655" t="str">
        <f>TRIM(Before_Tbl[[#This Row],[Employee_ID]])</f>
        <v>EMP1653</v>
      </c>
      <c r="Q655" t="str">
        <f>TRIM(PROPER(Before_Tbl[[#This Row],[First_Name]]))</f>
        <v>Frank</v>
      </c>
      <c r="R655" t="str">
        <f>TRIM(PROPER(Before_Tbl[[#This Row],[Last_Name]]))</f>
        <v>Jones</v>
      </c>
      <c r="S655" s="25">
        <f t="shared" si="10"/>
        <v>35</v>
      </c>
      <c r="T655" t="str">
        <f>LEFT(Before_Tbl[[#This Row],[Department_Region]],FIND("-",Before_Tbl[[#This Row],[Department_Region]])-1)</f>
        <v>Sales</v>
      </c>
      <c r="U655" t="str">
        <f>RIGHT(Before_Tbl[[#This Row],[Department_Region]],LEN(Before_Tbl[[#This Row],[Department_Region]])-FIND("-",Before_Tbl[[#This Row],[Department_Region]]))</f>
        <v>California</v>
      </c>
      <c r="V655" t="str">
        <f>TRIM(PROPER(Before_Tbl[[#This Row],[Status]]))</f>
        <v>Active</v>
      </c>
      <c r="W655" s="26">
        <v>44954</v>
      </c>
      <c r="X655" s="4">
        <v>68399.429999999993</v>
      </c>
      <c r="Y655" t="str">
        <f>TRIM(LOWER(Before_Tbl[[#This Row],[Email]]))</f>
        <v>frank.jones@example.com</v>
      </c>
      <c r="Z655" s="2" t="str">
        <f>SUBSTITUTE(Before_Tbl[[#This Row],[Phone]],"-","")</f>
        <v>8085096084</v>
      </c>
      <c r="AA655" t="str">
        <f>TRIM(PROPER(Before_Tbl[[#This Row],[Performance_Score]]))</f>
        <v>Excellent</v>
      </c>
      <c r="AB655" s="2" t="str">
        <f>TRIM(UPPER(Before_Tbl[[#This Row],[Remote_Work]]))</f>
        <v>FALSE</v>
      </c>
    </row>
    <row r="656" spans="1:28" x14ac:dyDescent="0.35">
      <c r="A656" t="s">
        <v>1129</v>
      </c>
      <c r="B656" t="s">
        <v>37</v>
      </c>
      <c r="C656" t="s">
        <v>92</v>
      </c>
      <c r="D656">
        <v>35</v>
      </c>
      <c r="E656" t="s">
        <v>205</v>
      </c>
      <c r="F656" t="s">
        <v>33</v>
      </c>
      <c r="G656" s="1">
        <v>44380</v>
      </c>
      <c r="H656">
        <v>79336.509999999995</v>
      </c>
      <c r="I656" t="s">
        <v>110</v>
      </c>
      <c r="J656">
        <v>-8749511917</v>
      </c>
      <c r="K656" t="s">
        <v>23</v>
      </c>
      <c r="L656" t="b">
        <v>0</v>
      </c>
      <c r="P656" t="str">
        <f>TRIM(Before_Tbl[[#This Row],[Employee_ID]])</f>
        <v>EMP1654</v>
      </c>
      <c r="Q656" t="str">
        <f>TRIM(PROPER(Before_Tbl[[#This Row],[First_Name]]))</f>
        <v>Frank</v>
      </c>
      <c r="R656" t="str">
        <f>TRIM(PROPER(Before_Tbl[[#This Row],[Last_Name]]))</f>
        <v>Miller</v>
      </c>
      <c r="S656" s="25">
        <f t="shared" si="10"/>
        <v>35</v>
      </c>
      <c r="T656" t="str">
        <f>LEFT(Before_Tbl[[#This Row],[Department_Region]],FIND("-",Before_Tbl[[#This Row],[Department_Region]])-1)</f>
        <v>Admin</v>
      </c>
      <c r="U656" t="str">
        <f>RIGHT(Before_Tbl[[#This Row],[Department_Region]],LEN(Before_Tbl[[#This Row],[Department_Region]])-FIND("-",Before_Tbl[[#This Row],[Department_Region]]))</f>
        <v>Florida</v>
      </c>
      <c r="V656" t="str">
        <f>TRIM(PROPER(Before_Tbl[[#This Row],[Status]]))</f>
        <v>Inactive</v>
      </c>
      <c r="W656" s="26">
        <v>44380</v>
      </c>
      <c r="X656" s="4">
        <v>79336.509999999995</v>
      </c>
      <c r="Y656" t="str">
        <f>TRIM(LOWER(Before_Tbl[[#This Row],[Email]]))</f>
        <v>frank.miller@example.com</v>
      </c>
      <c r="Z656" s="2" t="str">
        <f>SUBSTITUTE(Before_Tbl[[#This Row],[Phone]],"-","")</f>
        <v>8749511917</v>
      </c>
      <c r="AA656" t="str">
        <f>TRIM(PROPER(Before_Tbl[[#This Row],[Performance_Score]]))</f>
        <v>Excellent</v>
      </c>
      <c r="AB656" s="2" t="str">
        <f>TRIM(UPPER(Before_Tbl[[#This Row],[Remote_Work]]))</f>
        <v>FALSE</v>
      </c>
    </row>
    <row r="657" spans="1:28" x14ac:dyDescent="0.35">
      <c r="A657" t="s">
        <v>1130</v>
      </c>
      <c r="B657" t="s">
        <v>37</v>
      </c>
      <c r="C657" t="s">
        <v>26</v>
      </c>
      <c r="D657">
        <v>40</v>
      </c>
      <c r="E657" t="s">
        <v>212</v>
      </c>
      <c r="F657" t="s">
        <v>16</v>
      </c>
      <c r="G657" t="s">
        <v>1131</v>
      </c>
      <c r="H657">
        <v>59179.74</v>
      </c>
      <c r="I657" t="s">
        <v>47</v>
      </c>
      <c r="J657">
        <v>-1828197930</v>
      </c>
      <c r="K657" t="s">
        <v>23</v>
      </c>
      <c r="L657" t="b">
        <v>0</v>
      </c>
      <c r="P657" t="str">
        <f>TRIM(Before_Tbl[[#This Row],[Employee_ID]])</f>
        <v>EMP1655</v>
      </c>
      <c r="Q657" t="str">
        <f>TRIM(PROPER(Before_Tbl[[#This Row],[First_Name]]))</f>
        <v>Frank</v>
      </c>
      <c r="R657" t="str">
        <f>TRIM(PROPER(Before_Tbl[[#This Row],[Last_Name]]))</f>
        <v>Jones</v>
      </c>
      <c r="S657" s="25">
        <f t="shared" si="10"/>
        <v>40</v>
      </c>
      <c r="T657" t="str">
        <f>LEFT(Before_Tbl[[#This Row],[Department_Region]],FIND("-",Before_Tbl[[#This Row],[Department_Region]])-1)</f>
        <v>HR</v>
      </c>
      <c r="U657" t="str">
        <f>RIGHT(Before_Tbl[[#This Row],[Department_Region]],LEN(Before_Tbl[[#This Row],[Department_Region]])-FIND("-",Before_Tbl[[#This Row],[Department_Region]]))</f>
        <v>Florida</v>
      </c>
      <c r="V657" t="str">
        <f>TRIM(PROPER(Before_Tbl[[#This Row],[Status]]))</f>
        <v>Active</v>
      </c>
      <c r="W657" s="26">
        <v>45001</v>
      </c>
      <c r="X657" s="4">
        <v>59179.74</v>
      </c>
      <c r="Y657" t="str">
        <f>TRIM(LOWER(Before_Tbl[[#This Row],[Email]]))</f>
        <v>frank.jones@example.com</v>
      </c>
      <c r="Z657" s="2" t="str">
        <f>SUBSTITUTE(Before_Tbl[[#This Row],[Phone]],"-","")</f>
        <v>1828197930</v>
      </c>
      <c r="AA657" t="str">
        <f>TRIM(PROPER(Before_Tbl[[#This Row],[Performance_Score]]))</f>
        <v>Excellent</v>
      </c>
      <c r="AB657" s="2" t="str">
        <f>TRIM(UPPER(Before_Tbl[[#This Row],[Remote_Work]]))</f>
        <v>FALSE</v>
      </c>
    </row>
    <row r="658" spans="1:28" x14ac:dyDescent="0.35">
      <c r="A658" t="s">
        <v>1132</v>
      </c>
      <c r="B658" t="s">
        <v>59</v>
      </c>
      <c r="C658" t="s">
        <v>14</v>
      </c>
      <c r="D658">
        <v>25</v>
      </c>
      <c r="E658" t="s">
        <v>15</v>
      </c>
      <c r="F658" t="s">
        <v>16</v>
      </c>
      <c r="G658" s="1">
        <v>45232</v>
      </c>
      <c r="H658">
        <v>80255.31</v>
      </c>
      <c r="I658" t="s">
        <v>63</v>
      </c>
      <c r="J658">
        <v>-6477251294</v>
      </c>
      <c r="K658" t="s">
        <v>18</v>
      </c>
      <c r="L658" t="b">
        <v>0</v>
      </c>
      <c r="P658" t="str">
        <f>TRIM(Before_Tbl[[#This Row],[Employee_ID]])</f>
        <v>EMP1656</v>
      </c>
      <c r="Q658" t="str">
        <f>TRIM(PROPER(Before_Tbl[[#This Row],[First_Name]]))</f>
        <v>David</v>
      </c>
      <c r="R658" t="str">
        <f>TRIM(PROPER(Before_Tbl[[#This Row],[Last_Name]]))</f>
        <v>Davis</v>
      </c>
      <c r="S658" s="25">
        <f t="shared" si="10"/>
        <v>25</v>
      </c>
      <c r="T658" t="str">
        <f>LEFT(Before_Tbl[[#This Row],[Department_Region]],FIND("-",Before_Tbl[[#This Row],[Department_Region]])-1)</f>
        <v>DevOps</v>
      </c>
      <c r="U658" t="str">
        <f>RIGHT(Before_Tbl[[#This Row],[Department_Region]],LEN(Before_Tbl[[#This Row],[Department_Region]])-FIND("-",Before_Tbl[[#This Row],[Department_Region]]))</f>
        <v>California</v>
      </c>
      <c r="V658" t="str">
        <f>TRIM(PROPER(Before_Tbl[[#This Row],[Status]]))</f>
        <v>Active</v>
      </c>
      <c r="W658" s="26">
        <v>45232</v>
      </c>
      <c r="X658" s="4">
        <v>80255.31</v>
      </c>
      <c r="Y658" t="str">
        <f>TRIM(LOWER(Before_Tbl[[#This Row],[Email]]))</f>
        <v>david.davis@example.com</v>
      </c>
      <c r="Z658" s="2" t="str">
        <f>SUBSTITUTE(Before_Tbl[[#This Row],[Phone]],"-","")</f>
        <v>6477251294</v>
      </c>
      <c r="AA658" t="str">
        <f>TRIM(PROPER(Before_Tbl[[#This Row],[Performance_Score]]))</f>
        <v>Average</v>
      </c>
      <c r="AB658" s="2" t="str">
        <f>TRIM(UPPER(Before_Tbl[[#This Row],[Remote_Work]]))</f>
        <v>FALSE</v>
      </c>
    </row>
    <row r="659" spans="1:28" x14ac:dyDescent="0.35">
      <c r="A659" t="s">
        <v>1133</v>
      </c>
      <c r="B659" t="s">
        <v>54</v>
      </c>
      <c r="C659" t="s">
        <v>38</v>
      </c>
      <c r="D659">
        <v>30</v>
      </c>
      <c r="E659" t="s">
        <v>21</v>
      </c>
      <c r="F659" t="s">
        <v>16</v>
      </c>
      <c r="G659" t="s">
        <v>1134</v>
      </c>
      <c r="H659">
        <v>84971.85</v>
      </c>
      <c r="I659" t="s">
        <v>90</v>
      </c>
      <c r="J659">
        <v>-7860694095</v>
      </c>
      <c r="K659" t="s">
        <v>18</v>
      </c>
      <c r="L659" t="b">
        <v>0</v>
      </c>
      <c r="P659" t="str">
        <f>TRIM(Before_Tbl[[#This Row],[Employee_ID]])</f>
        <v>EMP1657</v>
      </c>
      <c r="Q659" t="str">
        <f>TRIM(PROPER(Before_Tbl[[#This Row],[First_Name]]))</f>
        <v>Charlie</v>
      </c>
      <c r="R659" t="str">
        <f>TRIM(PROPER(Before_Tbl[[#This Row],[Last_Name]]))</f>
        <v>Williams</v>
      </c>
      <c r="S659" s="25">
        <f t="shared" si="10"/>
        <v>30</v>
      </c>
      <c r="T659" t="str">
        <f>LEFT(Before_Tbl[[#This Row],[Department_Region]],FIND("-",Before_Tbl[[#This Row],[Department_Region]])-1)</f>
        <v>Finance</v>
      </c>
      <c r="U659" t="str">
        <f>RIGHT(Before_Tbl[[#This Row],[Department_Region]],LEN(Before_Tbl[[#This Row],[Department_Region]])-FIND("-",Before_Tbl[[#This Row],[Department_Region]]))</f>
        <v>Texas</v>
      </c>
      <c r="V659" t="str">
        <f>TRIM(PROPER(Before_Tbl[[#This Row],[Status]]))</f>
        <v>Active</v>
      </c>
      <c r="W659" s="26">
        <v>44694</v>
      </c>
      <c r="X659" s="4">
        <v>84971.85</v>
      </c>
      <c r="Y659" t="str">
        <f>TRIM(LOWER(Before_Tbl[[#This Row],[Email]]))</f>
        <v>charlie.williams@example.com</v>
      </c>
      <c r="Z659" s="2" t="str">
        <f>SUBSTITUTE(Before_Tbl[[#This Row],[Phone]],"-","")</f>
        <v>7860694095</v>
      </c>
      <c r="AA659" t="str">
        <f>TRIM(PROPER(Before_Tbl[[#This Row],[Performance_Score]]))</f>
        <v>Average</v>
      </c>
      <c r="AB659" s="2" t="str">
        <f>TRIM(UPPER(Before_Tbl[[#This Row],[Remote_Work]]))</f>
        <v>FALSE</v>
      </c>
    </row>
    <row r="660" spans="1:28" x14ac:dyDescent="0.35">
      <c r="A660" t="s">
        <v>1135</v>
      </c>
      <c r="B660" t="s">
        <v>37</v>
      </c>
      <c r="C660" t="s">
        <v>20</v>
      </c>
      <c r="D660">
        <v>40</v>
      </c>
      <c r="E660" t="s">
        <v>146</v>
      </c>
      <c r="F660" t="s">
        <v>28</v>
      </c>
      <c r="G660" t="s">
        <v>1136</v>
      </c>
      <c r="H660">
        <v>89748.42</v>
      </c>
      <c r="I660" t="s">
        <v>239</v>
      </c>
      <c r="J660">
        <v>-35624394</v>
      </c>
      <c r="K660" t="s">
        <v>30</v>
      </c>
      <c r="L660" t="b">
        <v>0</v>
      </c>
      <c r="P660" t="str">
        <f>TRIM(Before_Tbl[[#This Row],[Employee_ID]])</f>
        <v>EMP1658</v>
      </c>
      <c r="Q660" t="str">
        <f>TRIM(PROPER(Before_Tbl[[#This Row],[First_Name]]))</f>
        <v>Frank</v>
      </c>
      <c r="R660" t="str">
        <f>TRIM(PROPER(Before_Tbl[[#This Row],[Last_Name]]))</f>
        <v>Brown</v>
      </c>
      <c r="S660" s="25">
        <f t="shared" si="10"/>
        <v>40</v>
      </c>
      <c r="T660" t="str">
        <f>LEFT(Before_Tbl[[#This Row],[Department_Region]],FIND("-",Before_Tbl[[#This Row],[Department_Region]])-1)</f>
        <v>HR</v>
      </c>
      <c r="U660" t="str">
        <f>RIGHT(Before_Tbl[[#This Row],[Department_Region]],LEN(Before_Tbl[[#This Row],[Department_Region]])-FIND("-",Before_Tbl[[#This Row],[Department_Region]]))</f>
        <v>California</v>
      </c>
      <c r="V660" t="str">
        <f>TRIM(PROPER(Before_Tbl[[#This Row],[Status]]))</f>
        <v>Pending</v>
      </c>
      <c r="W660" s="26">
        <v>45589</v>
      </c>
      <c r="X660" s="4">
        <v>89748.42</v>
      </c>
      <c r="Y660" t="str">
        <f>TRIM(LOWER(Before_Tbl[[#This Row],[Email]]))</f>
        <v>frank.brown@example.com</v>
      </c>
      <c r="Z660" s="2" t="str">
        <f>SUBSTITUTE(Before_Tbl[[#This Row],[Phone]],"-","")</f>
        <v>35624394</v>
      </c>
      <c r="AA660" t="str">
        <f>TRIM(PROPER(Before_Tbl[[#This Row],[Performance_Score]]))</f>
        <v>Good</v>
      </c>
      <c r="AB660" s="2" t="str">
        <f>TRIM(UPPER(Before_Tbl[[#This Row],[Remote_Work]]))</f>
        <v>FALSE</v>
      </c>
    </row>
    <row r="661" spans="1:28" x14ac:dyDescent="0.35">
      <c r="A661" t="s">
        <v>1137</v>
      </c>
      <c r="B661" t="s">
        <v>54</v>
      </c>
      <c r="C661" t="s">
        <v>55</v>
      </c>
      <c r="D661">
        <v>25</v>
      </c>
      <c r="E661" t="s">
        <v>118</v>
      </c>
      <c r="F661" t="s">
        <v>33</v>
      </c>
      <c r="G661" t="s">
        <v>824</v>
      </c>
      <c r="H661">
        <v>94090.35</v>
      </c>
      <c r="I661" t="s">
        <v>57</v>
      </c>
      <c r="J661">
        <v>-8739592322</v>
      </c>
      <c r="K661" t="s">
        <v>30</v>
      </c>
      <c r="L661" t="b">
        <v>0</v>
      </c>
      <c r="P661" t="str">
        <f>TRIM(Before_Tbl[[#This Row],[Employee_ID]])</f>
        <v>EMP1659</v>
      </c>
      <c r="Q661" t="str">
        <f>TRIM(PROPER(Before_Tbl[[#This Row],[First_Name]]))</f>
        <v>Charlie</v>
      </c>
      <c r="R661" t="str">
        <f>TRIM(PROPER(Before_Tbl[[#This Row],[Last_Name]]))</f>
        <v>Johnson</v>
      </c>
      <c r="S661" s="25">
        <f t="shared" si="10"/>
        <v>25</v>
      </c>
      <c r="T661" t="str">
        <f>LEFT(Before_Tbl[[#This Row],[Department_Region]],FIND("-",Before_Tbl[[#This Row],[Department_Region]])-1)</f>
        <v>Admin</v>
      </c>
      <c r="U661" t="str">
        <f>RIGHT(Before_Tbl[[#This Row],[Department_Region]],LEN(Before_Tbl[[#This Row],[Department_Region]])-FIND("-",Before_Tbl[[#This Row],[Department_Region]]))</f>
        <v>California</v>
      </c>
      <c r="V661" t="str">
        <f>TRIM(PROPER(Before_Tbl[[#This Row],[Status]]))</f>
        <v>Inactive</v>
      </c>
      <c r="W661" s="26">
        <v>45549</v>
      </c>
      <c r="X661" s="4">
        <v>94090.35</v>
      </c>
      <c r="Y661" t="str">
        <f>TRIM(LOWER(Before_Tbl[[#This Row],[Email]]))</f>
        <v>charlie.johnson@example.com</v>
      </c>
      <c r="Z661" s="2" t="str">
        <f>SUBSTITUTE(Before_Tbl[[#This Row],[Phone]],"-","")</f>
        <v>8739592322</v>
      </c>
      <c r="AA661" t="str">
        <f>TRIM(PROPER(Before_Tbl[[#This Row],[Performance_Score]]))</f>
        <v>Good</v>
      </c>
      <c r="AB661" s="2" t="str">
        <f>TRIM(UPPER(Before_Tbl[[#This Row],[Remote_Work]]))</f>
        <v>FALSE</v>
      </c>
    </row>
    <row r="662" spans="1:28" x14ac:dyDescent="0.35">
      <c r="A662" t="s">
        <v>1138</v>
      </c>
      <c r="B662" t="s">
        <v>37</v>
      </c>
      <c r="C662" t="s">
        <v>43</v>
      </c>
      <c r="D662">
        <v>35</v>
      </c>
      <c r="E662" t="s">
        <v>146</v>
      </c>
      <c r="F662" t="s">
        <v>28</v>
      </c>
      <c r="G662" t="s">
        <v>969</v>
      </c>
      <c r="H662">
        <v>115229.12</v>
      </c>
      <c r="I662" t="s">
        <v>180</v>
      </c>
      <c r="J662">
        <v>-4210890284</v>
      </c>
      <c r="K662" t="s">
        <v>41</v>
      </c>
      <c r="L662" t="b">
        <v>1</v>
      </c>
      <c r="P662" t="str">
        <f>TRIM(Before_Tbl[[#This Row],[Employee_ID]])</f>
        <v>EMP1660</v>
      </c>
      <c r="Q662" t="str">
        <f>TRIM(PROPER(Before_Tbl[[#This Row],[First_Name]]))</f>
        <v>Frank</v>
      </c>
      <c r="R662" t="str">
        <f>TRIM(PROPER(Before_Tbl[[#This Row],[Last_Name]]))</f>
        <v>Garcia</v>
      </c>
      <c r="S662" s="25">
        <f t="shared" si="10"/>
        <v>35</v>
      </c>
      <c r="T662" t="str">
        <f>LEFT(Before_Tbl[[#This Row],[Department_Region]],FIND("-",Before_Tbl[[#This Row],[Department_Region]])-1)</f>
        <v>HR</v>
      </c>
      <c r="U662" t="str">
        <f>RIGHT(Before_Tbl[[#This Row],[Department_Region]],LEN(Before_Tbl[[#This Row],[Department_Region]])-FIND("-",Before_Tbl[[#This Row],[Department_Region]]))</f>
        <v>California</v>
      </c>
      <c r="V662" t="str">
        <f>TRIM(PROPER(Before_Tbl[[#This Row],[Status]]))</f>
        <v>Pending</v>
      </c>
      <c r="W662" s="26">
        <v>44972</v>
      </c>
      <c r="X662" s="4">
        <v>115229.12</v>
      </c>
      <c r="Y662" t="str">
        <f>TRIM(LOWER(Before_Tbl[[#This Row],[Email]]))</f>
        <v>frank.garcia@example.com</v>
      </c>
      <c r="Z662" s="2" t="str">
        <f>SUBSTITUTE(Before_Tbl[[#This Row],[Phone]],"-","")</f>
        <v>4210890284</v>
      </c>
      <c r="AA662" t="str">
        <f>TRIM(PROPER(Before_Tbl[[#This Row],[Performance_Score]]))</f>
        <v>Poor</v>
      </c>
      <c r="AB662" s="2" t="str">
        <f>TRIM(UPPER(Before_Tbl[[#This Row],[Remote_Work]]))</f>
        <v>TRUE</v>
      </c>
    </row>
    <row r="663" spans="1:28" x14ac:dyDescent="0.35">
      <c r="A663" t="s">
        <v>1139</v>
      </c>
      <c r="B663" t="s">
        <v>25</v>
      </c>
      <c r="C663" t="s">
        <v>38</v>
      </c>
      <c r="D663">
        <v>40</v>
      </c>
      <c r="E663" t="s">
        <v>268</v>
      </c>
      <c r="F663" t="s">
        <v>28</v>
      </c>
      <c r="G663" t="s">
        <v>1140</v>
      </c>
      <c r="H663">
        <v>63927.07</v>
      </c>
      <c r="I663" t="s">
        <v>363</v>
      </c>
      <c r="J663">
        <v>-1553334263</v>
      </c>
      <c r="K663" t="s">
        <v>30</v>
      </c>
      <c r="L663" t="b">
        <v>1</v>
      </c>
      <c r="P663" t="str">
        <f>TRIM(Before_Tbl[[#This Row],[Employee_ID]])</f>
        <v>EMP1661</v>
      </c>
      <c r="Q663" t="str">
        <f>TRIM(PROPER(Before_Tbl[[#This Row],[First_Name]]))</f>
        <v>Alice</v>
      </c>
      <c r="R663" t="str">
        <f>TRIM(PROPER(Before_Tbl[[#This Row],[Last_Name]]))</f>
        <v>Williams</v>
      </c>
      <c r="S663" s="25">
        <f t="shared" si="10"/>
        <v>40</v>
      </c>
      <c r="T663" t="str">
        <f>LEFT(Before_Tbl[[#This Row],[Department_Region]],FIND("-",Before_Tbl[[#This Row],[Department_Region]])-1)</f>
        <v>Cloud Tech</v>
      </c>
      <c r="U663" t="str">
        <f>RIGHT(Before_Tbl[[#This Row],[Department_Region]],LEN(Before_Tbl[[#This Row],[Department_Region]])-FIND("-",Before_Tbl[[#This Row],[Department_Region]]))</f>
        <v>California</v>
      </c>
      <c r="V663" t="str">
        <f>TRIM(PROPER(Before_Tbl[[#This Row],[Status]]))</f>
        <v>Pending</v>
      </c>
      <c r="W663" s="26">
        <v>45071</v>
      </c>
      <c r="X663" s="4">
        <v>63927.07</v>
      </c>
      <c r="Y663" t="str">
        <f>TRIM(LOWER(Before_Tbl[[#This Row],[Email]]))</f>
        <v>alice.williams@example.com</v>
      </c>
      <c r="Z663" s="2" t="str">
        <f>SUBSTITUTE(Before_Tbl[[#This Row],[Phone]],"-","")</f>
        <v>1553334263</v>
      </c>
      <c r="AA663" t="str">
        <f>TRIM(PROPER(Before_Tbl[[#This Row],[Performance_Score]]))</f>
        <v>Good</v>
      </c>
      <c r="AB663" s="2" t="str">
        <f>TRIM(UPPER(Before_Tbl[[#This Row],[Remote_Work]]))</f>
        <v>TRUE</v>
      </c>
    </row>
    <row r="664" spans="1:28" x14ac:dyDescent="0.35">
      <c r="A664" t="s">
        <v>1141</v>
      </c>
      <c r="B664" t="s">
        <v>54</v>
      </c>
      <c r="C664" t="s">
        <v>26</v>
      </c>
      <c r="D664">
        <v>35</v>
      </c>
      <c r="E664" t="s">
        <v>146</v>
      </c>
      <c r="F664" t="s">
        <v>28</v>
      </c>
      <c r="G664" s="1">
        <v>44876</v>
      </c>
      <c r="H664">
        <v>84124.56</v>
      </c>
      <c r="I664" t="s">
        <v>120</v>
      </c>
      <c r="J664">
        <v>-3350271606</v>
      </c>
      <c r="K664" t="s">
        <v>23</v>
      </c>
      <c r="L664" t="b">
        <v>0</v>
      </c>
      <c r="P664" t="str">
        <f>TRIM(Before_Tbl[[#This Row],[Employee_ID]])</f>
        <v>EMP1662</v>
      </c>
      <c r="Q664" t="str">
        <f>TRIM(PROPER(Before_Tbl[[#This Row],[First_Name]]))</f>
        <v>Charlie</v>
      </c>
      <c r="R664" t="str">
        <f>TRIM(PROPER(Before_Tbl[[#This Row],[Last_Name]]))</f>
        <v>Jones</v>
      </c>
      <c r="S664" s="25">
        <f t="shared" si="10"/>
        <v>35</v>
      </c>
      <c r="T664" t="str">
        <f>LEFT(Before_Tbl[[#This Row],[Department_Region]],FIND("-",Before_Tbl[[#This Row],[Department_Region]])-1)</f>
        <v>HR</v>
      </c>
      <c r="U664" t="str">
        <f>RIGHT(Before_Tbl[[#This Row],[Department_Region]],LEN(Before_Tbl[[#This Row],[Department_Region]])-FIND("-",Before_Tbl[[#This Row],[Department_Region]]))</f>
        <v>California</v>
      </c>
      <c r="V664" t="str">
        <f>TRIM(PROPER(Before_Tbl[[#This Row],[Status]]))</f>
        <v>Pending</v>
      </c>
      <c r="W664" s="26">
        <v>44876</v>
      </c>
      <c r="X664" s="4">
        <v>84124.56</v>
      </c>
      <c r="Y664" t="str">
        <f>TRIM(LOWER(Before_Tbl[[#This Row],[Email]]))</f>
        <v>charlie.jones@example.com</v>
      </c>
      <c r="Z664" s="2" t="str">
        <f>SUBSTITUTE(Before_Tbl[[#This Row],[Phone]],"-","")</f>
        <v>3350271606</v>
      </c>
      <c r="AA664" t="str">
        <f>TRIM(PROPER(Before_Tbl[[#This Row],[Performance_Score]]))</f>
        <v>Excellent</v>
      </c>
      <c r="AB664" s="2" t="str">
        <f>TRIM(UPPER(Before_Tbl[[#This Row],[Remote_Work]]))</f>
        <v>FALSE</v>
      </c>
    </row>
    <row r="665" spans="1:28" x14ac:dyDescent="0.35">
      <c r="A665" t="s">
        <v>1142</v>
      </c>
      <c r="B665" t="s">
        <v>13</v>
      </c>
      <c r="C665" t="s">
        <v>92</v>
      </c>
      <c r="D665">
        <v>40</v>
      </c>
      <c r="E665" t="s">
        <v>177</v>
      </c>
      <c r="F665" t="s">
        <v>33</v>
      </c>
      <c r="G665" t="s">
        <v>1143</v>
      </c>
      <c r="H665">
        <v>116961.61</v>
      </c>
      <c r="I665" t="s">
        <v>93</v>
      </c>
      <c r="J665">
        <v>-3607763368</v>
      </c>
      <c r="K665" t="s">
        <v>23</v>
      </c>
      <c r="L665" t="b">
        <v>1</v>
      </c>
      <c r="P665" t="str">
        <f>TRIM(Before_Tbl[[#This Row],[Employee_ID]])</f>
        <v>EMP1663</v>
      </c>
      <c r="Q665" t="str">
        <f>TRIM(PROPER(Before_Tbl[[#This Row],[First_Name]]))</f>
        <v>Bob</v>
      </c>
      <c r="R665" t="str">
        <f>TRIM(PROPER(Before_Tbl[[#This Row],[Last_Name]]))</f>
        <v>Miller</v>
      </c>
      <c r="S665" s="25">
        <f t="shared" si="10"/>
        <v>40</v>
      </c>
      <c r="T665" t="str">
        <f>LEFT(Before_Tbl[[#This Row],[Department_Region]],FIND("-",Before_Tbl[[#This Row],[Department_Region]])-1)</f>
        <v>Sales</v>
      </c>
      <c r="U665" t="str">
        <f>RIGHT(Before_Tbl[[#This Row],[Department_Region]],LEN(Before_Tbl[[#This Row],[Department_Region]])-FIND("-",Before_Tbl[[#This Row],[Department_Region]]))</f>
        <v>California</v>
      </c>
      <c r="V665" t="str">
        <f>TRIM(PROPER(Before_Tbl[[#This Row],[Status]]))</f>
        <v>Inactive</v>
      </c>
      <c r="W665" s="26">
        <v>45124</v>
      </c>
      <c r="X665" s="4">
        <v>116961.61</v>
      </c>
      <c r="Y665" t="str">
        <f>TRIM(LOWER(Before_Tbl[[#This Row],[Email]]))</f>
        <v>bob.miller@example.com</v>
      </c>
      <c r="Z665" s="2" t="str">
        <f>SUBSTITUTE(Before_Tbl[[#This Row],[Phone]],"-","")</f>
        <v>3607763368</v>
      </c>
      <c r="AA665" t="str">
        <f>TRIM(PROPER(Before_Tbl[[#This Row],[Performance_Score]]))</f>
        <v>Excellent</v>
      </c>
      <c r="AB665" s="2" t="str">
        <f>TRIM(UPPER(Before_Tbl[[#This Row],[Remote_Work]]))</f>
        <v>TRUE</v>
      </c>
    </row>
    <row r="666" spans="1:28" x14ac:dyDescent="0.35">
      <c r="A666" t="s">
        <v>1144</v>
      </c>
      <c r="B666" t="s">
        <v>37</v>
      </c>
      <c r="C666" t="s">
        <v>122</v>
      </c>
      <c r="D666">
        <v>40</v>
      </c>
      <c r="E666" t="s">
        <v>78</v>
      </c>
      <c r="F666" t="s">
        <v>28</v>
      </c>
      <c r="G666" s="1">
        <v>44777</v>
      </c>
      <c r="H666">
        <v>109423.05</v>
      </c>
      <c r="I666" t="s">
        <v>137</v>
      </c>
      <c r="J666">
        <v>-1128981230</v>
      </c>
      <c r="K666" t="s">
        <v>18</v>
      </c>
      <c r="L666" t="b">
        <v>0</v>
      </c>
      <c r="P666" t="str">
        <f>TRIM(Before_Tbl[[#This Row],[Employee_ID]])</f>
        <v>EMP1664</v>
      </c>
      <c r="Q666" t="str">
        <f>TRIM(PROPER(Before_Tbl[[#This Row],[First_Name]]))</f>
        <v>Frank</v>
      </c>
      <c r="R666" t="str">
        <f>TRIM(PROPER(Before_Tbl[[#This Row],[Last_Name]]))</f>
        <v>Smith</v>
      </c>
      <c r="S666" s="25">
        <f t="shared" si="10"/>
        <v>40</v>
      </c>
      <c r="T666" t="str">
        <f>LEFT(Before_Tbl[[#This Row],[Department_Region]],FIND("-",Before_Tbl[[#This Row],[Department_Region]])-1)</f>
        <v>DevOps</v>
      </c>
      <c r="U666" t="str">
        <f>RIGHT(Before_Tbl[[#This Row],[Department_Region]],LEN(Before_Tbl[[#This Row],[Department_Region]])-FIND("-",Before_Tbl[[#This Row],[Department_Region]]))</f>
        <v>Illinois</v>
      </c>
      <c r="V666" t="str">
        <f>TRIM(PROPER(Before_Tbl[[#This Row],[Status]]))</f>
        <v>Pending</v>
      </c>
      <c r="W666" s="26">
        <v>44777</v>
      </c>
      <c r="X666" s="4">
        <v>109423.05</v>
      </c>
      <c r="Y666" t="str">
        <f>TRIM(LOWER(Before_Tbl[[#This Row],[Email]]))</f>
        <v>frank.smith@example.com</v>
      </c>
      <c r="Z666" s="2" t="str">
        <f>SUBSTITUTE(Before_Tbl[[#This Row],[Phone]],"-","")</f>
        <v>1128981230</v>
      </c>
      <c r="AA666" t="str">
        <f>TRIM(PROPER(Before_Tbl[[#This Row],[Performance_Score]]))</f>
        <v>Average</v>
      </c>
      <c r="AB666" s="2" t="str">
        <f>TRIM(UPPER(Before_Tbl[[#This Row],[Remote_Work]]))</f>
        <v>FALSE</v>
      </c>
    </row>
    <row r="667" spans="1:28" x14ac:dyDescent="0.35">
      <c r="A667" t="s">
        <v>1145</v>
      </c>
      <c r="B667" t="s">
        <v>54</v>
      </c>
      <c r="C667" t="s">
        <v>26</v>
      </c>
      <c r="D667">
        <v>35</v>
      </c>
      <c r="E667" t="s">
        <v>118</v>
      </c>
      <c r="F667" t="s">
        <v>33</v>
      </c>
      <c r="G667" t="s">
        <v>573</v>
      </c>
      <c r="H667">
        <v>70394.94</v>
      </c>
      <c r="I667" t="s">
        <v>120</v>
      </c>
      <c r="J667">
        <v>-7955633184</v>
      </c>
      <c r="K667" t="s">
        <v>23</v>
      </c>
      <c r="L667" t="b">
        <v>0</v>
      </c>
      <c r="P667" t="str">
        <f>TRIM(Before_Tbl[[#This Row],[Employee_ID]])</f>
        <v>EMP1665</v>
      </c>
      <c r="Q667" t="str">
        <f>TRIM(PROPER(Before_Tbl[[#This Row],[First_Name]]))</f>
        <v>Charlie</v>
      </c>
      <c r="R667" t="str">
        <f>TRIM(PROPER(Before_Tbl[[#This Row],[Last_Name]]))</f>
        <v>Jones</v>
      </c>
      <c r="S667" s="25">
        <f t="shared" si="10"/>
        <v>35</v>
      </c>
      <c r="T667" t="str">
        <f>LEFT(Before_Tbl[[#This Row],[Department_Region]],FIND("-",Before_Tbl[[#This Row],[Department_Region]])-1)</f>
        <v>Admin</v>
      </c>
      <c r="U667" t="str">
        <f>RIGHT(Before_Tbl[[#This Row],[Department_Region]],LEN(Before_Tbl[[#This Row],[Department_Region]])-FIND("-",Before_Tbl[[#This Row],[Department_Region]]))</f>
        <v>California</v>
      </c>
      <c r="V667" t="str">
        <f>TRIM(PROPER(Before_Tbl[[#This Row],[Status]]))</f>
        <v>Inactive</v>
      </c>
      <c r="W667" s="26">
        <v>45168</v>
      </c>
      <c r="X667" s="4">
        <v>70394.94</v>
      </c>
      <c r="Y667" t="str">
        <f>TRIM(LOWER(Before_Tbl[[#This Row],[Email]]))</f>
        <v>charlie.jones@example.com</v>
      </c>
      <c r="Z667" s="2" t="str">
        <f>SUBSTITUTE(Before_Tbl[[#This Row],[Phone]],"-","")</f>
        <v>7955633184</v>
      </c>
      <c r="AA667" t="str">
        <f>TRIM(PROPER(Before_Tbl[[#This Row],[Performance_Score]]))</f>
        <v>Excellent</v>
      </c>
      <c r="AB667" s="2" t="str">
        <f>TRIM(UPPER(Before_Tbl[[#This Row],[Remote_Work]]))</f>
        <v>FALSE</v>
      </c>
    </row>
    <row r="668" spans="1:28" x14ac:dyDescent="0.35">
      <c r="A668" t="s">
        <v>1146</v>
      </c>
      <c r="B668" t="s">
        <v>69</v>
      </c>
      <c r="C668" t="s">
        <v>92</v>
      </c>
      <c r="D668">
        <v>35</v>
      </c>
      <c r="E668" t="s">
        <v>70</v>
      </c>
      <c r="F668" t="s">
        <v>28</v>
      </c>
      <c r="G668" t="s">
        <v>1147</v>
      </c>
      <c r="H668">
        <v>86465.5</v>
      </c>
      <c r="I668" t="s">
        <v>168</v>
      </c>
      <c r="J668">
        <v>-7481700665</v>
      </c>
      <c r="K668" t="s">
        <v>41</v>
      </c>
      <c r="L668" t="b">
        <v>1</v>
      </c>
      <c r="P668" t="str">
        <f>TRIM(Before_Tbl[[#This Row],[Employee_ID]])</f>
        <v>EMP1666</v>
      </c>
      <c r="Q668" t="str">
        <f>TRIM(PROPER(Before_Tbl[[#This Row],[First_Name]]))</f>
        <v>Grace</v>
      </c>
      <c r="R668" t="str">
        <f>TRIM(PROPER(Before_Tbl[[#This Row],[Last_Name]]))</f>
        <v>Miller</v>
      </c>
      <c r="S668" s="25">
        <f t="shared" si="10"/>
        <v>35</v>
      </c>
      <c r="T668" t="str">
        <f>LEFT(Before_Tbl[[#This Row],[Department_Region]],FIND("-",Before_Tbl[[#This Row],[Department_Region]])-1)</f>
        <v>Finance</v>
      </c>
      <c r="U668" t="str">
        <f>RIGHT(Before_Tbl[[#This Row],[Department_Region]],LEN(Before_Tbl[[#This Row],[Department_Region]])-FIND("-",Before_Tbl[[#This Row],[Department_Region]]))</f>
        <v>California</v>
      </c>
      <c r="V668" t="str">
        <f>TRIM(PROPER(Before_Tbl[[#This Row],[Status]]))</f>
        <v>Pending</v>
      </c>
      <c r="W668" s="26">
        <v>45033</v>
      </c>
      <c r="X668" s="4">
        <v>86465.5</v>
      </c>
      <c r="Y668" t="str">
        <f>TRIM(LOWER(Before_Tbl[[#This Row],[Email]]))</f>
        <v>grace.miller@example.com</v>
      </c>
      <c r="Z668" s="2" t="str">
        <f>SUBSTITUTE(Before_Tbl[[#This Row],[Phone]],"-","")</f>
        <v>7481700665</v>
      </c>
      <c r="AA668" t="str">
        <f>TRIM(PROPER(Before_Tbl[[#This Row],[Performance_Score]]))</f>
        <v>Poor</v>
      </c>
      <c r="AB668" s="2" t="str">
        <f>TRIM(UPPER(Before_Tbl[[#This Row],[Remote_Work]]))</f>
        <v>TRUE</v>
      </c>
    </row>
    <row r="669" spans="1:28" x14ac:dyDescent="0.35">
      <c r="A669" t="s">
        <v>1148</v>
      </c>
      <c r="B669" t="s">
        <v>54</v>
      </c>
      <c r="C669" t="s">
        <v>20</v>
      </c>
      <c r="D669">
        <v>30</v>
      </c>
      <c r="E669" t="s">
        <v>60</v>
      </c>
      <c r="F669" t="s">
        <v>28</v>
      </c>
      <c r="G669" t="s">
        <v>1149</v>
      </c>
      <c r="H669">
        <v>96341.58</v>
      </c>
      <c r="I669" t="s">
        <v>125</v>
      </c>
      <c r="J669">
        <v>-1554164315</v>
      </c>
      <c r="K669" t="s">
        <v>23</v>
      </c>
      <c r="L669" t="b">
        <v>0</v>
      </c>
      <c r="P669" t="str">
        <f>TRIM(Before_Tbl[[#This Row],[Employee_ID]])</f>
        <v>EMP1667</v>
      </c>
      <c r="Q669" t="str">
        <f>TRIM(PROPER(Before_Tbl[[#This Row],[First_Name]]))</f>
        <v>Charlie</v>
      </c>
      <c r="R669" t="str">
        <f>TRIM(PROPER(Before_Tbl[[#This Row],[Last_Name]]))</f>
        <v>Brown</v>
      </c>
      <c r="S669" s="25">
        <f t="shared" si="10"/>
        <v>30</v>
      </c>
      <c r="T669" t="str">
        <f>LEFT(Before_Tbl[[#This Row],[Department_Region]],FIND("-",Before_Tbl[[#This Row],[Department_Region]])-1)</f>
        <v>Cloud Tech</v>
      </c>
      <c r="U669" t="str">
        <f>RIGHT(Before_Tbl[[#This Row],[Department_Region]],LEN(Before_Tbl[[#This Row],[Department_Region]])-FIND("-",Before_Tbl[[#This Row],[Department_Region]]))</f>
        <v>New York</v>
      </c>
      <c r="V669" t="str">
        <f>TRIM(PROPER(Before_Tbl[[#This Row],[Status]]))</f>
        <v>Pending</v>
      </c>
      <c r="W669" s="26">
        <v>44311</v>
      </c>
      <c r="X669" s="4">
        <v>96341.58</v>
      </c>
      <c r="Y669" t="str">
        <f>TRIM(LOWER(Before_Tbl[[#This Row],[Email]]))</f>
        <v>charlie.brown@example.com</v>
      </c>
      <c r="Z669" s="2" t="str">
        <f>SUBSTITUTE(Before_Tbl[[#This Row],[Phone]],"-","")</f>
        <v>1554164315</v>
      </c>
      <c r="AA669" t="str">
        <f>TRIM(PROPER(Before_Tbl[[#This Row],[Performance_Score]]))</f>
        <v>Excellent</v>
      </c>
      <c r="AB669" s="2" t="str">
        <f>TRIM(UPPER(Before_Tbl[[#This Row],[Remote_Work]]))</f>
        <v>FALSE</v>
      </c>
    </row>
    <row r="670" spans="1:28" x14ac:dyDescent="0.35">
      <c r="A670" t="s">
        <v>1150</v>
      </c>
      <c r="B670" t="s">
        <v>13</v>
      </c>
      <c r="C670" t="s">
        <v>26</v>
      </c>
      <c r="D670">
        <v>30</v>
      </c>
      <c r="E670" t="s">
        <v>205</v>
      </c>
      <c r="F670" t="s">
        <v>16</v>
      </c>
      <c r="G670" t="s">
        <v>1151</v>
      </c>
      <c r="H670">
        <v>54465.47</v>
      </c>
      <c r="I670" t="s">
        <v>50</v>
      </c>
      <c r="J670">
        <v>-7045023289</v>
      </c>
      <c r="K670" t="s">
        <v>23</v>
      </c>
      <c r="L670" t="b">
        <v>0</v>
      </c>
      <c r="P670" t="str">
        <f>TRIM(Before_Tbl[[#This Row],[Employee_ID]])</f>
        <v>EMP1668</v>
      </c>
      <c r="Q670" t="str">
        <f>TRIM(PROPER(Before_Tbl[[#This Row],[First_Name]]))</f>
        <v>Bob</v>
      </c>
      <c r="R670" t="str">
        <f>TRIM(PROPER(Before_Tbl[[#This Row],[Last_Name]]))</f>
        <v>Jones</v>
      </c>
      <c r="S670" s="25">
        <f t="shared" si="10"/>
        <v>30</v>
      </c>
      <c r="T670" t="str">
        <f>LEFT(Before_Tbl[[#This Row],[Department_Region]],FIND("-",Before_Tbl[[#This Row],[Department_Region]])-1)</f>
        <v>Admin</v>
      </c>
      <c r="U670" t="str">
        <f>RIGHT(Before_Tbl[[#This Row],[Department_Region]],LEN(Before_Tbl[[#This Row],[Department_Region]])-FIND("-",Before_Tbl[[#This Row],[Department_Region]]))</f>
        <v>Florida</v>
      </c>
      <c r="V670" t="str">
        <f>TRIM(PROPER(Before_Tbl[[#This Row],[Status]]))</f>
        <v>Active</v>
      </c>
      <c r="W670" s="26">
        <v>44026</v>
      </c>
      <c r="X670" s="4">
        <v>54465.47</v>
      </c>
      <c r="Y670" t="str">
        <f>TRIM(LOWER(Before_Tbl[[#This Row],[Email]]))</f>
        <v>bob.jones@example.com</v>
      </c>
      <c r="Z670" s="2" t="str">
        <f>SUBSTITUTE(Before_Tbl[[#This Row],[Phone]],"-","")</f>
        <v>7045023289</v>
      </c>
      <c r="AA670" t="str">
        <f>TRIM(PROPER(Before_Tbl[[#This Row],[Performance_Score]]))</f>
        <v>Excellent</v>
      </c>
      <c r="AB670" s="2" t="str">
        <f>TRIM(UPPER(Before_Tbl[[#This Row],[Remote_Work]]))</f>
        <v>FALSE</v>
      </c>
    </row>
    <row r="671" spans="1:28" x14ac:dyDescent="0.35">
      <c r="A671" t="s">
        <v>1152</v>
      </c>
      <c r="B671" t="s">
        <v>25</v>
      </c>
      <c r="C671" t="s">
        <v>14</v>
      </c>
      <c r="D671">
        <v>25</v>
      </c>
      <c r="E671" t="s">
        <v>265</v>
      </c>
      <c r="F671" t="s">
        <v>16</v>
      </c>
      <c r="G671" t="s">
        <v>1153</v>
      </c>
      <c r="H671">
        <v>68371.66</v>
      </c>
      <c r="I671" t="s">
        <v>163</v>
      </c>
      <c r="J671">
        <v>-2822700933</v>
      </c>
      <c r="K671" t="s">
        <v>41</v>
      </c>
      <c r="L671" t="b">
        <v>0</v>
      </c>
      <c r="P671" t="str">
        <f>TRIM(Before_Tbl[[#This Row],[Employee_ID]])</f>
        <v>EMP1669</v>
      </c>
      <c r="Q671" t="str">
        <f>TRIM(PROPER(Before_Tbl[[#This Row],[First_Name]]))</f>
        <v>Alice</v>
      </c>
      <c r="R671" t="str">
        <f>TRIM(PROPER(Before_Tbl[[#This Row],[Last_Name]]))</f>
        <v>Davis</v>
      </c>
      <c r="S671" s="25">
        <f t="shared" si="10"/>
        <v>25</v>
      </c>
      <c r="T671" t="str">
        <f>LEFT(Before_Tbl[[#This Row],[Department_Region]],FIND("-",Before_Tbl[[#This Row],[Department_Region]])-1)</f>
        <v>Finance</v>
      </c>
      <c r="U671" t="str">
        <f>RIGHT(Before_Tbl[[#This Row],[Department_Region]],LEN(Before_Tbl[[#This Row],[Department_Region]])-FIND("-",Before_Tbl[[#This Row],[Department_Region]]))</f>
        <v>Illinois</v>
      </c>
      <c r="V671" t="str">
        <f>TRIM(PROPER(Before_Tbl[[#This Row],[Status]]))</f>
        <v>Active</v>
      </c>
      <c r="W671" s="26">
        <v>44043</v>
      </c>
      <c r="X671" s="4">
        <v>68371.66</v>
      </c>
      <c r="Y671" t="str">
        <f>TRIM(LOWER(Before_Tbl[[#This Row],[Email]]))</f>
        <v>alice.davis@example.com</v>
      </c>
      <c r="Z671" s="2" t="str">
        <f>SUBSTITUTE(Before_Tbl[[#This Row],[Phone]],"-","")</f>
        <v>2822700933</v>
      </c>
      <c r="AA671" t="str">
        <f>TRIM(PROPER(Before_Tbl[[#This Row],[Performance_Score]]))</f>
        <v>Poor</v>
      </c>
      <c r="AB671" s="2" t="str">
        <f>TRIM(UPPER(Before_Tbl[[#This Row],[Remote_Work]]))</f>
        <v>FALSE</v>
      </c>
    </row>
    <row r="672" spans="1:28" x14ac:dyDescent="0.35">
      <c r="A672" t="s">
        <v>1154</v>
      </c>
      <c r="B672" t="s">
        <v>69</v>
      </c>
      <c r="C672" t="s">
        <v>122</v>
      </c>
      <c r="D672">
        <v>35</v>
      </c>
      <c r="E672" t="s">
        <v>196</v>
      </c>
      <c r="F672" t="s">
        <v>28</v>
      </c>
      <c r="G672" s="1">
        <v>44294</v>
      </c>
      <c r="H672">
        <v>81021.23</v>
      </c>
      <c r="I672" t="s">
        <v>135</v>
      </c>
      <c r="J672">
        <v>-5962622821</v>
      </c>
      <c r="K672" t="s">
        <v>30</v>
      </c>
      <c r="L672" t="b">
        <v>0</v>
      </c>
      <c r="P672" t="str">
        <f>TRIM(Before_Tbl[[#This Row],[Employee_ID]])</f>
        <v>EMP1670</v>
      </c>
      <c r="Q672" t="str">
        <f>TRIM(PROPER(Before_Tbl[[#This Row],[First_Name]]))</f>
        <v>Grace</v>
      </c>
      <c r="R672" t="str">
        <f>TRIM(PROPER(Before_Tbl[[#This Row],[Last_Name]]))</f>
        <v>Smith</v>
      </c>
      <c r="S672" s="25">
        <f t="shared" si="10"/>
        <v>35</v>
      </c>
      <c r="T672" t="str">
        <f>LEFT(Before_Tbl[[#This Row],[Department_Region]],FIND("-",Before_Tbl[[#This Row],[Department_Region]])-1)</f>
        <v>Admin</v>
      </c>
      <c r="U672" t="str">
        <f>RIGHT(Before_Tbl[[#This Row],[Department_Region]],LEN(Before_Tbl[[#This Row],[Department_Region]])-FIND("-",Before_Tbl[[#This Row],[Department_Region]]))</f>
        <v>New York</v>
      </c>
      <c r="V672" t="str">
        <f>TRIM(PROPER(Before_Tbl[[#This Row],[Status]]))</f>
        <v>Pending</v>
      </c>
      <c r="W672" s="26">
        <v>44294</v>
      </c>
      <c r="X672" s="4">
        <v>81021.23</v>
      </c>
      <c r="Y672" t="str">
        <f>TRIM(LOWER(Before_Tbl[[#This Row],[Email]]))</f>
        <v>grace.smith@example.com</v>
      </c>
      <c r="Z672" s="2" t="str">
        <f>SUBSTITUTE(Before_Tbl[[#This Row],[Phone]],"-","")</f>
        <v>5962622821</v>
      </c>
      <c r="AA672" t="str">
        <f>TRIM(PROPER(Before_Tbl[[#This Row],[Performance_Score]]))</f>
        <v>Good</v>
      </c>
      <c r="AB672" s="2" t="str">
        <f>TRIM(UPPER(Before_Tbl[[#This Row],[Remote_Work]]))</f>
        <v>FALSE</v>
      </c>
    </row>
    <row r="673" spans="1:28" x14ac:dyDescent="0.35">
      <c r="A673" t="s">
        <v>1155</v>
      </c>
      <c r="B673" t="s">
        <v>54</v>
      </c>
      <c r="C673" t="s">
        <v>92</v>
      </c>
      <c r="D673">
        <v>25</v>
      </c>
      <c r="E673" t="s">
        <v>85</v>
      </c>
      <c r="F673" t="s">
        <v>33</v>
      </c>
      <c r="G673" t="s">
        <v>1156</v>
      </c>
      <c r="H673">
        <v>114069.07</v>
      </c>
      <c r="I673" t="s">
        <v>502</v>
      </c>
      <c r="J673">
        <v>-5120734653</v>
      </c>
      <c r="K673" t="s">
        <v>30</v>
      </c>
      <c r="L673" t="b">
        <v>1</v>
      </c>
      <c r="P673" t="str">
        <f>TRIM(Before_Tbl[[#This Row],[Employee_ID]])</f>
        <v>EMP1671</v>
      </c>
      <c r="Q673" t="str">
        <f>TRIM(PROPER(Before_Tbl[[#This Row],[First_Name]]))</f>
        <v>Charlie</v>
      </c>
      <c r="R673" t="str">
        <f>TRIM(PROPER(Before_Tbl[[#This Row],[Last_Name]]))</f>
        <v>Miller</v>
      </c>
      <c r="S673" s="25">
        <f t="shared" si="10"/>
        <v>25</v>
      </c>
      <c r="T673" t="str">
        <f>LEFT(Before_Tbl[[#This Row],[Department_Region]],FIND("-",Before_Tbl[[#This Row],[Department_Region]])-1)</f>
        <v>Cloud Tech</v>
      </c>
      <c r="U673" t="str">
        <f>RIGHT(Before_Tbl[[#This Row],[Department_Region]],LEN(Before_Tbl[[#This Row],[Department_Region]])-FIND("-",Before_Tbl[[#This Row],[Department_Region]]))</f>
        <v>Nevada</v>
      </c>
      <c r="V673" t="str">
        <f>TRIM(PROPER(Before_Tbl[[#This Row],[Status]]))</f>
        <v>Inactive</v>
      </c>
      <c r="W673" s="26">
        <v>45593</v>
      </c>
      <c r="X673" s="4">
        <v>114069.07</v>
      </c>
      <c r="Y673" t="str">
        <f>TRIM(LOWER(Before_Tbl[[#This Row],[Email]]))</f>
        <v>charlie.miller@example.com</v>
      </c>
      <c r="Z673" s="2" t="str">
        <f>SUBSTITUTE(Before_Tbl[[#This Row],[Phone]],"-","")</f>
        <v>5120734653</v>
      </c>
      <c r="AA673" t="str">
        <f>TRIM(PROPER(Before_Tbl[[#This Row],[Performance_Score]]))</f>
        <v>Good</v>
      </c>
      <c r="AB673" s="2" t="str">
        <f>TRIM(UPPER(Before_Tbl[[#This Row],[Remote_Work]]))</f>
        <v>TRUE</v>
      </c>
    </row>
    <row r="674" spans="1:28" x14ac:dyDescent="0.35">
      <c r="A674" t="s">
        <v>1157</v>
      </c>
      <c r="B674" t="s">
        <v>65</v>
      </c>
      <c r="C674" t="s">
        <v>92</v>
      </c>
      <c r="E674" t="s">
        <v>192</v>
      </c>
      <c r="F674" t="s">
        <v>33</v>
      </c>
      <c r="G674" s="1">
        <v>43900</v>
      </c>
      <c r="H674">
        <v>117867.96</v>
      </c>
      <c r="I674" t="s">
        <v>130</v>
      </c>
      <c r="J674">
        <v>-9500507025</v>
      </c>
      <c r="K674" t="s">
        <v>41</v>
      </c>
      <c r="L674" t="b">
        <v>0</v>
      </c>
      <c r="P674" t="str">
        <f>TRIM(Before_Tbl[[#This Row],[Employee_ID]])</f>
        <v>EMP1672</v>
      </c>
      <c r="Q674" t="str">
        <f>TRIM(PROPER(Before_Tbl[[#This Row],[First_Name]]))</f>
        <v>Heidi</v>
      </c>
      <c r="R674" t="str">
        <f>TRIM(PROPER(Before_Tbl[[#This Row],[Last_Name]]))</f>
        <v>Miller</v>
      </c>
      <c r="S674" s="25">
        <f t="shared" si="10"/>
        <v>30</v>
      </c>
      <c r="T674" t="str">
        <f>LEFT(Before_Tbl[[#This Row],[Department_Region]],FIND("-",Before_Tbl[[#This Row],[Department_Region]])-1)</f>
        <v>HR</v>
      </c>
      <c r="U674" t="str">
        <f>RIGHT(Before_Tbl[[#This Row],[Department_Region]],LEN(Before_Tbl[[#This Row],[Department_Region]])-FIND("-",Before_Tbl[[#This Row],[Department_Region]]))</f>
        <v>Illinois</v>
      </c>
      <c r="V674" t="str">
        <f>TRIM(PROPER(Before_Tbl[[#This Row],[Status]]))</f>
        <v>Inactive</v>
      </c>
      <c r="W674" s="26">
        <v>43900</v>
      </c>
      <c r="X674" s="4">
        <v>117867.96</v>
      </c>
      <c r="Y674" t="str">
        <f>TRIM(LOWER(Before_Tbl[[#This Row],[Email]]))</f>
        <v>heidi.miller@example.com</v>
      </c>
      <c r="Z674" s="2" t="str">
        <f>SUBSTITUTE(Before_Tbl[[#This Row],[Phone]],"-","")</f>
        <v>9500507025</v>
      </c>
      <c r="AA674" t="str">
        <f>TRIM(PROPER(Before_Tbl[[#This Row],[Performance_Score]]))</f>
        <v>Poor</v>
      </c>
      <c r="AB674" s="2" t="str">
        <f>TRIM(UPPER(Before_Tbl[[#This Row],[Remote_Work]]))</f>
        <v>FALSE</v>
      </c>
    </row>
    <row r="675" spans="1:28" x14ac:dyDescent="0.35">
      <c r="A675" t="s">
        <v>1158</v>
      </c>
      <c r="B675" t="s">
        <v>54</v>
      </c>
      <c r="C675" t="s">
        <v>92</v>
      </c>
      <c r="E675" t="s">
        <v>74</v>
      </c>
      <c r="F675" t="s">
        <v>28</v>
      </c>
      <c r="G675" t="s">
        <v>1113</v>
      </c>
      <c r="H675">
        <v>94509.58</v>
      </c>
      <c r="I675" t="s">
        <v>502</v>
      </c>
      <c r="J675">
        <v>-869822104</v>
      </c>
      <c r="K675" t="s">
        <v>18</v>
      </c>
      <c r="L675" t="b">
        <v>0</v>
      </c>
      <c r="P675" t="str">
        <f>TRIM(Before_Tbl[[#This Row],[Employee_ID]])</f>
        <v>EMP1673</v>
      </c>
      <c r="Q675" t="str">
        <f>TRIM(PROPER(Before_Tbl[[#This Row],[First_Name]]))</f>
        <v>Charlie</v>
      </c>
      <c r="R675" t="str">
        <f>TRIM(PROPER(Before_Tbl[[#This Row],[Last_Name]]))</f>
        <v>Miller</v>
      </c>
      <c r="S675" s="25">
        <f t="shared" si="10"/>
        <v>30</v>
      </c>
      <c r="T675" t="str">
        <f>LEFT(Before_Tbl[[#This Row],[Department_Region]],FIND("-",Before_Tbl[[#This Row],[Department_Region]])-1)</f>
        <v>Sales</v>
      </c>
      <c r="U675" t="str">
        <f>RIGHT(Before_Tbl[[#This Row],[Department_Region]],LEN(Before_Tbl[[#This Row],[Department_Region]])-FIND("-",Before_Tbl[[#This Row],[Department_Region]]))</f>
        <v>Florida</v>
      </c>
      <c r="V675" t="str">
        <f>TRIM(PROPER(Before_Tbl[[#This Row],[Status]]))</f>
        <v>Pending</v>
      </c>
      <c r="W675" s="26">
        <v>45364</v>
      </c>
      <c r="X675" s="4">
        <v>94509.58</v>
      </c>
      <c r="Y675" t="str">
        <f>TRIM(LOWER(Before_Tbl[[#This Row],[Email]]))</f>
        <v>charlie.miller@example.com</v>
      </c>
      <c r="Z675" s="2" t="str">
        <f>SUBSTITUTE(Before_Tbl[[#This Row],[Phone]],"-","")</f>
        <v>869822104</v>
      </c>
      <c r="AA675" t="str">
        <f>TRIM(PROPER(Before_Tbl[[#This Row],[Performance_Score]]))</f>
        <v>Average</v>
      </c>
      <c r="AB675" s="2" t="str">
        <f>TRIM(UPPER(Before_Tbl[[#This Row],[Remote_Work]]))</f>
        <v>FALSE</v>
      </c>
    </row>
    <row r="676" spans="1:28" x14ac:dyDescent="0.35">
      <c r="A676" t="s">
        <v>1159</v>
      </c>
      <c r="B676" t="s">
        <v>32</v>
      </c>
      <c r="C676" t="s">
        <v>20</v>
      </c>
      <c r="D676">
        <v>35</v>
      </c>
      <c r="E676" t="s">
        <v>265</v>
      </c>
      <c r="F676" t="s">
        <v>16</v>
      </c>
      <c r="G676" s="1">
        <v>45450</v>
      </c>
      <c r="H676">
        <v>56268.78</v>
      </c>
      <c r="I676" t="s">
        <v>155</v>
      </c>
      <c r="J676">
        <v>-3161177686</v>
      </c>
      <c r="K676" t="s">
        <v>23</v>
      </c>
      <c r="L676" t="b">
        <v>0</v>
      </c>
      <c r="P676" t="str">
        <f>TRIM(Before_Tbl[[#This Row],[Employee_ID]])</f>
        <v>EMP1674</v>
      </c>
      <c r="Q676" t="str">
        <f>TRIM(PROPER(Before_Tbl[[#This Row],[First_Name]]))</f>
        <v>Eva</v>
      </c>
      <c r="R676" t="str">
        <f>TRIM(PROPER(Before_Tbl[[#This Row],[Last_Name]]))</f>
        <v>Brown</v>
      </c>
      <c r="S676" s="25">
        <f t="shared" si="10"/>
        <v>35</v>
      </c>
      <c r="T676" t="str">
        <f>LEFT(Before_Tbl[[#This Row],[Department_Region]],FIND("-",Before_Tbl[[#This Row],[Department_Region]])-1)</f>
        <v>Finance</v>
      </c>
      <c r="U676" t="str">
        <f>RIGHT(Before_Tbl[[#This Row],[Department_Region]],LEN(Before_Tbl[[#This Row],[Department_Region]])-FIND("-",Before_Tbl[[#This Row],[Department_Region]]))</f>
        <v>Illinois</v>
      </c>
      <c r="V676" t="str">
        <f>TRIM(PROPER(Before_Tbl[[#This Row],[Status]]))</f>
        <v>Active</v>
      </c>
      <c r="W676" s="26">
        <v>45450</v>
      </c>
      <c r="X676" s="4">
        <v>56268.78</v>
      </c>
      <c r="Y676" t="str">
        <f>TRIM(LOWER(Before_Tbl[[#This Row],[Email]]))</f>
        <v>eva.brown@example.com</v>
      </c>
      <c r="Z676" s="2" t="str">
        <f>SUBSTITUTE(Before_Tbl[[#This Row],[Phone]],"-","")</f>
        <v>3161177686</v>
      </c>
      <c r="AA676" t="str">
        <f>TRIM(PROPER(Before_Tbl[[#This Row],[Performance_Score]]))</f>
        <v>Excellent</v>
      </c>
      <c r="AB676" s="2" t="str">
        <f>TRIM(UPPER(Before_Tbl[[#This Row],[Remote_Work]]))</f>
        <v>FALSE</v>
      </c>
    </row>
    <row r="677" spans="1:28" x14ac:dyDescent="0.35">
      <c r="A677" t="s">
        <v>1160</v>
      </c>
      <c r="B677" t="s">
        <v>69</v>
      </c>
      <c r="C677" t="s">
        <v>26</v>
      </c>
      <c r="D677">
        <v>35</v>
      </c>
      <c r="E677" t="s">
        <v>118</v>
      </c>
      <c r="F677" t="s">
        <v>16</v>
      </c>
      <c r="G677" s="1">
        <v>43831</v>
      </c>
      <c r="H677">
        <v>86632.14</v>
      </c>
      <c r="I677" t="s">
        <v>76</v>
      </c>
      <c r="J677">
        <v>-2904774257</v>
      </c>
      <c r="K677" t="s">
        <v>41</v>
      </c>
      <c r="L677" t="b">
        <v>1</v>
      </c>
      <c r="P677" t="str">
        <f>TRIM(Before_Tbl[[#This Row],[Employee_ID]])</f>
        <v>EMP1675</v>
      </c>
      <c r="Q677" t="str">
        <f>TRIM(PROPER(Before_Tbl[[#This Row],[First_Name]]))</f>
        <v>Grace</v>
      </c>
      <c r="R677" t="str">
        <f>TRIM(PROPER(Before_Tbl[[#This Row],[Last_Name]]))</f>
        <v>Jones</v>
      </c>
      <c r="S677" s="25">
        <f t="shared" si="10"/>
        <v>35</v>
      </c>
      <c r="T677" t="str">
        <f>LEFT(Before_Tbl[[#This Row],[Department_Region]],FIND("-",Before_Tbl[[#This Row],[Department_Region]])-1)</f>
        <v>Admin</v>
      </c>
      <c r="U677" t="str">
        <f>RIGHT(Before_Tbl[[#This Row],[Department_Region]],LEN(Before_Tbl[[#This Row],[Department_Region]])-FIND("-",Before_Tbl[[#This Row],[Department_Region]]))</f>
        <v>California</v>
      </c>
      <c r="V677" t="str">
        <f>TRIM(PROPER(Before_Tbl[[#This Row],[Status]]))</f>
        <v>Active</v>
      </c>
      <c r="W677" s="26">
        <v>43831</v>
      </c>
      <c r="X677" s="4">
        <v>86632.14</v>
      </c>
      <c r="Y677" t="str">
        <f>TRIM(LOWER(Before_Tbl[[#This Row],[Email]]))</f>
        <v>grace.jones@example.com</v>
      </c>
      <c r="Z677" s="2" t="str">
        <f>SUBSTITUTE(Before_Tbl[[#This Row],[Phone]],"-","")</f>
        <v>2904774257</v>
      </c>
      <c r="AA677" t="str">
        <f>TRIM(PROPER(Before_Tbl[[#This Row],[Performance_Score]]))</f>
        <v>Poor</v>
      </c>
      <c r="AB677" s="2" t="str">
        <f>TRIM(UPPER(Before_Tbl[[#This Row],[Remote_Work]]))</f>
        <v>TRUE</v>
      </c>
    </row>
    <row r="678" spans="1:28" x14ac:dyDescent="0.35">
      <c r="A678" t="s">
        <v>1161</v>
      </c>
      <c r="B678" t="s">
        <v>54</v>
      </c>
      <c r="C678" t="s">
        <v>20</v>
      </c>
      <c r="D678">
        <v>35</v>
      </c>
      <c r="E678" t="s">
        <v>212</v>
      </c>
      <c r="F678" t="s">
        <v>28</v>
      </c>
      <c r="G678" t="s">
        <v>752</v>
      </c>
      <c r="H678">
        <v>98143.9</v>
      </c>
      <c r="I678" t="s">
        <v>125</v>
      </c>
      <c r="J678">
        <v>-5917793237</v>
      </c>
      <c r="K678" t="s">
        <v>23</v>
      </c>
      <c r="L678" t="b">
        <v>0</v>
      </c>
      <c r="P678" t="str">
        <f>TRIM(Before_Tbl[[#This Row],[Employee_ID]])</f>
        <v>EMP1676</v>
      </c>
      <c r="Q678" t="str">
        <f>TRIM(PROPER(Before_Tbl[[#This Row],[First_Name]]))</f>
        <v>Charlie</v>
      </c>
      <c r="R678" t="str">
        <f>TRIM(PROPER(Before_Tbl[[#This Row],[Last_Name]]))</f>
        <v>Brown</v>
      </c>
      <c r="S678" s="25">
        <f t="shared" si="10"/>
        <v>35</v>
      </c>
      <c r="T678" t="str">
        <f>LEFT(Before_Tbl[[#This Row],[Department_Region]],FIND("-",Before_Tbl[[#This Row],[Department_Region]])-1)</f>
        <v>HR</v>
      </c>
      <c r="U678" t="str">
        <f>RIGHT(Before_Tbl[[#This Row],[Department_Region]],LEN(Before_Tbl[[#This Row],[Department_Region]])-FIND("-",Before_Tbl[[#This Row],[Department_Region]]))</f>
        <v>Florida</v>
      </c>
      <c r="V678" t="str">
        <f>TRIM(PROPER(Before_Tbl[[#This Row],[Status]]))</f>
        <v>Pending</v>
      </c>
      <c r="W678" s="26">
        <v>43848</v>
      </c>
      <c r="X678" s="4">
        <v>98143.9</v>
      </c>
      <c r="Y678" t="str">
        <f>TRIM(LOWER(Before_Tbl[[#This Row],[Email]]))</f>
        <v>charlie.brown@example.com</v>
      </c>
      <c r="Z678" s="2" t="str">
        <f>SUBSTITUTE(Before_Tbl[[#This Row],[Phone]],"-","")</f>
        <v>5917793237</v>
      </c>
      <c r="AA678" t="str">
        <f>TRIM(PROPER(Before_Tbl[[#This Row],[Performance_Score]]))</f>
        <v>Excellent</v>
      </c>
      <c r="AB678" s="2" t="str">
        <f>TRIM(UPPER(Before_Tbl[[#This Row],[Remote_Work]]))</f>
        <v>FALSE</v>
      </c>
    </row>
    <row r="679" spans="1:28" x14ac:dyDescent="0.35">
      <c r="A679" t="s">
        <v>1162</v>
      </c>
      <c r="B679" t="s">
        <v>65</v>
      </c>
      <c r="C679" t="s">
        <v>43</v>
      </c>
      <c r="D679">
        <v>35</v>
      </c>
      <c r="E679" t="s">
        <v>39</v>
      </c>
      <c r="F679" t="s">
        <v>33</v>
      </c>
      <c r="G679" s="1">
        <v>45112</v>
      </c>
      <c r="H679" t="s">
        <v>277</v>
      </c>
      <c r="I679" t="s">
        <v>257</v>
      </c>
      <c r="J679">
        <v>-2231164912</v>
      </c>
      <c r="K679" t="s">
        <v>18</v>
      </c>
      <c r="L679" t="b">
        <v>1</v>
      </c>
      <c r="P679" t="str">
        <f>TRIM(Before_Tbl[[#This Row],[Employee_ID]])</f>
        <v>EMP1677</v>
      </c>
      <c r="Q679" t="str">
        <f>TRIM(PROPER(Before_Tbl[[#This Row],[First_Name]]))</f>
        <v>Heidi</v>
      </c>
      <c r="R679" t="str">
        <f>TRIM(PROPER(Before_Tbl[[#This Row],[Last_Name]]))</f>
        <v>Garcia</v>
      </c>
      <c r="S679" s="25">
        <f t="shared" si="10"/>
        <v>35</v>
      </c>
      <c r="T679" t="str">
        <f>LEFT(Before_Tbl[[#This Row],[Department_Region]],FIND("-",Before_Tbl[[#This Row],[Department_Region]])-1)</f>
        <v>Cloud Tech</v>
      </c>
      <c r="U679" t="str">
        <f>RIGHT(Before_Tbl[[#This Row],[Department_Region]],LEN(Before_Tbl[[#This Row],[Department_Region]])-FIND("-",Before_Tbl[[#This Row],[Department_Region]]))</f>
        <v>Florida</v>
      </c>
      <c r="V679" t="str">
        <f>TRIM(PROPER(Before_Tbl[[#This Row],[Status]]))</f>
        <v>Inactive</v>
      </c>
      <c r="W679" s="26">
        <v>45112</v>
      </c>
      <c r="X679" s="4"/>
      <c r="Y679" t="str">
        <f>TRIM(LOWER(Before_Tbl[[#This Row],[Email]]))</f>
        <v>heidi.garcia@example.com</v>
      </c>
      <c r="Z679" s="2" t="str">
        <f>SUBSTITUTE(Before_Tbl[[#This Row],[Phone]],"-","")</f>
        <v>2231164912</v>
      </c>
      <c r="AA679" t="str">
        <f>TRIM(PROPER(Before_Tbl[[#This Row],[Performance_Score]]))</f>
        <v>Average</v>
      </c>
      <c r="AB679" s="2" t="str">
        <f>TRIM(UPPER(Before_Tbl[[#This Row],[Remote_Work]]))</f>
        <v>TRUE</v>
      </c>
    </row>
    <row r="680" spans="1:28" x14ac:dyDescent="0.35">
      <c r="A680" t="s">
        <v>1163</v>
      </c>
      <c r="B680" t="s">
        <v>37</v>
      </c>
      <c r="C680" t="s">
        <v>55</v>
      </c>
      <c r="D680">
        <v>30</v>
      </c>
      <c r="E680" t="s">
        <v>265</v>
      </c>
      <c r="F680" t="s">
        <v>33</v>
      </c>
      <c r="G680" t="s">
        <v>1164</v>
      </c>
      <c r="H680">
        <v>67492.73</v>
      </c>
      <c r="I680" t="s">
        <v>271</v>
      </c>
      <c r="J680">
        <v>-3424579888</v>
      </c>
      <c r="K680" t="s">
        <v>23</v>
      </c>
      <c r="L680" t="b">
        <v>1</v>
      </c>
      <c r="P680" t="str">
        <f>TRIM(Before_Tbl[[#This Row],[Employee_ID]])</f>
        <v>EMP1678</v>
      </c>
      <c r="Q680" t="str">
        <f>TRIM(PROPER(Before_Tbl[[#This Row],[First_Name]]))</f>
        <v>Frank</v>
      </c>
      <c r="R680" t="str">
        <f>TRIM(PROPER(Before_Tbl[[#This Row],[Last_Name]]))</f>
        <v>Johnson</v>
      </c>
      <c r="S680" s="25">
        <f t="shared" si="10"/>
        <v>30</v>
      </c>
      <c r="T680" t="str">
        <f>LEFT(Before_Tbl[[#This Row],[Department_Region]],FIND("-",Before_Tbl[[#This Row],[Department_Region]])-1)</f>
        <v>Finance</v>
      </c>
      <c r="U680" t="str">
        <f>RIGHT(Before_Tbl[[#This Row],[Department_Region]],LEN(Before_Tbl[[#This Row],[Department_Region]])-FIND("-",Before_Tbl[[#This Row],[Department_Region]]))</f>
        <v>Illinois</v>
      </c>
      <c r="V680" t="str">
        <f>TRIM(PROPER(Before_Tbl[[#This Row],[Status]]))</f>
        <v>Inactive</v>
      </c>
      <c r="W680" s="26">
        <v>44639</v>
      </c>
      <c r="X680" s="4">
        <v>67492.73</v>
      </c>
      <c r="Y680" t="str">
        <f>TRIM(LOWER(Before_Tbl[[#This Row],[Email]]))</f>
        <v>frank.johnson@example.com</v>
      </c>
      <c r="Z680" s="2" t="str">
        <f>SUBSTITUTE(Before_Tbl[[#This Row],[Phone]],"-","")</f>
        <v>3424579888</v>
      </c>
      <c r="AA680" t="str">
        <f>TRIM(PROPER(Before_Tbl[[#This Row],[Performance_Score]]))</f>
        <v>Excellent</v>
      </c>
      <c r="AB680" s="2" t="str">
        <f>TRIM(UPPER(Before_Tbl[[#This Row],[Remote_Work]]))</f>
        <v>TRUE</v>
      </c>
    </row>
    <row r="681" spans="1:28" x14ac:dyDescent="0.35">
      <c r="A681" t="s">
        <v>1165</v>
      </c>
      <c r="B681" t="s">
        <v>69</v>
      </c>
      <c r="C681" t="s">
        <v>55</v>
      </c>
      <c r="D681">
        <v>40</v>
      </c>
      <c r="E681" t="s">
        <v>118</v>
      </c>
      <c r="F681" t="s">
        <v>16</v>
      </c>
      <c r="G681" t="s">
        <v>1166</v>
      </c>
      <c r="H681">
        <v>93772.61</v>
      </c>
      <c r="I681" t="s">
        <v>127</v>
      </c>
      <c r="J681">
        <v>-4256529059</v>
      </c>
      <c r="K681" t="s">
        <v>41</v>
      </c>
      <c r="L681" t="b">
        <v>0</v>
      </c>
      <c r="P681" t="str">
        <f>TRIM(Before_Tbl[[#This Row],[Employee_ID]])</f>
        <v>EMP1679</v>
      </c>
      <c r="Q681" t="str">
        <f>TRIM(PROPER(Before_Tbl[[#This Row],[First_Name]]))</f>
        <v>Grace</v>
      </c>
      <c r="R681" t="str">
        <f>TRIM(PROPER(Before_Tbl[[#This Row],[Last_Name]]))</f>
        <v>Johnson</v>
      </c>
      <c r="S681" s="25">
        <f t="shared" si="10"/>
        <v>40</v>
      </c>
      <c r="T681" t="str">
        <f>LEFT(Before_Tbl[[#This Row],[Department_Region]],FIND("-",Before_Tbl[[#This Row],[Department_Region]])-1)</f>
        <v>Admin</v>
      </c>
      <c r="U681" t="str">
        <f>RIGHT(Before_Tbl[[#This Row],[Department_Region]],LEN(Before_Tbl[[#This Row],[Department_Region]])-FIND("-",Before_Tbl[[#This Row],[Department_Region]]))</f>
        <v>California</v>
      </c>
      <c r="V681" t="str">
        <f>TRIM(PROPER(Before_Tbl[[#This Row],[Status]]))</f>
        <v>Active</v>
      </c>
      <c r="W681" s="26">
        <v>44695</v>
      </c>
      <c r="X681" s="4">
        <v>93772.61</v>
      </c>
      <c r="Y681" t="str">
        <f>TRIM(LOWER(Before_Tbl[[#This Row],[Email]]))</f>
        <v>grace.johnson@example.com</v>
      </c>
      <c r="Z681" s="2" t="str">
        <f>SUBSTITUTE(Before_Tbl[[#This Row],[Phone]],"-","")</f>
        <v>4256529059</v>
      </c>
      <c r="AA681" t="str">
        <f>TRIM(PROPER(Before_Tbl[[#This Row],[Performance_Score]]))</f>
        <v>Poor</v>
      </c>
      <c r="AB681" s="2" t="str">
        <f>TRIM(UPPER(Before_Tbl[[#This Row],[Remote_Work]]))</f>
        <v>FALSE</v>
      </c>
    </row>
    <row r="682" spans="1:28" x14ac:dyDescent="0.35">
      <c r="A682" t="s">
        <v>1167</v>
      </c>
      <c r="B682" t="s">
        <v>32</v>
      </c>
      <c r="C682" t="s">
        <v>43</v>
      </c>
      <c r="D682">
        <v>35</v>
      </c>
      <c r="E682" t="s">
        <v>329</v>
      </c>
      <c r="F682" t="s">
        <v>28</v>
      </c>
      <c r="G682" t="s">
        <v>1168</v>
      </c>
      <c r="H682">
        <v>68817.539999999994</v>
      </c>
      <c r="I682" t="s">
        <v>297</v>
      </c>
      <c r="J682">
        <v>-3202032649</v>
      </c>
      <c r="K682" t="s">
        <v>23</v>
      </c>
      <c r="L682" t="b">
        <v>0</v>
      </c>
      <c r="P682" t="str">
        <f>TRIM(Before_Tbl[[#This Row],[Employee_ID]])</f>
        <v>EMP1680</v>
      </c>
      <c r="Q682" t="str">
        <f>TRIM(PROPER(Before_Tbl[[#This Row],[First_Name]]))</f>
        <v>Eva</v>
      </c>
      <c r="R682" t="str">
        <f>TRIM(PROPER(Before_Tbl[[#This Row],[Last_Name]]))</f>
        <v>Garcia</v>
      </c>
      <c r="S682" s="25">
        <f t="shared" si="10"/>
        <v>35</v>
      </c>
      <c r="T682" t="str">
        <f>LEFT(Before_Tbl[[#This Row],[Department_Region]],FIND("-",Before_Tbl[[#This Row],[Department_Region]])-1)</f>
        <v>DevOps</v>
      </c>
      <c r="U682" t="str">
        <f>RIGHT(Before_Tbl[[#This Row],[Department_Region]],LEN(Before_Tbl[[#This Row],[Department_Region]])-FIND("-",Before_Tbl[[#This Row],[Department_Region]]))</f>
        <v>Nevada</v>
      </c>
      <c r="V682" t="str">
        <f>TRIM(PROPER(Before_Tbl[[#This Row],[Status]]))</f>
        <v>Pending</v>
      </c>
      <c r="W682" s="26">
        <v>45487</v>
      </c>
      <c r="X682" s="4">
        <v>68817.539999999994</v>
      </c>
      <c r="Y682" t="str">
        <f>TRIM(LOWER(Before_Tbl[[#This Row],[Email]]))</f>
        <v>eva.garcia@example.com</v>
      </c>
      <c r="Z682" s="2" t="str">
        <f>SUBSTITUTE(Before_Tbl[[#This Row],[Phone]],"-","")</f>
        <v>3202032649</v>
      </c>
      <c r="AA682" t="str">
        <f>TRIM(PROPER(Before_Tbl[[#This Row],[Performance_Score]]))</f>
        <v>Excellent</v>
      </c>
      <c r="AB682" s="2" t="str">
        <f>TRIM(UPPER(Before_Tbl[[#This Row],[Remote_Work]]))</f>
        <v>FALSE</v>
      </c>
    </row>
    <row r="683" spans="1:28" x14ac:dyDescent="0.35">
      <c r="A683" t="s">
        <v>1169</v>
      </c>
      <c r="B683" t="s">
        <v>13</v>
      </c>
      <c r="C683" t="s">
        <v>26</v>
      </c>
      <c r="D683">
        <v>30</v>
      </c>
      <c r="E683" t="s">
        <v>118</v>
      </c>
      <c r="F683" t="s">
        <v>16</v>
      </c>
      <c r="G683" t="s">
        <v>1170</v>
      </c>
      <c r="H683">
        <v>81874.009999999995</v>
      </c>
      <c r="I683" t="s">
        <v>50</v>
      </c>
      <c r="J683">
        <v>-9775396736</v>
      </c>
      <c r="K683" t="s">
        <v>30</v>
      </c>
      <c r="L683" t="b">
        <v>1</v>
      </c>
      <c r="P683" t="str">
        <f>TRIM(Before_Tbl[[#This Row],[Employee_ID]])</f>
        <v>EMP1681</v>
      </c>
      <c r="Q683" t="str">
        <f>TRIM(PROPER(Before_Tbl[[#This Row],[First_Name]]))</f>
        <v>Bob</v>
      </c>
      <c r="R683" t="str">
        <f>TRIM(PROPER(Before_Tbl[[#This Row],[Last_Name]]))</f>
        <v>Jones</v>
      </c>
      <c r="S683" s="25">
        <f t="shared" si="10"/>
        <v>30</v>
      </c>
      <c r="T683" t="str">
        <f>LEFT(Before_Tbl[[#This Row],[Department_Region]],FIND("-",Before_Tbl[[#This Row],[Department_Region]])-1)</f>
        <v>Admin</v>
      </c>
      <c r="U683" t="str">
        <f>RIGHT(Before_Tbl[[#This Row],[Department_Region]],LEN(Before_Tbl[[#This Row],[Department_Region]])-FIND("-",Before_Tbl[[#This Row],[Department_Region]]))</f>
        <v>California</v>
      </c>
      <c r="V683" t="str">
        <f>TRIM(PROPER(Before_Tbl[[#This Row],[Status]]))</f>
        <v>Active</v>
      </c>
      <c r="W683" s="26">
        <v>45135</v>
      </c>
      <c r="X683" s="4">
        <v>81874.009999999995</v>
      </c>
      <c r="Y683" t="str">
        <f>TRIM(LOWER(Before_Tbl[[#This Row],[Email]]))</f>
        <v>bob.jones@example.com</v>
      </c>
      <c r="Z683" s="2" t="str">
        <f>SUBSTITUTE(Before_Tbl[[#This Row],[Phone]],"-","")</f>
        <v>9775396736</v>
      </c>
      <c r="AA683" t="str">
        <f>TRIM(PROPER(Before_Tbl[[#This Row],[Performance_Score]]))</f>
        <v>Good</v>
      </c>
      <c r="AB683" s="2" t="str">
        <f>TRIM(UPPER(Before_Tbl[[#This Row],[Remote_Work]]))</f>
        <v>TRUE</v>
      </c>
    </row>
    <row r="684" spans="1:28" x14ac:dyDescent="0.35">
      <c r="A684" t="s">
        <v>1171</v>
      </c>
      <c r="B684" t="s">
        <v>65</v>
      </c>
      <c r="C684" t="s">
        <v>14</v>
      </c>
      <c r="D684">
        <v>30</v>
      </c>
      <c r="E684" t="s">
        <v>139</v>
      </c>
      <c r="F684" t="s">
        <v>16</v>
      </c>
      <c r="G684" s="1">
        <v>44139</v>
      </c>
      <c r="H684">
        <v>117880.14</v>
      </c>
      <c r="I684" t="s">
        <v>395</v>
      </c>
      <c r="J684">
        <v>-9487148551</v>
      </c>
      <c r="K684" t="s">
        <v>18</v>
      </c>
      <c r="L684" t="b">
        <v>0</v>
      </c>
      <c r="P684" t="str">
        <f>TRIM(Before_Tbl[[#This Row],[Employee_ID]])</f>
        <v>EMP1682</v>
      </c>
      <c r="Q684" t="str">
        <f>TRIM(PROPER(Before_Tbl[[#This Row],[First_Name]]))</f>
        <v>Heidi</v>
      </c>
      <c r="R684" t="str">
        <f>TRIM(PROPER(Before_Tbl[[#This Row],[Last_Name]]))</f>
        <v>Davis</v>
      </c>
      <c r="S684" s="25">
        <f t="shared" si="10"/>
        <v>30</v>
      </c>
      <c r="T684" t="str">
        <f>LEFT(Before_Tbl[[#This Row],[Department_Region]],FIND("-",Before_Tbl[[#This Row],[Department_Region]])-1)</f>
        <v>HR</v>
      </c>
      <c r="U684" t="str">
        <f>RIGHT(Before_Tbl[[#This Row],[Department_Region]],LEN(Before_Tbl[[#This Row],[Department_Region]])-FIND("-",Before_Tbl[[#This Row],[Department_Region]]))</f>
        <v>Texas</v>
      </c>
      <c r="V684" t="str">
        <f>TRIM(PROPER(Before_Tbl[[#This Row],[Status]]))</f>
        <v>Active</v>
      </c>
      <c r="W684" s="26">
        <v>44139</v>
      </c>
      <c r="X684" s="4">
        <v>117880.14</v>
      </c>
      <c r="Y684" t="str">
        <f>TRIM(LOWER(Before_Tbl[[#This Row],[Email]]))</f>
        <v>heidi.davis@example.com</v>
      </c>
      <c r="Z684" s="2" t="str">
        <f>SUBSTITUTE(Before_Tbl[[#This Row],[Phone]],"-","")</f>
        <v>9487148551</v>
      </c>
      <c r="AA684" t="str">
        <f>TRIM(PROPER(Before_Tbl[[#This Row],[Performance_Score]]))</f>
        <v>Average</v>
      </c>
      <c r="AB684" s="2" t="str">
        <f>TRIM(UPPER(Before_Tbl[[#This Row],[Remote_Work]]))</f>
        <v>FALSE</v>
      </c>
    </row>
    <row r="685" spans="1:28" x14ac:dyDescent="0.35">
      <c r="A685" t="s">
        <v>1172</v>
      </c>
      <c r="B685" t="s">
        <v>13</v>
      </c>
      <c r="C685" t="s">
        <v>20</v>
      </c>
      <c r="D685">
        <v>35</v>
      </c>
      <c r="E685" t="s">
        <v>66</v>
      </c>
      <c r="F685" t="s">
        <v>28</v>
      </c>
      <c r="G685" t="s">
        <v>147</v>
      </c>
      <c r="H685">
        <v>100897.49</v>
      </c>
      <c r="I685" t="s">
        <v>22</v>
      </c>
      <c r="J685">
        <v>-4578715840</v>
      </c>
      <c r="K685" t="s">
        <v>18</v>
      </c>
      <c r="L685" t="b">
        <v>1</v>
      </c>
      <c r="P685" t="str">
        <f>TRIM(Before_Tbl[[#This Row],[Employee_ID]])</f>
        <v>EMP1683</v>
      </c>
      <c r="Q685" t="str">
        <f>TRIM(PROPER(Before_Tbl[[#This Row],[First_Name]]))</f>
        <v>Bob</v>
      </c>
      <c r="R685" t="str">
        <f>TRIM(PROPER(Before_Tbl[[#This Row],[Last_Name]]))</f>
        <v>Brown</v>
      </c>
      <c r="S685" s="25">
        <f t="shared" si="10"/>
        <v>35</v>
      </c>
      <c r="T685" t="str">
        <f>LEFT(Before_Tbl[[#This Row],[Department_Region]],FIND("-",Before_Tbl[[#This Row],[Department_Region]])-1)</f>
        <v>HR</v>
      </c>
      <c r="U685" t="str">
        <f>RIGHT(Before_Tbl[[#This Row],[Department_Region]],LEN(Before_Tbl[[#This Row],[Department_Region]])-FIND("-",Before_Tbl[[#This Row],[Department_Region]]))</f>
        <v>New York</v>
      </c>
      <c r="V685" t="str">
        <f>TRIM(PROPER(Before_Tbl[[#This Row],[Status]]))</f>
        <v>Pending</v>
      </c>
      <c r="W685" s="26">
        <v>44728</v>
      </c>
      <c r="X685" s="4">
        <v>100897.49</v>
      </c>
      <c r="Y685" t="str">
        <f>TRIM(LOWER(Before_Tbl[[#This Row],[Email]]))</f>
        <v>bob.brown@example.com</v>
      </c>
      <c r="Z685" s="2" t="str">
        <f>SUBSTITUTE(Before_Tbl[[#This Row],[Phone]],"-","")</f>
        <v>4578715840</v>
      </c>
      <c r="AA685" t="str">
        <f>TRIM(PROPER(Before_Tbl[[#This Row],[Performance_Score]]))</f>
        <v>Average</v>
      </c>
      <c r="AB685" s="2" t="str">
        <f>TRIM(UPPER(Before_Tbl[[#This Row],[Remote_Work]]))</f>
        <v>TRUE</v>
      </c>
    </row>
    <row r="686" spans="1:28" x14ac:dyDescent="0.35">
      <c r="A686" t="s">
        <v>1173</v>
      </c>
      <c r="B686" t="s">
        <v>54</v>
      </c>
      <c r="C686" t="s">
        <v>122</v>
      </c>
      <c r="D686">
        <v>25</v>
      </c>
      <c r="E686" t="s">
        <v>227</v>
      </c>
      <c r="F686" t="s">
        <v>33</v>
      </c>
      <c r="G686" s="1">
        <v>44839</v>
      </c>
      <c r="H686">
        <v>71810.37</v>
      </c>
      <c r="I686" t="s">
        <v>194</v>
      </c>
      <c r="J686">
        <v>-5608213710</v>
      </c>
      <c r="K686" t="s">
        <v>18</v>
      </c>
      <c r="L686" t="b">
        <v>1</v>
      </c>
      <c r="P686" t="str">
        <f>TRIM(Before_Tbl[[#This Row],[Employee_ID]])</f>
        <v>EMP1684</v>
      </c>
      <c r="Q686" t="str">
        <f>TRIM(PROPER(Before_Tbl[[#This Row],[First_Name]]))</f>
        <v>Charlie</v>
      </c>
      <c r="R686" t="str">
        <f>TRIM(PROPER(Before_Tbl[[#This Row],[Last_Name]]))</f>
        <v>Smith</v>
      </c>
      <c r="S686" s="25">
        <f t="shared" si="10"/>
        <v>25</v>
      </c>
      <c r="T686" t="str">
        <f>LEFT(Before_Tbl[[#This Row],[Department_Region]],FIND("-",Before_Tbl[[#This Row],[Department_Region]])-1)</f>
        <v>Finance</v>
      </c>
      <c r="U686" t="str">
        <f>RIGHT(Before_Tbl[[#This Row],[Department_Region]],LEN(Before_Tbl[[#This Row],[Department_Region]])-FIND("-",Before_Tbl[[#This Row],[Department_Region]]))</f>
        <v>New York</v>
      </c>
      <c r="V686" t="str">
        <f>TRIM(PROPER(Before_Tbl[[#This Row],[Status]]))</f>
        <v>Inactive</v>
      </c>
      <c r="W686" s="26">
        <v>44839</v>
      </c>
      <c r="X686" s="4">
        <v>71810.37</v>
      </c>
      <c r="Y686" t="str">
        <f>TRIM(LOWER(Before_Tbl[[#This Row],[Email]]))</f>
        <v>charlie.smith@example.com</v>
      </c>
      <c r="Z686" s="2" t="str">
        <f>SUBSTITUTE(Before_Tbl[[#This Row],[Phone]],"-","")</f>
        <v>5608213710</v>
      </c>
      <c r="AA686" t="str">
        <f>TRIM(PROPER(Before_Tbl[[#This Row],[Performance_Score]]))</f>
        <v>Average</v>
      </c>
      <c r="AB686" s="2" t="str">
        <f>TRIM(UPPER(Before_Tbl[[#This Row],[Remote_Work]]))</f>
        <v>TRUE</v>
      </c>
    </row>
    <row r="687" spans="1:28" x14ac:dyDescent="0.35">
      <c r="A687" t="s">
        <v>1174</v>
      </c>
      <c r="B687" t="s">
        <v>37</v>
      </c>
      <c r="C687" t="s">
        <v>92</v>
      </c>
      <c r="D687">
        <v>40</v>
      </c>
      <c r="E687" t="s">
        <v>237</v>
      </c>
      <c r="F687" t="s">
        <v>33</v>
      </c>
      <c r="G687" t="s">
        <v>1175</v>
      </c>
      <c r="H687">
        <v>109048.24</v>
      </c>
      <c r="I687" t="s">
        <v>110</v>
      </c>
      <c r="J687">
        <v>-8425476817</v>
      </c>
      <c r="K687" t="s">
        <v>41</v>
      </c>
      <c r="L687" t="b">
        <v>0</v>
      </c>
      <c r="P687" t="str">
        <f>TRIM(Before_Tbl[[#This Row],[Employee_ID]])</f>
        <v>EMP1685</v>
      </c>
      <c r="Q687" t="str">
        <f>TRIM(PROPER(Before_Tbl[[#This Row],[First_Name]]))</f>
        <v>Frank</v>
      </c>
      <c r="R687" t="str">
        <f>TRIM(PROPER(Before_Tbl[[#This Row],[Last_Name]]))</f>
        <v>Miller</v>
      </c>
      <c r="S687" s="25">
        <f t="shared" si="10"/>
        <v>40</v>
      </c>
      <c r="T687" t="str">
        <f>LEFT(Before_Tbl[[#This Row],[Department_Region]],FIND("-",Before_Tbl[[#This Row],[Department_Region]])-1)</f>
        <v>DevOps</v>
      </c>
      <c r="U687" t="str">
        <f>RIGHT(Before_Tbl[[#This Row],[Department_Region]],LEN(Before_Tbl[[#This Row],[Department_Region]])-FIND("-",Before_Tbl[[#This Row],[Department_Region]]))</f>
        <v>Texas</v>
      </c>
      <c r="V687" t="str">
        <f>TRIM(PROPER(Before_Tbl[[#This Row],[Status]]))</f>
        <v>Inactive</v>
      </c>
      <c r="W687" s="26">
        <v>43995</v>
      </c>
      <c r="X687" s="4">
        <v>109048.24</v>
      </c>
      <c r="Y687" t="str">
        <f>TRIM(LOWER(Before_Tbl[[#This Row],[Email]]))</f>
        <v>frank.miller@example.com</v>
      </c>
      <c r="Z687" s="2" t="str">
        <f>SUBSTITUTE(Before_Tbl[[#This Row],[Phone]],"-","")</f>
        <v>8425476817</v>
      </c>
      <c r="AA687" t="str">
        <f>TRIM(PROPER(Before_Tbl[[#This Row],[Performance_Score]]))</f>
        <v>Poor</v>
      </c>
      <c r="AB687" s="2" t="str">
        <f>TRIM(UPPER(Before_Tbl[[#This Row],[Remote_Work]]))</f>
        <v>FALSE</v>
      </c>
    </row>
    <row r="688" spans="1:28" x14ac:dyDescent="0.35">
      <c r="A688" t="s">
        <v>1176</v>
      </c>
      <c r="B688" t="s">
        <v>25</v>
      </c>
      <c r="C688" t="s">
        <v>92</v>
      </c>
      <c r="D688">
        <v>35</v>
      </c>
      <c r="E688" t="s">
        <v>21</v>
      </c>
      <c r="F688" t="s">
        <v>28</v>
      </c>
      <c r="G688" t="s">
        <v>1177</v>
      </c>
      <c r="H688">
        <v>62712.26</v>
      </c>
      <c r="I688" t="s">
        <v>166</v>
      </c>
      <c r="J688">
        <v>-2683230357</v>
      </c>
      <c r="K688" t="s">
        <v>18</v>
      </c>
      <c r="L688" t="b">
        <v>0</v>
      </c>
      <c r="P688" t="str">
        <f>TRIM(Before_Tbl[[#This Row],[Employee_ID]])</f>
        <v>EMP1686</v>
      </c>
      <c r="Q688" t="str">
        <f>TRIM(PROPER(Before_Tbl[[#This Row],[First_Name]]))</f>
        <v>Alice</v>
      </c>
      <c r="R688" t="str">
        <f>TRIM(PROPER(Before_Tbl[[#This Row],[Last_Name]]))</f>
        <v>Miller</v>
      </c>
      <c r="S688" s="25">
        <f t="shared" si="10"/>
        <v>35</v>
      </c>
      <c r="T688" t="str">
        <f>LEFT(Before_Tbl[[#This Row],[Department_Region]],FIND("-",Before_Tbl[[#This Row],[Department_Region]])-1)</f>
        <v>Finance</v>
      </c>
      <c r="U688" t="str">
        <f>RIGHT(Before_Tbl[[#This Row],[Department_Region]],LEN(Before_Tbl[[#This Row],[Department_Region]])-FIND("-",Before_Tbl[[#This Row],[Department_Region]]))</f>
        <v>Texas</v>
      </c>
      <c r="V688" t="str">
        <f>TRIM(PROPER(Before_Tbl[[#This Row],[Status]]))</f>
        <v>Pending</v>
      </c>
      <c r="W688" s="26">
        <v>44793</v>
      </c>
      <c r="X688" s="4">
        <v>62712.26</v>
      </c>
      <c r="Y688" t="str">
        <f>TRIM(LOWER(Before_Tbl[[#This Row],[Email]]))</f>
        <v>alice.miller@example.com</v>
      </c>
      <c r="Z688" s="2" t="str">
        <f>SUBSTITUTE(Before_Tbl[[#This Row],[Phone]],"-","")</f>
        <v>2683230357</v>
      </c>
      <c r="AA688" t="str">
        <f>TRIM(PROPER(Before_Tbl[[#This Row],[Performance_Score]]))</f>
        <v>Average</v>
      </c>
      <c r="AB688" s="2" t="str">
        <f>TRIM(UPPER(Before_Tbl[[#This Row],[Remote_Work]]))</f>
        <v>FALSE</v>
      </c>
    </row>
    <row r="689" spans="1:28" x14ac:dyDescent="0.35">
      <c r="A689" t="s">
        <v>1178</v>
      </c>
      <c r="B689" t="s">
        <v>32</v>
      </c>
      <c r="C689" t="s">
        <v>26</v>
      </c>
      <c r="D689">
        <v>40</v>
      </c>
      <c r="E689" t="s">
        <v>159</v>
      </c>
      <c r="F689" t="s">
        <v>28</v>
      </c>
      <c r="G689" t="s">
        <v>116</v>
      </c>
      <c r="H689">
        <v>76935.850000000006</v>
      </c>
      <c r="I689" t="s">
        <v>278</v>
      </c>
      <c r="J689">
        <v>-9298808582</v>
      </c>
      <c r="K689" t="s">
        <v>30</v>
      </c>
      <c r="L689" t="b">
        <v>1</v>
      </c>
      <c r="P689" t="str">
        <f>TRIM(Before_Tbl[[#This Row],[Employee_ID]])</f>
        <v>EMP1687</v>
      </c>
      <c r="Q689" t="str">
        <f>TRIM(PROPER(Before_Tbl[[#This Row],[First_Name]]))</f>
        <v>Eva</v>
      </c>
      <c r="R689" t="str">
        <f>TRIM(PROPER(Before_Tbl[[#This Row],[Last_Name]]))</f>
        <v>Jones</v>
      </c>
      <c r="S689" s="25">
        <f t="shared" si="10"/>
        <v>40</v>
      </c>
      <c r="T689" t="str">
        <f>LEFT(Before_Tbl[[#This Row],[Department_Region]],FIND("-",Before_Tbl[[#This Row],[Department_Region]])-1)</f>
        <v>Cloud Tech</v>
      </c>
      <c r="U689" t="str">
        <f>RIGHT(Before_Tbl[[#This Row],[Department_Region]],LEN(Before_Tbl[[#This Row],[Department_Region]])-FIND("-",Before_Tbl[[#This Row],[Department_Region]]))</f>
        <v>Texas</v>
      </c>
      <c r="V689" t="str">
        <f>TRIM(PROPER(Before_Tbl[[#This Row],[Status]]))</f>
        <v>Pending</v>
      </c>
      <c r="W689" s="26">
        <v>44340</v>
      </c>
      <c r="X689" s="4">
        <v>76935.850000000006</v>
      </c>
      <c r="Y689" t="str">
        <f>TRIM(LOWER(Before_Tbl[[#This Row],[Email]]))</f>
        <v>eva.jones@example.com</v>
      </c>
      <c r="Z689" s="2" t="str">
        <f>SUBSTITUTE(Before_Tbl[[#This Row],[Phone]],"-","")</f>
        <v>9298808582</v>
      </c>
      <c r="AA689" t="str">
        <f>TRIM(PROPER(Before_Tbl[[#This Row],[Performance_Score]]))</f>
        <v>Good</v>
      </c>
      <c r="AB689" s="2" t="str">
        <f>TRIM(UPPER(Before_Tbl[[#This Row],[Remote_Work]]))</f>
        <v>TRUE</v>
      </c>
    </row>
    <row r="690" spans="1:28" x14ac:dyDescent="0.35">
      <c r="A690" t="s">
        <v>1179</v>
      </c>
      <c r="B690" t="s">
        <v>59</v>
      </c>
      <c r="C690" t="s">
        <v>14</v>
      </c>
      <c r="D690">
        <v>25</v>
      </c>
      <c r="E690" t="s">
        <v>205</v>
      </c>
      <c r="F690" t="s">
        <v>28</v>
      </c>
      <c r="G690" t="s">
        <v>1180</v>
      </c>
      <c r="H690">
        <v>56577.22</v>
      </c>
      <c r="I690" t="s">
        <v>63</v>
      </c>
      <c r="J690">
        <v>-8252129327</v>
      </c>
      <c r="K690" t="s">
        <v>41</v>
      </c>
      <c r="L690" t="b">
        <v>1</v>
      </c>
      <c r="P690" t="str">
        <f>TRIM(Before_Tbl[[#This Row],[Employee_ID]])</f>
        <v>EMP1688</v>
      </c>
      <c r="Q690" t="str">
        <f>TRIM(PROPER(Before_Tbl[[#This Row],[First_Name]]))</f>
        <v>David</v>
      </c>
      <c r="R690" t="str">
        <f>TRIM(PROPER(Before_Tbl[[#This Row],[Last_Name]]))</f>
        <v>Davis</v>
      </c>
      <c r="S690" s="25">
        <f t="shared" si="10"/>
        <v>25</v>
      </c>
      <c r="T690" t="str">
        <f>LEFT(Before_Tbl[[#This Row],[Department_Region]],FIND("-",Before_Tbl[[#This Row],[Department_Region]])-1)</f>
        <v>Admin</v>
      </c>
      <c r="U690" t="str">
        <f>RIGHT(Before_Tbl[[#This Row],[Department_Region]],LEN(Before_Tbl[[#This Row],[Department_Region]])-FIND("-",Before_Tbl[[#This Row],[Department_Region]]))</f>
        <v>Florida</v>
      </c>
      <c r="V690" t="str">
        <f>TRIM(PROPER(Before_Tbl[[#This Row],[Status]]))</f>
        <v>Pending</v>
      </c>
      <c r="W690" s="26">
        <v>45409</v>
      </c>
      <c r="X690" s="4">
        <v>56577.22</v>
      </c>
      <c r="Y690" t="str">
        <f>TRIM(LOWER(Before_Tbl[[#This Row],[Email]]))</f>
        <v>david.davis@example.com</v>
      </c>
      <c r="Z690" s="2" t="str">
        <f>SUBSTITUTE(Before_Tbl[[#This Row],[Phone]],"-","")</f>
        <v>8252129327</v>
      </c>
      <c r="AA690" t="str">
        <f>TRIM(PROPER(Before_Tbl[[#This Row],[Performance_Score]]))</f>
        <v>Poor</v>
      </c>
      <c r="AB690" s="2" t="str">
        <f>TRIM(UPPER(Before_Tbl[[#This Row],[Remote_Work]]))</f>
        <v>TRUE</v>
      </c>
    </row>
    <row r="691" spans="1:28" x14ac:dyDescent="0.35">
      <c r="A691" t="s">
        <v>1181</v>
      </c>
      <c r="B691" t="s">
        <v>59</v>
      </c>
      <c r="C691" t="s">
        <v>55</v>
      </c>
      <c r="D691">
        <v>40</v>
      </c>
      <c r="E691" t="s">
        <v>100</v>
      </c>
      <c r="F691" t="s">
        <v>33</v>
      </c>
      <c r="G691" t="s">
        <v>1182</v>
      </c>
      <c r="H691">
        <v>61102.8</v>
      </c>
      <c r="I691" t="s">
        <v>217</v>
      </c>
      <c r="J691">
        <v>-9634064685</v>
      </c>
      <c r="K691" t="s">
        <v>30</v>
      </c>
      <c r="L691" t="b">
        <v>1</v>
      </c>
      <c r="P691" t="str">
        <f>TRIM(Before_Tbl[[#This Row],[Employee_ID]])</f>
        <v>EMP1689</v>
      </c>
      <c r="Q691" t="str">
        <f>TRIM(PROPER(Before_Tbl[[#This Row],[First_Name]]))</f>
        <v>David</v>
      </c>
      <c r="R691" t="str">
        <f>TRIM(PROPER(Before_Tbl[[#This Row],[Last_Name]]))</f>
        <v>Johnson</v>
      </c>
      <c r="S691" s="25">
        <f t="shared" si="10"/>
        <v>40</v>
      </c>
      <c r="T691" t="str">
        <f>LEFT(Before_Tbl[[#This Row],[Department_Region]],FIND("-",Before_Tbl[[#This Row],[Department_Region]])-1)</f>
        <v>Finance</v>
      </c>
      <c r="U691" t="str">
        <f>RIGHT(Before_Tbl[[#This Row],[Department_Region]],LEN(Before_Tbl[[#This Row],[Department_Region]])-FIND("-",Before_Tbl[[#This Row],[Department_Region]]))</f>
        <v>Nevada</v>
      </c>
      <c r="V691" t="str">
        <f>TRIM(PROPER(Before_Tbl[[#This Row],[Status]]))</f>
        <v>Inactive</v>
      </c>
      <c r="W691" s="26">
        <v>44492</v>
      </c>
      <c r="X691" s="4">
        <v>61102.8</v>
      </c>
      <c r="Y691" t="str">
        <f>TRIM(LOWER(Before_Tbl[[#This Row],[Email]]))</f>
        <v>david.johnson@example.com</v>
      </c>
      <c r="Z691" s="2" t="str">
        <f>SUBSTITUTE(Before_Tbl[[#This Row],[Phone]],"-","")</f>
        <v>9634064685</v>
      </c>
      <c r="AA691" t="str">
        <f>TRIM(PROPER(Before_Tbl[[#This Row],[Performance_Score]]))</f>
        <v>Good</v>
      </c>
      <c r="AB691" s="2" t="str">
        <f>TRIM(UPPER(Before_Tbl[[#This Row],[Remote_Work]]))</f>
        <v>TRUE</v>
      </c>
    </row>
    <row r="692" spans="1:28" x14ac:dyDescent="0.35">
      <c r="A692" t="s">
        <v>1183</v>
      </c>
      <c r="B692" t="s">
        <v>13</v>
      </c>
      <c r="C692" t="s">
        <v>55</v>
      </c>
      <c r="D692">
        <v>35</v>
      </c>
      <c r="E692" t="s">
        <v>100</v>
      </c>
      <c r="F692" t="s">
        <v>33</v>
      </c>
      <c r="G692" s="1">
        <v>44471</v>
      </c>
      <c r="H692">
        <v>75229.87</v>
      </c>
      <c r="I692" t="s">
        <v>199</v>
      </c>
      <c r="J692">
        <v>-7752401483</v>
      </c>
      <c r="K692" t="s">
        <v>23</v>
      </c>
      <c r="L692" t="b">
        <v>1</v>
      </c>
      <c r="P692" t="str">
        <f>TRIM(Before_Tbl[[#This Row],[Employee_ID]])</f>
        <v>EMP1690</v>
      </c>
      <c r="Q692" t="str">
        <f>TRIM(PROPER(Before_Tbl[[#This Row],[First_Name]]))</f>
        <v>Bob</v>
      </c>
      <c r="R692" t="str">
        <f>TRIM(PROPER(Before_Tbl[[#This Row],[Last_Name]]))</f>
        <v>Johnson</v>
      </c>
      <c r="S692" s="25">
        <f t="shared" si="10"/>
        <v>35</v>
      </c>
      <c r="T692" t="str">
        <f>LEFT(Before_Tbl[[#This Row],[Department_Region]],FIND("-",Before_Tbl[[#This Row],[Department_Region]])-1)</f>
        <v>Finance</v>
      </c>
      <c r="U692" t="str">
        <f>RIGHT(Before_Tbl[[#This Row],[Department_Region]],LEN(Before_Tbl[[#This Row],[Department_Region]])-FIND("-",Before_Tbl[[#This Row],[Department_Region]]))</f>
        <v>Nevada</v>
      </c>
      <c r="V692" t="str">
        <f>TRIM(PROPER(Before_Tbl[[#This Row],[Status]]))</f>
        <v>Inactive</v>
      </c>
      <c r="W692" s="26">
        <v>44471</v>
      </c>
      <c r="X692" s="4">
        <v>75229.87</v>
      </c>
      <c r="Y692" t="str">
        <f>TRIM(LOWER(Before_Tbl[[#This Row],[Email]]))</f>
        <v>bob.johnson@example.com</v>
      </c>
      <c r="Z692" s="2" t="str">
        <f>SUBSTITUTE(Before_Tbl[[#This Row],[Phone]],"-","")</f>
        <v>7752401483</v>
      </c>
      <c r="AA692" t="str">
        <f>TRIM(PROPER(Before_Tbl[[#This Row],[Performance_Score]]))</f>
        <v>Excellent</v>
      </c>
      <c r="AB692" s="2" t="str">
        <f>TRIM(UPPER(Before_Tbl[[#This Row],[Remote_Work]]))</f>
        <v>TRUE</v>
      </c>
    </row>
    <row r="693" spans="1:28" x14ac:dyDescent="0.35">
      <c r="A693" t="s">
        <v>1184</v>
      </c>
      <c r="B693" t="s">
        <v>59</v>
      </c>
      <c r="C693" t="s">
        <v>92</v>
      </c>
      <c r="D693">
        <v>25</v>
      </c>
      <c r="E693" t="s">
        <v>27</v>
      </c>
      <c r="F693" t="s">
        <v>33</v>
      </c>
      <c r="G693" t="s">
        <v>1185</v>
      </c>
      <c r="H693">
        <v>51054.74</v>
      </c>
      <c r="I693" t="s">
        <v>107</v>
      </c>
      <c r="J693">
        <v>-3991062271</v>
      </c>
      <c r="K693" t="s">
        <v>23</v>
      </c>
      <c r="L693" t="b">
        <v>0</v>
      </c>
      <c r="P693" t="str">
        <f>TRIM(Before_Tbl[[#This Row],[Employee_ID]])</f>
        <v>EMP1691</v>
      </c>
      <c r="Q693" t="str">
        <f>TRIM(PROPER(Before_Tbl[[#This Row],[First_Name]]))</f>
        <v>David</v>
      </c>
      <c r="R693" t="str">
        <f>TRIM(PROPER(Before_Tbl[[#This Row],[Last_Name]]))</f>
        <v>Miller</v>
      </c>
      <c r="S693" s="25">
        <f t="shared" si="10"/>
        <v>25</v>
      </c>
      <c r="T693" t="str">
        <f>LEFT(Before_Tbl[[#This Row],[Department_Region]],FIND("-",Before_Tbl[[#This Row],[Department_Region]])-1)</f>
        <v>Admin</v>
      </c>
      <c r="U693" t="str">
        <f>RIGHT(Before_Tbl[[#This Row],[Department_Region]],LEN(Before_Tbl[[#This Row],[Department_Region]])-FIND("-",Before_Tbl[[#This Row],[Department_Region]]))</f>
        <v>Nevada</v>
      </c>
      <c r="V693" t="str">
        <f>TRIM(PROPER(Before_Tbl[[#This Row],[Status]]))</f>
        <v>Inactive</v>
      </c>
      <c r="W693" s="26">
        <v>44495</v>
      </c>
      <c r="X693" s="4">
        <v>51054.74</v>
      </c>
      <c r="Y693" t="str">
        <f>TRIM(LOWER(Before_Tbl[[#This Row],[Email]]))</f>
        <v>david.miller@example.com</v>
      </c>
      <c r="Z693" s="2" t="str">
        <f>SUBSTITUTE(Before_Tbl[[#This Row],[Phone]],"-","")</f>
        <v>3991062271</v>
      </c>
      <c r="AA693" t="str">
        <f>TRIM(PROPER(Before_Tbl[[#This Row],[Performance_Score]]))</f>
        <v>Excellent</v>
      </c>
      <c r="AB693" s="2" t="str">
        <f>TRIM(UPPER(Before_Tbl[[#This Row],[Remote_Work]]))</f>
        <v>FALSE</v>
      </c>
    </row>
    <row r="694" spans="1:28" x14ac:dyDescent="0.35">
      <c r="A694" t="s">
        <v>1186</v>
      </c>
      <c r="B694" t="s">
        <v>13</v>
      </c>
      <c r="C694" t="s">
        <v>26</v>
      </c>
      <c r="D694">
        <v>40</v>
      </c>
      <c r="E694" t="s">
        <v>103</v>
      </c>
      <c r="F694" t="s">
        <v>16</v>
      </c>
      <c r="G694" s="1">
        <v>45050</v>
      </c>
      <c r="H694">
        <v>104843.27</v>
      </c>
      <c r="I694" t="s">
        <v>50</v>
      </c>
      <c r="J694">
        <v>-3626693350</v>
      </c>
      <c r="K694" t="s">
        <v>23</v>
      </c>
      <c r="L694" t="b">
        <v>0</v>
      </c>
      <c r="P694" t="str">
        <f>TRIM(Before_Tbl[[#This Row],[Employee_ID]])</f>
        <v>EMP1692</v>
      </c>
      <c r="Q694" t="str">
        <f>TRIM(PROPER(Before_Tbl[[#This Row],[First_Name]]))</f>
        <v>Bob</v>
      </c>
      <c r="R694" t="str">
        <f>TRIM(PROPER(Before_Tbl[[#This Row],[Last_Name]]))</f>
        <v>Jones</v>
      </c>
      <c r="S694" s="25">
        <f t="shared" si="10"/>
        <v>40</v>
      </c>
      <c r="T694" t="str">
        <f>LEFT(Before_Tbl[[#This Row],[Department_Region]],FIND("-",Before_Tbl[[#This Row],[Department_Region]])-1)</f>
        <v>Admin</v>
      </c>
      <c r="U694" t="str">
        <f>RIGHT(Before_Tbl[[#This Row],[Department_Region]],LEN(Before_Tbl[[#This Row],[Department_Region]])-FIND("-",Before_Tbl[[#This Row],[Department_Region]]))</f>
        <v>Texas</v>
      </c>
      <c r="V694" t="str">
        <f>TRIM(PROPER(Before_Tbl[[#This Row],[Status]]))</f>
        <v>Active</v>
      </c>
      <c r="W694" s="26">
        <v>45050</v>
      </c>
      <c r="X694" s="4">
        <v>104843.27</v>
      </c>
      <c r="Y694" t="str">
        <f>TRIM(LOWER(Before_Tbl[[#This Row],[Email]]))</f>
        <v>bob.jones@example.com</v>
      </c>
      <c r="Z694" s="2" t="str">
        <f>SUBSTITUTE(Before_Tbl[[#This Row],[Phone]],"-","")</f>
        <v>3626693350</v>
      </c>
      <c r="AA694" t="str">
        <f>TRIM(PROPER(Before_Tbl[[#This Row],[Performance_Score]]))</f>
        <v>Excellent</v>
      </c>
      <c r="AB694" s="2" t="str">
        <f>TRIM(UPPER(Before_Tbl[[#This Row],[Remote_Work]]))</f>
        <v>FALSE</v>
      </c>
    </row>
    <row r="695" spans="1:28" x14ac:dyDescent="0.35">
      <c r="A695" t="s">
        <v>1187</v>
      </c>
      <c r="B695" t="s">
        <v>54</v>
      </c>
      <c r="C695" t="s">
        <v>20</v>
      </c>
      <c r="D695">
        <v>35</v>
      </c>
      <c r="E695" t="s">
        <v>60</v>
      </c>
      <c r="F695" t="s">
        <v>16</v>
      </c>
      <c r="G695" t="s">
        <v>1188</v>
      </c>
      <c r="H695">
        <v>56398.11</v>
      </c>
      <c r="I695" t="s">
        <v>125</v>
      </c>
      <c r="J695">
        <v>-3426192371</v>
      </c>
      <c r="K695" t="s">
        <v>23</v>
      </c>
      <c r="L695" t="b">
        <v>0</v>
      </c>
      <c r="P695" t="str">
        <f>TRIM(Before_Tbl[[#This Row],[Employee_ID]])</f>
        <v>EMP1693</v>
      </c>
      <c r="Q695" t="str">
        <f>TRIM(PROPER(Before_Tbl[[#This Row],[First_Name]]))</f>
        <v>Charlie</v>
      </c>
      <c r="R695" t="str">
        <f>TRIM(PROPER(Before_Tbl[[#This Row],[Last_Name]]))</f>
        <v>Brown</v>
      </c>
      <c r="S695" s="25">
        <f t="shared" si="10"/>
        <v>35</v>
      </c>
      <c r="T695" t="str">
        <f>LEFT(Before_Tbl[[#This Row],[Department_Region]],FIND("-",Before_Tbl[[#This Row],[Department_Region]])-1)</f>
        <v>Cloud Tech</v>
      </c>
      <c r="U695" t="str">
        <f>RIGHT(Before_Tbl[[#This Row],[Department_Region]],LEN(Before_Tbl[[#This Row],[Department_Region]])-FIND("-",Before_Tbl[[#This Row],[Department_Region]]))</f>
        <v>New York</v>
      </c>
      <c r="V695" t="str">
        <f>TRIM(PROPER(Before_Tbl[[#This Row],[Status]]))</f>
        <v>Active</v>
      </c>
      <c r="W695" s="26">
        <v>44854</v>
      </c>
      <c r="X695" s="4">
        <v>56398.11</v>
      </c>
      <c r="Y695" t="str">
        <f>TRIM(LOWER(Before_Tbl[[#This Row],[Email]]))</f>
        <v>charlie.brown@example.com</v>
      </c>
      <c r="Z695" s="2" t="str">
        <f>SUBSTITUTE(Before_Tbl[[#This Row],[Phone]],"-","")</f>
        <v>3426192371</v>
      </c>
      <c r="AA695" t="str">
        <f>TRIM(PROPER(Before_Tbl[[#This Row],[Performance_Score]]))</f>
        <v>Excellent</v>
      </c>
      <c r="AB695" s="2" t="str">
        <f>TRIM(UPPER(Before_Tbl[[#This Row],[Remote_Work]]))</f>
        <v>FALSE</v>
      </c>
    </row>
    <row r="696" spans="1:28" x14ac:dyDescent="0.35">
      <c r="A696" t="s">
        <v>1189</v>
      </c>
      <c r="B696" t="s">
        <v>25</v>
      </c>
      <c r="C696" t="s">
        <v>55</v>
      </c>
      <c r="D696">
        <v>25</v>
      </c>
      <c r="E696" t="s">
        <v>149</v>
      </c>
      <c r="F696" t="s">
        <v>16</v>
      </c>
      <c r="G696" s="1">
        <v>45119</v>
      </c>
      <c r="H696">
        <v>87544.73</v>
      </c>
      <c r="I696" t="s">
        <v>150</v>
      </c>
      <c r="J696">
        <v>-4501848196</v>
      </c>
      <c r="K696" t="s">
        <v>30</v>
      </c>
      <c r="L696" t="b">
        <v>0</v>
      </c>
      <c r="P696" t="str">
        <f>TRIM(Before_Tbl[[#This Row],[Employee_ID]])</f>
        <v>EMP1694</v>
      </c>
      <c r="Q696" t="str">
        <f>TRIM(PROPER(Before_Tbl[[#This Row],[First_Name]]))</f>
        <v>Alice</v>
      </c>
      <c r="R696" t="str">
        <f>TRIM(PROPER(Before_Tbl[[#This Row],[Last_Name]]))</f>
        <v>Johnson</v>
      </c>
      <c r="S696" s="25">
        <f t="shared" si="10"/>
        <v>25</v>
      </c>
      <c r="T696" t="str">
        <f>LEFT(Before_Tbl[[#This Row],[Department_Region]],FIND("-",Before_Tbl[[#This Row],[Department_Region]])-1)</f>
        <v>HR</v>
      </c>
      <c r="U696" t="str">
        <f>RIGHT(Before_Tbl[[#This Row],[Department_Region]],LEN(Before_Tbl[[#This Row],[Department_Region]])-FIND("-",Before_Tbl[[#This Row],[Department_Region]]))</f>
        <v>Nevada</v>
      </c>
      <c r="V696" t="str">
        <f>TRIM(PROPER(Before_Tbl[[#This Row],[Status]]))</f>
        <v>Active</v>
      </c>
      <c r="W696" s="26">
        <v>45119</v>
      </c>
      <c r="X696" s="4">
        <v>87544.73</v>
      </c>
      <c r="Y696" t="str">
        <f>TRIM(LOWER(Before_Tbl[[#This Row],[Email]]))</f>
        <v>alice.johnson@example.com</v>
      </c>
      <c r="Z696" s="2" t="str">
        <f>SUBSTITUTE(Before_Tbl[[#This Row],[Phone]],"-","")</f>
        <v>4501848196</v>
      </c>
      <c r="AA696" t="str">
        <f>TRIM(PROPER(Before_Tbl[[#This Row],[Performance_Score]]))</f>
        <v>Good</v>
      </c>
      <c r="AB696" s="2" t="str">
        <f>TRIM(UPPER(Before_Tbl[[#This Row],[Remote_Work]]))</f>
        <v>FALSE</v>
      </c>
    </row>
    <row r="697" spans="1:28" x14ac:dyDescent="0.35">
      <c r="A697" t="s">
        <v>1190</v>
      </c>
      <c r="B697" t="s">
        <v>65</v>
      </c>
      <c r="C697" t="s">
        <v>20</v>
      </c>
      <c r="D697">
        <v>30</v>
      </c>
      <c r="E697" t="s">
        <v>192</v>
      </c>
      <c r="F697" t="s">
        <v>28</v>
      </c>
      <c r="G697" t="s">
        <v>312</v>
      </c>
      <c r="H697">
        <v>74312.240000000005</v>
      </c>
      <c r="I697" t="s">
        <v>404</v>
      </c>
      <c r="J697">
        <v>-3741897214</v>
      </c>
      <c r="K697" t="s">
        <v>41</v>
      </c>
      <c r="L697" t="b">
        <v>0</v>
      </c>
      <c r="P697" t="str">
        <f>TRIM(Before_Tbl[[#This Row],[Employee_ID]])</f>
        <v>EMP1695</v>
      </c>
      <c r="Q697" t="str">
        <f>TRIM(PROPER(Before_Tbl[[#This Row],[First_Name]]))</f>
        <v>Heidi</v>
      </c>
      <c r="R697" t="str">
        <f>TRIM(PROPER(Before_Tbl[[#This Row],[Last_Name]]))</f>
        <v>Brown</v>
      </c>
      <c r="S697" s="25">
        <f t="shared" si="10"/>
        <v>30</v>
      </c>
      <c r="T697" t="str">
        <f>LEFT(Before_Tbl[[#This Row],[Department_Region]],FIND("-",Before_Tbl[[#This Row],[Department_Region]])-1)</f>
        <v>HR</v>
      </c>
      <c r="U697" t="str">
        <f>RIGHT(Before_Tbl[[#This Row],[Department_Region]],LEN(Before_Tbl[[#This Row],[Department_Region]])-FIND("-",Before_Tbl[[#This Row],[Department_Region]]))</f>
        <v>Illinois</v>
      </c>
      <c r="V697" t="str">
        <f>TRIM(PROPER(Before_Tbl[[#This Row],[Status]]))</f>
        <v>Pending</v>
      </c>
      <c r="W697" s="26">
        <v>45380</v>
      </c>
      <c r="X697" s="4">
        <v>74312.240000000005</v>
      </c>
      <c r="Y697" t="str">
        <f>TRIM(LOWER(Before_Tbl[[#This Row],[Email]]))</f>
        <v>heidi.brown@example.com</v>
      </c>
      <c r="Z697" s="2" t="str">
        <f>SUBSTITUTE(Before_Tbl[[#This Row],[Phone]],"-","")</f>
        <v>3741897214</v>
      </c>
      <c r="AA697" t="str">
        <f>TRIM(PROPER(Before_Tbl[[#This Row],[Performance_Score]]))</f>
        <v>Poor</v>
      </c>
      <c r="AB697" s="2" t="str">
        <f>TRIM(UPPER(Before_Tbl[[#This Row],[Remote_Work]]))</f>
        <v>FALSE</v>
      </c>
    </row>
    <row r="698" spans="1:28" x14ac:dyDescent="0.35">
      <c r="A698" t="s">
        <v>1191</v>
      </c>
      <c r="B698" t="s">
        <v>59</v>
      </c>
      <c r="C698" t="s">
        <v>14</v>
      </c>
      <c r="D698">
        <v>25</v>
      </c>
      <c r="E698" t="s">
        <v>230</v>
      </c>
      <c r="F698" t="s">
        <v>33</v>
      </c>
      <c r="G698" t="s">
        <v>1192</v>
      </c>
      <c r="H698">
        <v>59431.25</v>
      </c>
      <c r="I698" t="s">
        <v>63</v>
      </c>
      <c r="J698">
        <v>-4064176926</v>
      </c>
      <c r="K698" t="s">
        <v>41</v>
      </c>
      <c r="L698" t="b">
        <v>1</v>
      </c>
      <c r="P698" t="str">
        <f>TRIM(Before_Tbl[[#This Row],[Employee_ID]])</f>
        <v>EMP1696</v>
      </c>
      <c r="Q698" t="str">
        <f>TRIM(PROPER(Before_Tbl[[#This Row],[First_Name]]))</f>
        <v>David</v>
      </c>
      <c r="R698" t="str">
        <f>TRIM(PROPER(Before_Tbl[[#This Row],[Last_Name]]))</f>
        <v>Davis</v>
      </c>
      <c r="S698" s="25">
        <f t="shared" si="10"/>
        <v>25</v>
      </c>
      <c r="T698" t="str">
        <f>LEFT(Before_Tbl[[#This Row],[Department_Region]],FIND("-",Before_Tbl[[#This Row],[Department_Region]])-1)</f>
        <v>DevOps</v>
      </c>
      <c r="U698" t="str">
        <f>RIGHT(Before_Tbl[[#This Row],[Department_Region]],LEN(Before_Tbl[[#This Row],[Department_Region]])-FIND("-",Before_Tbl[[#This Row],[Department_Region]]))</f>
        <v>Florida</v>
      </c>
      <c r="V698" t="str">
        <f>TRIM(PROPER(Before_Tbl[[#This Row],[Status]]))</f>
        <v>Inactive</v>
      </c>
      <c r="W698" s="26">
        <v>45314</v>
      </c>
      <c r="X698" s="4">
        <v>59431.25</v>
      </c>
      <c r="Y698" t="str">
        <f>TRIM(LOWER(Before_Tbl[[#This Row],[Email]]))</f>
        <v>david.davis@example.com</v>
      </c>
      <c r="Z698" s="2" t="str">
        <f>SUBSTITUTE(Before_Tbl[[#This Row],[Phone]],"-","")</f>
        <v>4064176926</v>
      </c>
      <c r="AA698" t="str">
        <f>TRIM(PROPER(Before_Tbl[[#This Row],[Performance_Score]]))</f>
        <v>Poor</v>
      </c>
      <c r="AB698" s="2" t="str">
        <f>TRIM(UPPER(Before_Tbl[[#This Row],[Remote_Work]]))</f>
        <v>TRUE</v>
      </c>
    </row>
    <row r="699" spans="1:28" x14ac:dyDescent="0.35">
      <c r="A699" t="s">
        <v>1193</v>
      </c>
      <c r="B699" t="s">
        <v>65</v>
      </c>
      <c r="C699" t="s">
        <v>55</v>
      </c>
      <c r="D699">
        <v>40</v>
      </c>
      <c r="E699" t="s">
        <v>177</v>
      </c>
      <c r="F699" t="s">
        <v>28</v>
      </c>
      <c r="G699" t="s">
        <v>1194</v>
      </c>
      <c r="H699">
        <v>84306.44</v>
      </c>
      <c r="I699" t="s">
        <v>113</v>
      </c>
      <c r="J699">
        <v>-4381199536</v>
      </c>
      <c r="K699" t="s">
        <v>18</v>
      </c>
      <c r="L699" t="b">
        <v>0</v>
      </c>
      <c r="P699" t="str">
        <f>TRIM(Before_Tbl[[#This Row],[Employee_ID]])</f>
        <v>EMP1697</v>
      </c>
      <c r="Q699" t="str">
        <f>TRIM(PROPER(Before_Tbl[[#This Row],[First_Name]]))</f>
        <v>Heidi</v>
      </c>
      <c r="R699" t="str">
        <f>TRIM(PROPER(Before_Tbl[[#This Row],[Last_Name]]))</f>
        <v>Johnson</v>
      </c>
      <c r="S699" s="25">
        <f t="shared" si="10"/>
        <v>40</v>
      </c>
      <c r="T699" t="str">
        <f>LEFT(Before_Tbl[[#This Row],[Department_Region]],FIND("-",Before_Tbl[[#This Row],[Department_Region]])-1)</f>
        <v>Sales</v>
      </c>
      <c r="U699" t="str">
        <f>RIGHT(Before_Tbl[[#This Row],[Department_Region]],LEN(Before_Tbl[[#This Row],[Department_Region]])-FIND("-",Before_Tbl[[#This Row],[Department_Region]]))</f>
        <v>California</v>
      </c>
      <c r="V699" t="str">
        <f>TRIM(PROPER(Before_Tbl[[#This Row],[Status]]))</f>
        <v>Pending</v>
      </c>
      <c r="W699" s="26">
        <v>45258</v>
      </c>
      <c r="X699" s="4">
        <v>84306.44</v>
      </c>
      <c r="Y699" t="str">
        <f>TRIM(LOWER(Before_Tbl[[#This Row],[Email]]))</f>
        <v>heidi.johnson@example.com</v>
      </c>
      <c r="Z699" s="2" t="str">
        <f>SUBSTITUTE(Before_Tbl[[#This Row],[Phone]],"-","")</f>
        <v>4381199536</v>
      </c>
      <c r="AA699" t="str">
        <f>TRIM(PROPER(Before_Tbl[[#This Row],[Performance_Score]]))</f>
        <v>Average</v>
      </c>
      <c r="AB699" s="2" t="str">
        <f>TRIM(UPPER(Before_Tbl[[#This Row],[Remote_Work]]))</f>
        <v>FALSE</v>
      </c>
    </row>
    <row r="700" spans="1:28" x14ac:dyDescent="0.35">
      <c r="A700" t="s">
        <v>1195</v>
      </c>
      <c r="B700" t="s">
        <v>37</v>
      </c>
      <c r="C700" t="s">
        <v>55</v>
      </c>
      <c r="D700">
        <v>35</v>
      </c>
      <c r="E700" t="s">
        <v>230</v>
      </c>
      <c r="F700" t="s">
        <v>33</v>
      </c>
      <c r="G700" s="1">
        <v>45607</v>
      </c>
      <c r="H700">
        <v>108194.47</v>
      </c>
      <c r="I700" t="s">
        <v>271</v>
      </c>
      <c r="J700">
        <v>-6601444855</v>
      </c>
      <c r="K700" t="s">
        <v>30</v>
      </c>
      <c r="L700" t="b">
        <v>0</v>
      </c>
      <c r="P700" t="str">
        <f>TRIM(Before_Tbl[[#This Row],[Employee_ID]])</f>
        <v>EMP1698</v>
      </c>
      <c r="Q700" t="str">
        <f>TRIM(PROPER(Before_Tbl[[#This Row],[First_Name]]))</f>
        <v>Frank</v>
      </c>
      <c r="R700" t="str">
        <f>TRIM(PROPER(Before_Tbl[[#This Row],[Last_Name]]))</f>
        <v>Johnson</v>
      </c>
      <c r="S700" s="25">
        <f t="shared" si="10"/>
        <v>35</v>
      </c>
      <c r="T700" t="str">
        <f>LEFT(Before_Tbl[[#This Row],[Department_Region]],FIND("-",Before_Tbl[[#This Row],[Department_Region]])-1)</f>
        <v>DevOps</v>
      </c>
      <c r="U700" t="str">
        <f>RIGHT(Before_Tbl[[#This Row],[Department_Region]],LEN(Before_Tbl[[#This Row],[Department_Region]])-FIND("-",Before_Tbl[[#This Row],[Department_Region]]))</f>
        <v>Florida</v>
      </c>
      <c r="V700" t="str">
        <f>TRIM(PROPER(Before_Tbl[[#This Row],[Status]]))</f>
        <v>Inactive</v>
      </c>
      <c r="W700" s="26">
        <v>45607</v>
      </c>
      <c r="X700" s="4">
        <v>108194.47</v>
      </c>
      <c r="Y700" t="str">
        <f>TRIM(LOWER(Before_Tbl[[#This Row],[Email]]))</f>
        <v>frank.johnson@example.com</v>
      </c>
      <c r="Z700" s="2" t="str">
        <f>SUBSTITUTE(Before_Tbl[[#This Row],[Phone]],"-","")</f>
        <v>6601444855</v>
      </c>
      <c r="AA700" t="str">
        <f>TRIM(PROPER(Before_Tbl[[#This Row],[Performance_Score]]))</f>
        <v>Good</v>
      </c>
      <c r="AB700" s="2" t="str">
        <f>TRIM(UPPER(Before_Tbl[[#This Row],[Remote_Work]]))</f>
        <v>FALSE</v>
      </c>
    </row>
    <row r="701" spans="1:28" x14ac:dyDescent="0.35">
      <c r="A701" t="s">
        <v>1196</v>
      </c>
      <c r="B701" t="s">
        <v>54</v>
      </c>
      <c r="C701" t="s">
        <v>38</v>
      </c>
      <c r="D701">
        <v>25</v>
      </c>
      <c r="E701" t="s">
        <v>109</v>
      </c>
      <c r="F701" t="s">
        <v>33</v>
      </c>
      <c r="G701" t="s">
        <v>700</v>
      </c>
      <c r="H701">
        <v>107359.3</v>
      </c>
      <c r="I701" t="s">
        <v>90</v>
      </c>
      <c r="J701">
        <v>-4510173972</v>
      </c>
      <c r="K701" t="s">
        <v>23</v>
      </c>
      <c r="L701" t="b">
        <v>0</v>
      </c>
      <c r="P701" t="str">
        <f>TRIM(Before_Tbl[[#This Row],[Employee_ID]])</f>
        <v>EMP1699</v>
      </c>
      <c r="Q701" t="str">
        <f>TRIM(PROPER(Before_Tbl[[#This Row],[First_Name]]))</f>
        <v>Charlie</v>
      </c>
      <c r="R701" t="str">
        <f>TRIM(PROPER(Before_Tbl[[#This Row],[Last_Name]]))</f>
        <v>Williams</v>
      </c>
      <c r="S701" s="25">
        <f t="shared" si="10"/>
        <v>25</v>
      </c>
      <c r="T701" t="str">
        <f>LEFT(Before_Tbl[[#This Row],[Department_Region]],FIND("-",Before_Tbl[[#This Row],[Department_Region]])-1)</f>
        <v>Sales</v>
      </c>
      <c r="U701" t="str">
        <f>RIGHT(Before_Tbl[[#This Row],[Department_Region]],LEN(Before_Tbl[[#This Row],[Department_Region]])-FIND("-",Before_Tbl[[#This Row],[Department_Region]]))</f>
        <v>New York</v>
      </c>
      <c r="V701" t="str">
        <f>TRIM(PROPER(Before_Tbl[[#This Row],[Status]]))</f>
        <v>Inactive</v>
      </c>
      <c r="W701" s="26">
        <v>44436</v>
      </c>
      <c r="X701" s="4">
        <v>107359.3</v>
      </c>
      <c r="Y701" t="str">
        <f>TRIM(LOWER(Before_Tbl[[#This Row],[Email]]))</f>
        <v>charlie.williams@example.com</v>
      </c>
      <c r="Z701" s="2" t="str">
        <f>SUBSTITUTE(Before_Tbl[[#This Row],[Phone]],"-","")</f>
        <v>4510173972</v>
      </c>
      <c r="AA701" t="str">
        <f>TRIM(PROPER(Before_Tbl[[#This Row],[Performance_Score]]))</f>
        <v>Excellent</v>
      </c>
      <c r="AB701" s="2" t="str">
        <f>TRIM(UPPER(Before_Tbl[[#This Row],[Remote_Work]]))</f>
        <v>FALSE</v>
      </c>
    </row>
    <row r="702" spans="1:28" x14ac:dyDescent="0.35">
      <c r="A702" t="s">
        <v>1197</v>
      </c>
      <c r="B702" t="s">
        <v>65</v>
      </c>
      <c r="C702" t="s">
        <v>55</v>
      </c>
      <c r="D702">
        <v>25</v>
      </c>
      <c r="E702" t="s">
        <v>78</v>
      </c>
      <c r="F702" t="s">
        <v>33</v>
      </c>
      <c r="G702" s="1">
        <v>45598</v>
      </c>
      <c r="H702" t="s">
        <v>277</v>
      </c>
      <c r="I702" t="s">
        <v>113</v>
      </c>
      <c r="J702">
        <v>-9641789968</v>
      </c>
      <c r="K702" t="s">
        <v>30</v>
      </c>
      <c r="L702" t="b">
        <v>0</v>
      </c>
      <c r="P702" t="str">
        <f>TRIM(Before_Tbl[[#This Row],[Employee_ID]])</f>
        <v>EMP1700</v>
      </c>
      <c r="Q702" t="str">
        <f>TRIM(PROPER(Before_Tbl[[#This Row],[First_Name]]))</f>
        <v>Heidi</v>
      </c>
      <c r="R702" t="str">
        <f>TRIM(PROPER(Before_Tbl[[#This Row],[Last_Name]]))</f>
        <v>Johnson</v>
      </c>
      <c r="S702" s="25">
        <f t="shared" si="10"/>
        <v>25</v>
      </c>
      <c r="T702" t="str">
        <f>LEFT(Before_Tbl[[#This Row],[Department_Region]],FIND("-",Before_Tbl[[#This Row],[Department_Region]])-1)</f>
        <v>DevOps</v>
      </c>
      <c r="U702" t="str">
        <f>RIGHT(Before_Tbl[[#This Row],[Department_Region]],LEN(Before_Tbl[[#This Row],[Department_Region]])-FIND("-",Before_Tbl[[#This Row],[Department_Region]]))</f>
        <v>Illinois</v>
      </c>
      <c r="V702" t="str">
        <f>TRIM(PROPER(Before_Tbl[[#This Row],[Status]]))</f>
        <v>Inactive</v>
      </c>
      <c r="W702" s="26">
        <v>45598</v>
      </c>
      <c r="X702" s="4"/>
      <c r="Y702" t="str">
        <f>TRIM(LOWER(Before_Tbl[[#This Row],[Email]]))</f>
        <v>heidi.johnson@example.com</v>
      </c>
      <c r="Z702" s="2" t="str">
        <f>SUBSTITUTE(Before_Tbl[[#This Row],[Phone]],"-","")</f>
        <v>9641789968</v>
      </c>
      <c r="AA702" t="str">
        <f>TRIM(PROPER(Before_Tbl[[#This Row],[Performance_Score]]))</f>
        <v>Good</v>
      </c>
      <c r="AB702" s="2" t="str">
        <f>TRIM(UPPER(Before_Tbl[[#This Row],[Remote_Work]]))</f>
        <v>FALSE</v>
      </c>
    </row>
    <row r="703" spans="1:28" x14ac:dyDescent="0.35">
      <c r="A703" t="s">
        <v>1198</v>
      </c>
      <c r="B703" t="s">
        <v>37</v>
      </c>
      <c r="C703" t="s">
        <v>43</v>
      </c>
      <c r="E703" t="s">
        <v>118</v>
      </c>
      <c r="F703" t="s">
        <v>28</v>
      </c>
      <c r="G703" s="1">
        <v>44079</v>
      </c>
      <c r="H703">
        <v>96080.26</v>
      </c>
      <c r="I703" t="s">
        <v>180</v>
      </c>
      <c r="J703">
        <v>-8609191910</v>
      </c>
      <c r="K703" t="s">
        <v>18</v>
      </c>
      <c r="L703" t="b">
        <v>0</v>
      </c>
      <c r="P703" t="str">
        <f>TRIM(Before_Tbl[[#This Row],[Employee_ID]])</f>
        <v>EMP1701</v>
      </c>
      <c r="Q703" t="str">
        <f>TRIM(PROPER(Before_Tbl[[#This Row],[First_Name]]))</f>
        <v>Frank</v>
      </c>
      <c r="R703" t="str">
        <f>TRIM(PROPER(Before_Tbl[[#This Row],[Last_Name]]))</f>
        <v>Garcia</v>
      </c>
      <c r="S703" s="25">
        <f t="shared" si="10"/>
        <v>30</v>
      </c>
      <c r="T703" t="str">
        <f>LEFT(Before_Tbl[[#This Row],[Department_Region]],FIND("-",Before_Tbl[[#This Row],[Department_Region]])-1)</f>
        <v>Admin</v>
      </c>
      <c r="U703" t="str">
        <f>RIGHT(Before_Tbl[[#This Row],[Department_Region]],LEN(Before_Tbl[[#This Row],[Department_Region]])-FIND("-",Before_Tbl[[#This Row],[Department_Region]]))</f>
        <v>California</v>
      </c>
      <c r="V703" t="str">
        <f>TRIM(PROPER(Before_Tbl[[#This Row],[Status]]))</f>
        <v>Pending</v>
      </c>
      <c r="W703" s="26">
        <v>44079</v>
      </c>
      <c r="X703" s="4">
        <v>96080.26</v>
      </c>
      <c r="Y703" t="str">
        <f>TRIM(LOWER(Before_Tbl[[#This Row],[Email]]))</f>
        <v>frank.garcia@example.com</v>
      </c>
      <c r="Z703" s="2" t="str">
        <f>SUBSTITUTE(Before_Tbl[[#This Row],[Phone]],"-","")</f>
        <v>8609191910</v>
      </c>
      <c r="AA703" t="str">
        <f>TRIM(PROPER(Before_Tbl[[#This Row],[Performance_Score]]))</f>
        <v>Average</v>
      </c>
      <c r="AB703" s="2" t="str">
        <f>TRIM(UPPER(Before_Tbl[[#This Row],[Remote_Work]]))</f>
        <v>FALSE</v>
      </c>
    </row>
    <row r="704" spans="1:28" x14ac:dyDescent="0.35">
      <c r="A704" t="s">
        <v>1199</v>
      </c>
      <c r="B704" t="s">
        <v>69</v>
      </c>
      <c r="C704" t="s">
        <v>122</v>
      </c>
      <c r="D704">
        <v>30</v>
      </c>
      <c r="E704" t="s">
        <v>219</v>
      </c>
      <c r="F704" t="s">
        <v>33</v>
      </c>
      <c r="G704" t="s">
        <v>616</v>
      </c>
      <c r="H704">
        <v>88602.75</v>
      </c>
      <c r="I704" t="s">
        <v>135</v>
      </c>
      <c r="J704">
        <v>-3599660576</v>
      </c>
      <c r="K704" t="s">
        <v>18</v>
      </c>
      <c r="L704" t="b">
        <v>1</v>
      </c>
      <c r="P704" t="str">
        <f>TRIM(Before_Tbl[[#This Row],[Employee_ID]])</f>
        <v>EMP1702</v>
      </c>
      <c r="Q704" t="str">
        <f>TRIM(PROPER(Before_Tbl[[#This Row],[First_Name]]))</f>
        <v>Grace</v>
      </c>
      <c r="R704" t="str">
        <f>TRIM(PROPER(Before_Tbl[[#This Row],[Last_Name]]))</f>
        <v>Smith</v>
      </c>
      <c r="S704" s="25">
        <f t="shared" si="10"/>
        <v>30</v>
      </c>
      <c r="T704" t="str">
        <f>LEFT(Before_Tbl[[#This Row],[Department_Region]],FIND("-",Before_Tbl[[#This Row],[Department_Region]])-1)</f>
        <v>Sales</v>
      </c>
      <c r="U704" t="str">
        <f>RIGHT(Before_Tbl[[#This Row],[Department_Region]],LEN(Before_Tbl[[#This Row],[Department_Region]])-FIND("-",Before_Tbl[[#This Row],[Department_Region]]))</f>
        <v>Nevada</v>
      </c>
      <c r="V704" t="str">
        <f>TRIM(PROPER(Before_Tbl[[#This Row],[Status]]))</f>
        <v>Inactive</v>
      </c>
      <c r="W704" s="26">
        <v>45399</v>
      </c>
      <c r="X704" s="4">
        <v>88602.75</v>
      </c>
      <c r="Y704" t="str">
        <f>TRIM(LOWER(Before_Tbl[[#This Row],[Email]]))</f>
        <v>grace.smith@example.com</v>
      </c>
      <c r="Z704" s="2" t="str">
        <f>SUBSTITUTE(Before_Tbl[[#This Row],[Phone]],"-","")</f>
        <v>3599660576</v>
      </c>
      <c r="AA704" t="str">
        <f>TRIM(PROPER(Before_Tbl[[#This Row],[Performance_Score]]))</f>
        <v>Average</v>
      </c>
      <c r="AB704" s="2" t="str">
        <f>TRIM(UPPER(Before_Tbl[[#This Row],[Remote_Work]]))</f>
        <v>TRUE</v>
      </c>
    </row>
    <row r="705" spans="1:28" x14ac:dyDescent="0.35">
      <c r="A705" t="s">
        <v>1200</v>
      </c>
      <c r="B705" t="s">
        <v>37</v>
      </c>
      <c r="C705" t="s">
        <v>43</v>
      </c>
      <c r="D705">
        <v>40</v>
      </c>
      <c r="E705" t="s">
        <v>15</v>
      </c>
      <c r="F705" t="s">
        <v>16</v>
      </c>
      <c r="G705" t="s">
        <v>1201</v>
      </c>
      <c r="H705">
        <v>86624.04</v>
      </c>
      <c r="I705" t="s">
        <v>180</v>
      </c>
      <c r="J705">
        <v>-9806603919</v>
      </c>
      <c r="K705" t="s">
        <v>30</v>
      </c>
      <c r="L705" t="b">
        <v>1</v>
      </c>
      <c r="P705" t="str">
        <f>TRIM(Before_Tbl[[#This Row],[Employee_ID]])</f>
        <v>EMP1703</v>
      </c>
      <c r="Q705" t="str">
        <f>TRIM(PROPER(Before_Tbl[[#This Row],[First_Name]]))</f>
        <v>Frank</v>
      </c>
      <c r="R705" t="str">
        <f>TRIM(PROPER(Before_Tbl[[#This Row],[Last_Name]]))</f>
        <v>Garcia</v>
      </c>
      <c r="S705" s="25">
        <f t="shared" si="10"/>
        <v>40</v>
      </c>
      <c r="T705" t="str">
        <f>LEFT(Before_Tbl[[#This Row],[Department_Region]],FIND("-",Before_Tbl[[#This Row],[Department_Region]])-1)</f>
        <v>DevOps</v>
      </c>
      <c r="U705" t="str">
        <f>RIGHT(Before_Tbl[[#This Row],[Department_Region]],LEN(Before_Tbl[[#This Row],[Department_Region]])-FIND("-",Before_Tbl[[#This Row],[Department_Region]]))</f>
        <v>California</v>
      </c>
      <c r="V705" t="str">
        <f>TRIM(PROPER(Before_Tbl[[#This Row],[Status]]))</f>
        <v>Active</v>
      </c>
      <c r="W705" s="26">
        <v>44028</v>
      </c>
      <c r="X705" s="4">
        <v>86624.04</v>
      </c>
      <c r="Y705" t="str">
        <f>TRIM(LOWER(Before_Tbl[[#This Row],[Email]]))</f>
        <v>frank.garcia@example.com</v>
      </c>
      <c r="Z705" s="2" t="str">
        <f>SUBSTITUTE(Before_Tbl[[#This Row],[Phone]],"-","")</f>
        <v>9806603919</v>
      </c>
      <c r="AA705" t="str">
        <f>TRIM(PROPER(Before_Tbl[[#This Row],[Performance_Score]]))</f>
        <v>Good</v>
      </c>
      <c r="AB705" s="2" t="str">
        <f>TRIM(UPPER(Before_Tbl[[#This Row],[Remote_Work]]))</f>
        <v>TRUE</v>
      </c>
    </row>
    <row r="706" spans="1:28" x14ac:dyDescent="0.35">
      <c r="A706" t="s">
        <v>1202</v>
      </c>
      <c r="B706" t="s">
        <v>54</v>
      </c>
      <c r="C706" t="s">
        <v>26</v>
      </c>
      <c r="D706">
        <v>30</v>
      </c>
      <c r="E706" t="s">
        <v>60</v>
      </c>
      <c r="F706" t="s">
        <v>16</v>
      </c>
      <c r="G706" t="s">
        <v>224</v>
      </c>
      <c r="H706">
        <v>63413.16</v>
      </c>
      <c r="I706" t="s">
        <v>120</v>
      </c>
      <c r="J706">
        <v>-5146074554</v>
      </c>
      <c r="K706" t="s">
        <v>30</v>
      </c>
      <c r="L706" t="b">
        <v>1</v>
      </c>
      <c r="P706" t="str">
        <f>TRIM(Before_Tbl[[#This Row],[Employee_ID]])</f>
        <v>EMP1704</v>
      </c>
      <c r="Q706" t="str">
        <f>TRIM(PROPER(Before_Tbl[[#This Row],[First_Name]]))</f>
        <v>Charlie</v>
      </c>
      <c r="R706" t="str">
        <f>TRIM(PROPER(Before_Tbl[[#This Row],[Last_Name]]))</f>
        <v>Jones</v>
      </c>
      <c r="S706" s="25">
        <f t="shared" ref="S706:S769" si="11">IF(ISBLANK(D706),30,D706)</f>
        <v>30</v>
      </c>
      <c r="T706" t="str">
        <f>LEFT(Before_Tbl[[#This Row],[Department_Region]],FIND("-",Before_Tbl[[#This Row],[Department_Region]])-1)</f>
        <v>Cloud Tech</v>
      </c>
      <c r="U706" t="str">
        <f>RIGHT(Before_Tbl[[#This Row],[Department_Region]],LEN(Before_Tbl[[#This Row],[Department_Region]])-FIND("-",Before_Tbl[[#This Row],[Department_Region]]))</f>
        <v>New York</v>
      </c>
      <c r="V706" t="str">
        <f>TRIM(PROPER(Before_Tbl[[#This Row],[Status]]))</f>
        <v>Active</v>
      </c>
      <c r="W706" s="26">
        <v>44825</v>
      </c>
      <c r="X706" s="4">
        <v>63413.16</v>
      </c>
      <c r="Y706" t="str">
        <f>TRIM(LOWER(Before_Tbl[[#This Row],[Email]]))</f>
        <v>charlie.jones@example.com</v>
      </c>
      <c r="Z706" s="2" t="str">
        <f>SUBSTITUTE(Before_Tbl[[#This Row],[Phone]],"-","")</f>
        <v>5146074554</v>
      </c>
      <c r="AA706" t="str">
        <f>TRIM(PROPER(Before_Tbl[[#This Row],[Performance_Score]]))</f>
        <v>Good</v>
      </c>
      <c r="AB706" s="2" t="str">
        <f>TRIM(UPPER(Before_Tbl[[#This Row],[Remote_Work]]))</f>
        <v>TRUE</v>
      </c>
    </row>
    <row r="707" spans="1:28" x14ac:dyDescent="0.35">
      <c r="A707" t="s">
        <v>1203</v>
      </c>
      <c r="B707" t="s">
        <v>69</v>
      </c>
      <c r="C707" t="s">
        <v>26</v>
      </c>
      <c r="D707">
        <v>40</v>
      </c>
      <c r="E707" t="s">
        <v>98</v>
      </c>
      <c r="F707" t="s">
        <v>28</v>
      </c>
      <c r="G707" t="s">
        <v>1204</v>
      </c>
      <c r="H707">
        <v>67915.7</v>
      </c>
      <c r="I707" t="s">
        <v>76</v>
      </c>
      <c r="J707">
        <v>-3470574237</v>
      </c>
      <c r="K707" t="s">
        <v>30</v>
      </c>
      <c r="L707" t="b">
        <v>0</v>
      </c>
      <c r="P707" t="str">
        <f>TRIM(Before_Tbl[[#This Row],[Employee_ID]])</f>
        <v>EMP1705</v>
      </c>
      <c r="Q707" t="str">
        <f>TRIM(PROPER(Before_Tbl[[#This Row],[First_Name]]))</f>
        <v>Grace</v>
      </c>
      <c r="R707" t="str">
        <f>TRIM(PROPER(Before_Tbl[[#This Row],[Last_Name]]))</f>
        <v>Jones</v>
      </c>
      <c r="S707" s="25">
        <f t="shared" si="11"/>
        <v>40</v>
      </c>
      <c r="T707" t="str">
        <f>LEFT(Before_Tbl[[#This Row],[Department_Region]],FIND("-",Before_Tbl[[#This Row],[Department_Region]])-1)</f>
        <v>Sales</v>
      </c>
      <c r="U707" t="str">
        <f>RIGHT(Before_Tbl[[#This Row],[Department_Region]],LEN(Before_Tbl[[#This Row],[Department_Region]])-FIND("-",Before_Tbl[[#This Row],[Department_Region]]))</f>
        <v>Illinois</v>
      </c>
      <c r="V707" t="str">
        <f>TRIM(PROPER(Before_Tbl[[#This Row],[Status]]))</f>
        <v>Pending</v>
      </c>
      <c r="W707" s="26">
        <v>45039</v>
      </c>
      <c r="X707" s="4">
        <v>67915.7</v>
      </c>
      <c r="Y707" t="str">
        <f>TRIM(LOWER(Before_Tbl[[#This Row],[Email]]))</f>
        <v>grace.jones@example.com</v>
      </c>
      <c r="Z707" s="2" t="str">
        <f>SUBSTITUTE(Before_Tbl[[#This Row],[Phone]],"-","")</f>
        <v>3470574237</v>
      </c>
      <c r="AA707" t="str">
        <f>TRIM(PROPER(Before_Tbl[[#This Row],[Performance_Score]]))</f>
        <v>Good</v>
      </c>
      <c r="AB707" s="2" t="str">
        <f>TRIM(UPPER(Before_Tbl[[#This Row],[Remote_Work]]))</f>
        <v>FALSE</v>
      </c>
    </row>
    <row r="708" spans="1:28" x14ac:dyDescent="0.35">
      <c r="A708" t="s">
        <v>1205</v>
      </c>
      <c r="B708" t="s">
        <v>13</v>
      </c>
      <c r="C708" t="s">
        <v>20</v>
      </c>
      <c r="D708">
        <v>25</v>
      </c>
      <c r="E708" t="s">
        <v>27</v>
      </c>
      <c r="F708" t="s">
        <v>33</v>
      </c>
      <c r="G708" t="s">
        <v>1206</v>
      </c>
      <c r="H708">
        <v>108245.44</v>
      </c>
      <c r="I708" t="s">
        <v>22</v>
      </c>
      <c r="J708">
        <v>-8565271558</v>
      </c>
      <c r="K708" t="s">
        <v>41</v>
      </c>
      <c r="L708" t="b">
        <v>1</v>
      </c>
      <c r="P708" t="str">
        <f>TRIM(Before_Tbl[[#This Row],[Employee_ID]])</f>
        <v>EMP1706</v>
      </c>
      <c r="Q708" t="str">
        <f>TRIM(PROPER(Before_Tbl[[#This Row],[First_Name]]))</f>
        <v>Bob</v>
      </c>
      <c r="R708" t="str">
        <f>TRIM(PROPER(Before_Tbl[[#This Row],[Last_Name]]))</f>
        <v>Brown</v>
      </c>
      <c r="S708" s="25">
        <f t="shared" si="11"/>
        <v>25</v>
      </c>
      <c r="T708" t="str">
        <f>LEFT(Before_Tbl[[#This Row],[Department_Region]],FIND("-",Before_Tbl[[#This Row],[Department_Region]])-1)</f>
        <v>Admin</v>
      </c>
      <c r="U708" t="str">
        <f>RIGHT(Before_Tbl[[#This Row],[Department_Region]],LEN(Before_Tbl[[#This Row],[Department_Region]])-FIND("-",Before_Tbl[[#This Row],[Department_Region]]))</f>
        <v>Nevada</v>
      </c>
      <c r="V708" t="str">
        <f>TRIM(PROPER(Before_Tbl[[#This Row],[Status]]))</f>
        <v>Inactive</v>
      </c>
      <c r="W708" s="26">
        <v>45653</v>
      </c>
      <c r="X708" s="4">
        <v>108245.44</v>
      </c>
      <c r="Y708" t="str">
        <f>TRIM(LOWER(Before_Tbl[[#This Row],[Email]]))</f>
        <v>bob.brown@example.com</v>
      </c>
      <c r="Z708" s="2" t="str">
        <f>SUBSTITUTE(Before_Tbl[[#This Row],[Phone]],"-","")</f>
        <v>8565271558</v>
      </c>
      <c r="AA708" t="str">
        <f>TRIM(PROPER(Before_Tbl[[#This Row],[Performance_Score]]))</f>
        <v>Poor</v>
      </c>
      <c r="AB708" s="2" t="str">
        <f>TRIM(UPPER(Before_Tbl[[#This Row],[Remote_Work]]))</f>
        <v>TRUE</v>
      </c>
    </row>
    <row r="709" spans="1:28" x14ac:dyDescent="0.35">
      <c r="A709" t="s">
        <v>1207</v>
      </c>
      <c r="B709" t="s">
        <v>25</v>
      </c>
      <c r="C709" t="s">
        <v>43</v>
      </c>
      <c r="D709">
        <v>35</v>
      </c>
      <c r="E709" t="s">
        <v>219</v>
      </c>
      <c r="F709" t="s">
        <v>33</v>
      </c>
      <c r="G709" s="1">
        <v>45573</v>
      </c>
      <c r="H709">
        <v>75834.81</v>
      </c>
      <c r="I709" t="s">
        <v>45</v>
      </c>
      <c r="J709">
        <v>-8354116596</v>
      </c>
      <c r="K709" t="s">
        <v>23</v>
      </c>
      <c r="L709" t="b">
        <v>1</v>
      </c>
      <c r="P709" t="str">
        <f>TRIM(Before_Tbl[[#This Row],[Employee_ID]])</f>
        <v>EMP1707</v>
      </c>
      <c r="Q709" t="str">
        <f>TRIM(PROPER(Before_Tbl[[#This Row],[First_Name]]))</f>
        <v>Alice</v>
      </c>
      <c r="R709" t="str">
        <f>TRIM(PROPER(Before_Tbl[[#This Row],[Last_Name]]))</f>
        <v>Garcia</v>
      </c>
      <c r="S709" s="25">
        <f t="shared" si="11"/>
        <v>35</v>
      </c>
      <c r="T709" t="str">
        <f>LEFT(Before_Tbl[[#This Row],[Department_Region]],FIND("-",Before_Tbl[[#This Row],[Department_Region]])-1)</f>
        <v>Sales</v>
      </c>
      <c r="U709" t="str">
        <f>RIGHT(Before_Tbl[[#This Row],[Department_Region]],LEN(Before_Tbl[[#This Row],[Department_Region]])-FIND("-",Before_Tbl[[#This Row],[Department_Region]]))</f>
        <v>Nevada</v>
      </c>
      <c r="V709" t="str">
        <f>TRIM(PROPER(Before_Tbl[[#This Row],[Status]]))</f>
        <v>Inactive</v>
      </c>
      <c r="W709" s="26">
        <v>45573</v>
      </c>
      <c r="X709" s="4">
        <v>75834.81</v>
      </c>
      <c r="Y709" t="str">
        <f>TRIM(LOWER(Before_Tbl[[#This Row],[Email]]))</f>
        <v>alice.garcia@example.com</v>
      </c>
      <c r="Z709" s="2" t="str">
        <f>SUBSTITUTE(Before_Tbl[[#This Row],[Phone]],"-","")</f>
        <v>8354116596</v>
      </c>
      <c r="AA709" t="str">
        <f>TRIM(PROPER(Before_Tbl[[#This Row],[Performance_Score]]))</f>
        <v>Excellent</v>
      </c>
      <c r="AB709" s="2" t="str">
        <f>TRIM(UPPER(Before_Tbl[[#This Row],[Remote_Work]]))</f>
        <v>TRUE</v>
      </c>
    </row>
    <row r="710" spans="1:28" x14ac:dyDescent="0.35">
      <c r="A710" t="s">
        <v>1208</v>
      </c>
      <c r="B710" t="s">
        <v>32</v>
      </c>
      <c r="C710" t="s">
        <v>43</v>
      </c>
      <c r="E710" t="s">
        <v>85</v>
      </c>
      <c r="F710" t="s">
        <v>16</v>
      </c>
      <c r="G710" s="1">
        <v>45391</v>
      </c>
      <c r="H710">
        <v>71273.320000000007</v>
      </c>
      <c r="I710" t="s">
        <v>297</v>
      </c>
      <c r="J710">
        <v>-2634755751</v>
      </c>
      <c r="K710" t="s">
        <v>30</v>
      </c>
      <c r="L710" t="b">
        <v>0</v>
      </c>
      <c r="P710" t="str">
        <f>TRIM(Before_Tbl[[#This Row],[Employee_ID]])</f>
        <v>EMP1708</v>
      </c>
      <c r="Q710" t="str">
        <f>TRIM(PROPER(Before_Tbl[[#This Row],[First_Name]]))</f>
        <v>Eva</v>
      </c>
      <c r="R710" t="str">
        <f>TRIM(PROPER(Before_Tbl[[#This Row],[Last_Name]]))</f>
        <v>Garcia</v>
      </c>
      <c r="S710" s="25">
        <f t="shared" si="11"/>
        <v>30</v>
      </c>
      <c r="T710" t="str">
        <f>LEFT(Before_Tbl[[#This Row],[Department_Region]],FIND("-",Before_Tbl[[#This Row],[Department_Region]])-1)</f>
        <v>Cloud Tech</v>
      </c>
      <c r="U710" t="str">
        <f>RIGHT(Before_Tbl[[#This Row],[Department_Region]],LEN(Before_Tbl[[#This Row],[Department_Region]])-FIND("-",Before_Tbl[[#This Row],[Department_Region]]))</f>
        <v>Nevada</v>
      </c>
      <c r="V710" t="str">
        <f>TRIM(PROPER(Before_Tbl[[#This Row],[Status]]))</f>
        <v>Active</v>
      </c>
      <c r="W710" s="26">
        <v>45391</v>
      </c>
      <c r="X710" s="4">
        <v>71273.320000000007</v>
      </c>
      <c r="Y710" t="str">
        <f>TRIM(LOWER(Before_Tbl[[#This Row],[Email]]))</f>
        <v>eva.garcia@example.com</v>
      </c>
      <c r="Z710" s="2" t="str">
        <f>SUBSTITUTE(Before_Tbl[[#This Row],[Phone]],"-","")</f>
        <v>2634755751</v>
      </c>
      <c r="AA710" t="str">
        <f>TRIM(PROPER(Before_Tbl[[#This Row],[Performance_Score]]))</f>
        <v>Good</v>
      </c>
      <c r="AB710" s="2" t="str">
        <f>TRIM(UPPER(Before_Tbl[[#This Row],[Remote_Work]]))</f>
        <v>FALSE</v>
      </c>
    </row>
    <row r="711" spans="1:28" x14ac:dyDescent="0.35">
      <c r="A711" t="s">
        <v>1209</v>
      </c>
      <c r="B711" t="s">
        <v>13</v>
      </c>
      <c r="C711" t="s">
        <v>43</v>
      </c>
      <c r="D711">
        <v>25</v>
      </c>
      <c r="E711" t="s">
        <v>56</v>
      </c>
      <c r="F711" t="s">
        <v>28</v>
      </c>
      <c r="G711" t="s">
        <v>1210</v>
      </c>
      <c r="H711">
        <v>63262.23</v>
      </c>
      <c r="I711" t="s">
        <v>153</v>
      </c>
      <c r="J711">
        <v>-2501394883</v>
      </c>
      <c r="K711" t="s">
        <v>30</v>
      </c>
      <c r="L711" t="b">
        <v>0</v>
      </c>
      <c r="P711" t="str">
        <f>TRIM(Before_Tbl[[#This Row],[Employee_ID]])</f>
        <v>EMP1709</v>
      </c>
      <c r="Q711" t="str">
        <f>TRIM(PROPER(Before_Tbl[[#This Row],[First_Name]]))</f>
        <v>Bob</v>
      </c>
      <c r="R711" t="str">
        <f>TRIM(PROPER(Before_Tbl[[#This Row],[Last_Name]]))</f>
        <v>Garcia</v>
      </c>
      <c r="S711" s="25">
        <f t="shared" si="11"/>
        <v>25</v>
      </c>
      <c r="T711" t="str">
        <f>LEFT(Before_Tbl[[#This Row],[Department_Region]],FIND("-",Before_Tbl[[#This Row],[Department_Region]])-1)</f>
        <v>DevOps</v>
      </c>
      <c r="U711" t="str">
        <f>RIGHT(Before_Tbl[[#This Row],[Department_Region]],LEN(Before_Tbl[[#This Row],[Department_Region]])-FIND("-",Before_Tbl[[#This Row],[Department_Region]]))</f>
        <v>New York</v>
      </c>
      <c r="V711" t="str">
        <f>TRIM(PROPER(Before_Tbl[[#This Row],[Status]]))</f>
        <v>Pending</v>
      </c>
      <c r="W711" s="26">
        <v>44620</v>
      </c>
      <c r="X711" s="4">
        <v>63262.23</v>
      </c>
      <c r="Y711" t="str">
        <f>TRIM(LOWER(Before_Tbl[[#This Row],[Email]]))</f>
        <v>bob.garcia@example.com</v>
      </c>
      <c r="Z711" s="2" t="str">
        <f>SUBSTITUTE(Before_Tbl[[#This Row],[Phone]],"-","")</f>
        <v>2501394883</v>
      </c>
      <c r="AA711" t="str">
        <f>TRIM(PROPER(Before_Tbl[[#This Row],[Performance_Score]]))</f>
        <v>Good</v>
      </c>
      <c r="AB711" s="2" t="str">
        <f>TRIM(UPPER(Before_Tbl[[#This Row],[Remote_Work]]))</f>
        <v>FALSE</v>
      </c>
    </row>
    <row r="712" spans="1:28" x14ac:dyDescent="0.35">
      <c r="A712" t="s">
        <v>1211</v>
      </c>
      <c r="B712" t="s">
        <v>59</v>
      </c>
      <c r="C712" t="s">
        <v>14</v>
      </c>
      <c r="E712" t="s">
        <v>56</v>
      </c>
      <c r="F712" t="s">
        <v>28</v>
      </c>
      <c r="G712" t="s">
        <v>234</v>
      </c>
      <c r="H712">
        <v>89069.91</v>
      </c>
      <c r="I712" t="s">
        <v>63</v>
      </c>
      <c r="J712">
        <v>-8826913118</v>
      </c>
      <c r="K712" t="s">
        <v>30</v>
      </c>
      <c r="L712" t="b">
        <v>0</v>
      </c>
      <c r="P712" t="str">
        <f>TRIM(Before_Tbl[[#This Row],[Employee_ID]])</f>
        <v>EMP1710</v>
      </c>
      <c r="Q712" t="str">
        <f>TRIM(PROPER(Before_Tbl[[#This Row],[First_Name]]))</f>
        <v>David</v>
      </c>
      <c r="R712" t="str">
        <f>TRIM(PROPER(Before_Tbl[[#This Row],[Last_Name]]))</f>
        <v>Davis</v>
      </c>
      <c r="S712" s="25">
        <f t="shared" si="11"/>
        <v>30</v>
      </c>
      <c r="T712" t="str">
        <f>LEFT(Before_Tbl[[#This Row],[Department_Region]],FIND("-",Before_Tbl[[#This Row],[Department_Region]])-1)</f>
        <v>DevOps</v>
      </c>
      <c r="U712" t="str">
        <f>RIGHT(Before_Tbl[[#This Row],[Department_Region]],LEN(Before_Tbl[[#This Row],[Department_Region]])-FIND("-",Before_Tbl[[#This Row],[Department_Region]]))</f>
        <v>New York</v>
      </c>
      <c r="V712" t="str">
        <f>TRIM(PROPER(Before_Tbl[[#This Row],[Status]]))</f>
        <v>Pending</v>
      </c>
      <c r="W712" s="26">
        <v>45365</v>
      </c>
      <c r="X712" s="4">
        <v>89069.91</v>
      </c>
      <c r="Y712" t="str">
        <f>TRIM(LOWER(Before_Tbl[[#This Row],[Email]]))</f>
        <v>david.davis@example.com</v>
      </c>
      <c r="Z712" s="2" t="str">
        <f>SUBSTITUTE(Before_Tbl[[#This Row],[Phone]],"-","")</f>
        <v>8826913118</v>
      </c>
      <c r="AA712" t="str">
        <f>TRIM(PROPER(Before_Tbl[[#This Row],[Performance_Score]]))</f>
        <v>Good</v>
      </c>
      <c r="AB712" s="2" t="str">
        <f>TRIM(UPPER(Before_Tbl[[#This Row],[Remote_Work]]))</f>
        <v>FALSE</v>
      </c>
    </row>
    <row r="713" spans="1:28" x14ac:dyDescent="0.35">
      <c r="A713" t="s">
        <v>1212</v>
      </c>
      <c r="B713" t="s">
        <v>37</v>
      </c>
      <c r="C713" t="s">
        <v>55</v>
      </c>
      <c r="D713">
        <v>40</v>
      </c>
      <c r="E713" t="s">
        <v>329</v>
      </c>
      <c r="F713" t="s">
        <v>33</v>
      </c>
      <c r="G713" t="s">
        <v>160</v>
      </c>
      <c r="H713">
        <v>57287.17</v>
      </c>
      <c r="I713" t="s">
        <v>271</v>
      </c>
      <c r="J713">
        <v>-6425856260</v>
      </c>
      <c r="K713" t="s">
        <v>18</v>
      </c>
      <c r="L713" t="b">
        <v>1</v>
      </c>
      <c r="P713" t="str">
        <f>TRIM(Before_Tbl[[#This Row],[Employee_ID]])</f>
        <v>EMP1711</v>
      </c>
      <c r="Q713" t="str">
        <f>TRIM(PROPER(Before_Tbl[[#This Row],[First_Name]]))</f>
        <v>Frank</v>
      </c>
      <c r="R713" t="str">
        <f>TRIM(PROPER(Before_Tbl[[#This Row],[Last_Name]]))</f>
        <v>Johnson</v>
      </c>
      <c r="S713" s="25">
        <f t="shared" si="11"/>
        <v>40</v>
      </c>
      <c r="T713" t="str">
        <f>LEFT(Before_Tbl[[#This Row],[Department_Region]],FIND("-",Before_Tbl[[#This Row],[Department_Region]])-1)</f>
        <v>DevOps</v>
      </c>
      <c r="U713" t="str">
        <f>RIGHT(Before_Tbl[[#This Row],[Department_Region]],LEN(Before_Tbl[[#This Row],[Department_Region]])-FIND("-",Before_Tbl[[#This Row],[Department_Region]]))</f>
        <v>Nevada</v>
      </c>
      <c r="V713" t="str">
        <f>TRIM(PROPER(Before_Tbl[[#This Row],[Status]]))</f>
        <v>Inactive</v>
      </c>
      <c r="W713" s="26">
        <v>45639</v>
      </c>
      <c r="X713" s="4">
        <v>57287.17</v>
      </c>
      <c r="Y713" t="str">
        <f>TRIM(LOWER(Before_Tbl[[#This Row],[Email]]))</f>
        <v>frank.johnson@example.com</v>
      </c>
      <c r="Z713" s="2" t="str">
        <f>SUBSTITUTE(Before_Tbl[[#This Row],[Phone]],"-","")</f>
        <v>6425856260</v>
      </c>
      <c r="AA713" t="str">
        <f>TRIM(PROPER(Before_Tbl[[#This Row],[Performance_Score]]))</f>
        <v>Average</v>
      </c>
      <c r="AB713" s="2" t="str">
        <f>TRIM(UPPER(Before_Tbl[[#This Row],[Remote_Work]]))</f>
        <v>TRUE</v>
      </c>
    </row>
    <row r="714" spans="1:28" x14ac:dyDescent="0.35">
      <c r="A714" t="s">
        <v>1213</v>
      </c>
      <c r="B714" t="s">
        <v>69</v>
      </c>
      <c r="C714" t="s">
        <v>122</v>
      </c>
      <c r="E714" t="s">
        <v>149</v>
      </c>
      <c r="F714" t="s">
        <v>16</v>
      </c>
      <c r="G714" t="s">
        <v>228</v>
      </c>
      <c r="H714">
        <v>119890.35</v>
      </c>
      <c r="I714" t="s">
        <v>135</v>
      </c>
      <c r="J714">
        <v>-4991537037</v>
      </c>
      <c r="K714" t="s">
        <v>18</v>
      </c>
      <c r="L714" t="b">
        <v>1</v>
      </c>
      <c r="P714" t="str">
        <f>TRIM(Before_Tbl[[#This Row],[Employee_ID]])</f>
        <v>EMP1712</v>
      </c>
      <c r="Q714" t="str">
        <f>TRIM(PROPER(Before_Tbl[[#This Row],[First_Name]]))</f>
        <v>Grace</v>
      </c>
      <c r="R714" t="str">
        <f>TRIM(PROPER(Before_Tbl[[#This Row],[Last_Name]]))</f>
        <v>Smith</v>
      </c>
      <c r="S714" s="25">
        <f t="shared" si="11"/>
        <v>30</v>
      </c>
      <c r="T714" t="str">
        <f>LEFT(Before_Tbl[[#This Row],[Department_Region]],FIND("-",Before_Tbl[[#This Row],[Department_Region]])-1)</f>
        <v>HR</v>
      </c>
      <c r="U714" t="str">
        <f>RIGHT(Before_Tbl[[#This Row],[Department_Region]],LEN(Before_Tbl[[#This Row],[Department_Region]])-FIND("-",Before_Tbl[[#This Row],[Department_Region]]))</f>
        <v>Nevada</v>
      </c>
      <c r="V714" t="str">
        <f>TRIM(PROPER(Before_Tbl[[#This Row],[Status]]))</f>
        <v>Active</v>
      </c>
      <c r="W714" s="26">
        <v>44924</v>
      </c>
      <c r="X714" s="4">
        <v>119890.35</v>
      </c>
      <c r="Y714" t="str">
        <f>TRIM(LOWER(Before_Tbl[[#This Row],[Email]]))</f>
        <v>grace.smith@example.com</v>
      </c>
      <c r="Z714" s="2" t="str">
        <f>SUBSTITUTE(Before_Tbl[[#This Row],[Phone]],"-","")</f>
        <v>4991537037</v>
      </c>
      <c r="AA714" t="str">
        <f>TRIM(PROPER(Before_Tbl[[#This Row],[Performance_Score]]))</f>
        <v>Average</v>
      </c>
      <c r="AB714" s="2" t="str">
        <f>TRIM(UPPER(Before_Tbl[[#This Row],[Remote_Work]]))</f>
        <v>TRUE</v>
      </c>
    </row>
    <row r="715" spans="1:28" x14ac:dyDescent="0.35">
      <c r="A715" t="s">
        <v>1214</v>
      </c>
      <c r="B715" t="s">
        <v>37</v>
      </c>
      <c r="C715" t="s">
        <v>20</v>
      </c>
      <c r="D715">
        <v>35</v>
      </c>
      <c r="E715" t="s">
        <v>177</v>
      </c>
      <c r="F715" t="s">
        <v>33</v>
      </c>
      <c r="G715" t="s">
        <v>1215</v>
      </c>
      <c r="H715">
        <v>103492.91</v>
      </c>
      <c r="I715" t="s">
        <v>239</v>
      </c>
      <c r="J715">
        <v>-2407333372</v>
      </c>
      <c r="K715" t="s">
        <v>41</v>
      </c>
      <c r="L715" t="b">
        <v>0</v>
      </c>
      <c r="P715" t="str">
        <f>TRIM(Before_Tbl[[#This Row],[Employee_ID]])</f>
        <v>EMP1713</v>
      </c>
      <c r="Q715" t="str">
        <f>TRIM(PROPER(Before_Tbl[[#This Row],[First_Name]]))</f>
        <v>Frank</v>
      </c>
      <c r="R715" t="str">
        <f>TRIM(PROPER(Before_Tbl[[#This Row],[Last_Name]]))</f>
        <v>Brown</v>
      </c>
      <c r="S715" s="25">
        <f t="shared" si="11"/>
        <v>35</v>
      </c>
      <c r="T715" t="str">
        <f>LEFT(Before_Tbl[[#This Row],[Department_Region]],FIND("-",Before_Tbl[[#This Row],[Department_Region]])-1)</f>
        <v>Sales</v>
      </c>
      <c r="U715" t="str">
        <f>RIGHT(Before_Tbl[[#This Row],[Department_Region]],LEN(Before_Tbl[[#This Row],[Department_Region]])-FIND("-",Before_Tbl[[#This Row],[Department_Region]]))</f>
        <v>California</v>
      </c>
      <c r="V715" t="str">
        <f>TRIM(PROPER(Before_Tbl[[#This Row],[Status]]))</f>
        <v>Inactive</v>
      </c>
      <c r="W715" s="26">
        <v>44675</v>
      </c>
      <c r="X715" s="4">
        <v>103492.91</v>
      </c>
      <c r="Y715" t="str">
        <f>TRIM(LOWER(Before_Tbl[[#This Row],[Email]]))</f>
        <v>frank.brown@example.com</v>
      </c>
      <c r="Z715" s="2" t="str">
        <f>SUBSTITUTE(Before_Tbl[[#This Row],[Phone]],"-","")</f>
        <v>2407333372</v>
      </c>
      <c r="AA715" t="str">
        <f>TRIM(PROPER(Before_Tbl[[#This Row],[Performance_Score]]))</f>
        <v>Poor</v>
      </c>
      <c r="AB715" s="2" t="str">
        <f>TRIM(UPPER(Before_Tbl[[#This Row],[Remote_Work]]))</f>
        <v>FALSE</v>
      </c>
    </row>
    <row r="716" spans="1:28" x14ac:dyDescent="0.35">
      <c r="A716" t="s">
        <v>1216</v>
      </c>
      <c r="B716" t="s">
        <v>37</v>
      </c>
      <c r="C716" t="s">
        <v>43</v>
      </c>
      <c r="E716" t="s">
        <v>89</v>
      </c>
      <c r="F716" t="s">
        <v>28</v>
      </c>
      <c r="G716" t="s">
        <v>1217</v>
      </c>
      <c r="H716">
        <v>76254.42</v>
      </c>
      <c r="I716" t="s">
        <v>180</v>
      </c>
      <c r="J716">
        <v>-2043097767</v>
      </c>
      <c r="K716" t="s">
        <v>23</v>
      </c>
      <c r="L716" t="b">
        <v>0</v>
      </c>
      <c r="P716" t="str">
        <f>TRIM(Before_Tbl[[#This Row],[Employee_ID]])</f>
        <v>EMP1714</v>
      </c>
      <c r="Q716" t="str">
        <f>TRIM(PROPER(Before_Tbl[[#This Row],[First_Name]]))</f>
        <v>Frank</v>
      </c>
      <c r="R716" t="str">
        <f>TRIM(PROPER(Before_Tbl[[#This Row],[Last_Name]]))</f>
        <v>Garcia</v>
      </c>
      <c r="S716" s="25">
        <f t="shared" si="11"/>
        <v>30</v>
      </c>
      <c r="T716" t="str">
        <f>LEFT(Before_Tbl[[#This Row],[Department_Region]],FIND("-",Before_Tbl[[#This Row],[Department_Region]])-1)</f>
        <v>Admin</v>
      </c>
      <c r="U716" t="str">
        <f>RIGHT(Before_Tbl[[#This Row],[Department_Region]],LEN(Before_Tbl[[#This Row],[Department_Region]])-FIND("-",Before_Tbl[[#This Row],[Department_Region]]))</f>
        <v>Illinois</v>
      </c>
      <c r="V716" t="str">
        <f>TRIM(PROPER(Before_Tbl[[#This Row],[Status]]))</f>
        <v>Pending</v>
      </c>
      <c r="W716" s="26">
        <v>44269</v>
      </c>
      <c r="X716" s="4">
        <v>76254.42</v>
      </c>
      <c r="Y716" t="str">
        <f>TRIM(LOWER(Before_Tbl[[#This Row],[Email]]))</f>
        <v>frank.garcia@example.com</v>
      </c>
      <c r="Z716" s="2" t="str">
        <f>SUBSTITUTE(Before_Tbl[[#This Row],[Phone]],"-","")</f>
        <v>2043097767</v>
      </c>
      <c r="AA716" t="str">
        <f>TRIM(PROPER(Before_Tbl[[#This Row],[Performance_Score]]))</f>
        <v>Excellent</v>
      </c>
      <c r="AB716" s="2" t="str">
        <f>TRIM(UPPER(Before_Tbl[[#This Row],[Remote_Work]]))</f>
        <v>FALSE</v>
      </c>
    </row>
    <row r="717" spans="1:28" x14ac:dyDescent="0.35">
      <c r="A717" t="s">
        <v>1218</v>
      </c>
      <c r="B717" t="s">
        <v>32</v>
      </c>
      <c r="C717" t="s">
        <v>43</v>
      </c>
      <c r="D717">
        <v>35</v>
      </c>
      <c r="E717" t="s">
        <v>112</v>
      </c>
      <c r="F717" t="s">
        <v>33</v>
      </c>
      <c r="G717" s="1">
        <v>43831</v>
      </c>
      <c r="H717">
        <v>100841.93</v>
      </c>
      <c r="I717" t="s">
        <v>297</v>
      </c>
      <c r="J717">
        <v>-8936289695</v>
      </c>
      <c r="K717" t="s">
        <v>41</v>
      </c>
      <c r="L717" t="b">
        <v>1</v>
      </c>
      <c r="P717" t="str">
        <f>TRIM(Before_Tbl[[#This Row],[Employee_ID]])</f>
        <v>EMP1715</v>
      </c>
      <c r="Q717" t="str">
        <f>TRIM(PROPER(Before_Tbl[[#This Row],[First_Name]]))</f>
        <v>Eva</v>
      </c>
      <c r="R717" t="str">
        <f>TRIM(PROPER(Before_Tbl[[#This Row],[Last_Name]]))</f>
        <v>Garcia</v>
      </c>
      <c r="S717" s="25">
        <f t="shared" si="11"/>
        <v>35</v>
      </c>
      <c r="T717" t="str">
        <f>LEFT(Before_Tbl[[#This Row],[Department_Region]],FIND("-",Before_Tbl[[#This Row],[Department_Region]])-1)</f>
        <v>Finance</v>
      </c>
      <c r="U717" t="str">
        <f>RIGHT(Before_Tbl[[#This Row],[Department_Region]],LEN(Before_Tbl[[#This Row],[Department_Region]])-FIND("-",Before_Tbl[[#This Row],[Department_Region]]))</f>
        <v>Florida</v>
      </c>
      <c r="V717" t="str">
        <f>TRIM(PROPER(Before_Tbl[[#This Row],[Status]]))</f>
        <v>Inactive</v>
      </c>
      <c r="W717" s="26">
        <v>43831</v>
      </c>
      <c r="X717" s="4">
        <v>100841.93</v>
      </c>
      <c r="Y717" t="str">
        <f>TRIM(LOWER(Before_Tbl[[#This Row],[Email]]))</f>
        <v>eva.garcia@example.com</v>
      </c>
      <c r="Z717" s="2" t="str">
        <f>SUBSTITUTE(Before_Tbl[[#This Row],[Phone]],"-","")</f>
        <v>8936289695</v>
      </c>
      <c r="AA717" t="str">
        <f>TRIM(PROPER(Before_Tbl[[#This Row],[Performance_Score]]))</f>
        <v>Poor</v>
      </c>
      <c r="AB717" s="2" t="str">
        <f>TRIM(UPPER(Before_Tbl[[#This Row],[Remote_Work]]))</f>
        <v>TRUE</v>
      </c>
    </row>
    <row r="718" spans="1:28" x14ac:dyDescent="0.35">
      <c r="A718" t="s">
        <v>1219</v>
      </c>
      <c r="B718" t="s">
        <v>25</v>
      </c>
      <c r="C718" t="s">
        <v>38</v>
      </c>
      <c r="E718" t="s">
        <v>118</v>
      </c>
      <c r="F718" t="s">
        <v>16</v>
      </c>
      <c r="G718" s="1">
        <v>44386</v>
      </c>
      <c r="H718">
        <v>118907.61</v>
      </c>
      <c r="I718" t="s">
        <v>363</v>
      </c>
      <c r="J718">
        <v>-4546553584</v>
      </c>
      <c r="K718" t="s">
        <v>23</v>
      </c>
      <c r="L718" t="b">
        <v>1</v>
      </c>
      <c r="P718" t="str">
        <f>TRIM(Before_Tbl[[#This Row],[Employee_ID]])</f>
        <v>EMP1716</v>
      </c>
      <c r="Q718" t="str">
        <f>TRIM(PROPER(Before_Tbl[[#This Row],[First_Name]]))</f>
        <v>Alice</v>
      </c>
      <c r="R718" t="str">
        <f>TRIM(PROPER(Before_Tbl[[#This Row],[Last_Name]]))</f>
        <v>Williams</v>
      </c>
      <c r="S718" s="25">
        <f t="shared" si="11"/>
        <v>30</v>
      </c>
      <c r="T718" t="str">
        <f>LEFT(Before_Tbl[[#This Row],[Department_Region]],FIND("-",Before_Tbl[[#This Row],[Department_Region]])-1)</f>
        <v>Admin</v>
      </c>
      <c r="U718" t="str">
        <f>RIGHT(Before_Tbl[[#This Row],[Department_Region]],LEN(Before_Tbl[[#This Row],[Department_Region]])-FIND("-",Before_Tbl[[#This Row],[Department_Region]]))</f>
        <v>California</v>
      </c>
      <c r="V718" t="str">
        <f>TRIM(PROPER(Before_Tbl[[#This Row],[Status]]))</f>
        <v>Active</v>
      </c>
      <c r="W718" s="26">
        <v>44386</v>
      </c>
      <c r="X718" s="4">
        <v>118907.61</v>
      </c>
      <c r="Y718" t="str">
        <f>TRIM(LOWER(Before_Tbl[[#This Row],[Email]]))</f>
        <v>alice.williams@example.com</v>
      </c>
      <c r="Z718" s="2" t="str">
        <f>SUBSTITUTE(Before_Tbl[[#This Row],[Phone]],"-","")</f>
        <v>4546553584</v>
      </c>
      <c r="AA718" t="str">
        <f>TRIM(PROPER(Before_Tbl[[#This Row],[Performance_Score]]))</f>
        <v>Excellent</v>
      </c>
      <c r="AB718" s="2" t="str">
        <f>TRIM(UPPER(Before_Tbl[[#This Row],[Remote_Work]]))</f>
        <v>TRUE</v>
      </c>
    </row>
    <row r="719" spans="1:28" x14ac:dyDescent="0.35">
      <c r="A719" t="s">
        <v>1220</v>
      </c>
      <c r="B719" t="s">
        <v>37</v>
      </c>
      <c r="C719" t="s">
        <v>20</v>
      </c>
      <c r="D719">
        <v>25</v>
      </c>
      <c r="E719" t="s">
        <v>15</v>
      </c>
      <c r="F719" t="s">
        <v>28</v>
      </c>
      <c r="G719" t="s">
        <v>1221</v>
      </c>
      <c r="H719">
        <v>88942.62</v>
      </c>
      <c r="I719" t="s">
        <v>239</v>
      </c>
      <c r="J719">
        <v>-1253892186</v>
      </c>
      <c r="K719" t="s">
        <v>18</v>
      </c>
      <c r="L719" t="b">
        <v>0</v>
      </c>
      <c r="P719" t="str">
        <f>TRIM(Before_Tbl[[#This Row],[Employee_ID]])</f>
        <v>EMP1717</v>
      </c>
      <c r="Q719" t="str">
        <f>TRIM(PROPER(Before_Tbl[[#This Row],[First_Name]]))</f>
        <v>Frank</v>
      </c>
      <c r="R719" t="str">
        <f>TRIM(PROPER(Before_Tbl[[#This Row],[Last_Name]]))</f>
        <v>Brown</v>
      </c>
      <c r="S719" s="25">
        <f t="shared" si="11"/>
        <v>25</v>
      </c>
      <c r="T719" t="str">
        <f>LEFT(Before_Tbl[[#This Row],[Department_Region]],FIND("-",Before_Tbl[[#This Row],[Department_Region]])-1)</f>
        <v>DevOps</v>
      </c>
      <c r="U719" t="str">
        <f>RIGHT(Before_Tbl[[#This Row],[Department_Region]],LEN(Before_Tbl[[#This Row],[Department_Region]])-FIND("-",Before_Tbl[[#This Row],[Department_Region]]))</f>
        <v>California</v>
      </c>
      <c r="V719" t="str">
        <f>TRIM(PROPER(Before_Tbl[[#This Row],[Status]]))</f>
        <v>Pending</v>
      </c>
      <c r="W719" s="26">
        <v>44878</v>
      </c>
      <c r="X719" s="4">
        <v>88942.62</v>
      </c>
      <c r="Y719" t="str">
        <f>TRIM(LOWER(Before_Tbl[[#This Row],[Email]]))</f>
        <v>frank.brown@example.com</v>
      </c>
      <c r="Z719" s="2" t="str">
        <f>SUBSTITUTE(Before_Tbl[[#This Row],[Phone]],"-","")</f>
        <v>1253892186</v>
      </c>
      <c r="AA719" t="str">
        <f>TRIM(PROPER(Before_Tbl[[#This Row],[Performance_Score]]))</f>
        <v>Average</v>
      </c>
      <c r="AB719" s="2" t="str">
        <f>TRIM(UPPER(Before_Tbl[[#This Row],[Remote_Work]]))</f>
        <v>FALSE</v>
      </c>
    </row>
    <row r="720" spans="1:28" x14ac:dyDescent="0.35">
      <c r="A720" t="s">
        <v>1222</v>
      </c>
      <c r="B720" t="s">
        <v>54</v>
      </c>
      <c r="C720" t="s">
        <v>43</v>
      </c>
      <c r="D720">
        <v>25</v>
      </c>
      <c r="E720" t="s">
        <v>39</v>
      </c>
      <c r="F720" t="s">
        <v>33</v>
      </c>
      <c r="G720" t="s">
        <v>1119</v>
      </c>
      <c r="H720">
        <v>59688.57</v>
      </c>
      <c r="I720" t="s">
        <v>87</v>
      </c>
      <c r="J720">
        <v>-8519358373</v>
      </c>
      <c r="K720" t="s">
        <v>18</v>
      </c>
      <c r="L720" t="b">
        <v>0</v>
      </c>
      <c r="P720" t="str">
        <f>TRIM(Before_Tbl[[#This Row],[Employee_ID]])</f>
        <v>EMP1718</v>
      </c>
      <c r="Q720" t="str">
        <f>TRIM(PROPER(Before_Tbl[[#This Row],[First_Name]]))</f>
        <v>Charlie</v>
      </c>
      <c r="R720" t="str">
        <f>TRIM(PROPER(Before_Tbl[[#This Row],[Last_Name]]))</f>
        <v>Garcia</v>
      </c>
      <c r="S720" s="25">
        <f t="shared" si="11"/>
        <v>25</v>
      </c>
      <c r="T720" t="str">
        <f>LEFT(Before_Tbl[[#This Row],[Department_Region]],FIND("-",Before_Tbl[[#This Row],[Department_Region]])-1)</f>
        <v>Cloud Tech</v>
      </c>
      <c r="U720" t="str">
        <f>RIGHT(Before_Tbl[[#This Row],[Department_Region]],LEN(Before_Tbl[[#This Row],[Department_Region]])-FIND("-",Before_Tbl[[#This Row],[Department_Region]]))</f>
        <v>Florida</v>
      </c>
      <c r="V720" t="str">
        <f>TRIM(PROPER(Before_Tbl[[#This Row],[Status]]))</f>
        <v>Inactive</v>
      </c>
      <c r="W720" s="26">
        <v>44150</v>
      </c>
      <c r="X720" s="4">
        <v>59688.57</v>
      </c>
      <c r="Y720" t="str">
        <f>TRIM(LOWER(Before_Tbl[[#This Row],[Email]]))</f>
        <v>charlie.garcia@example.com</v>
      </c>
      <c r="Z720" s="2" t="str">
        <f>SUBSTITUTE(Before_Tbl[[#This Row],[Phone]],"-","")</f>
        <v>8519358373</v>
      </c>
      <c r="AA720" t="str">
        <f>TRIM(PROPER(Before_Tbl[[#This Row],[Performance_Score]]))</f>
        <v>Average</v>
      </c>
      <c r="AB720" s="2" t="str">
        <f>TRIM(UPPER(Before_Tbl[[#This Row],[Remote_Work]]))</f>
        <v>FALSE</v>
      </c>
    </row>
    <row r="721" spans="1:28" x14ac:dyDescent="0.35">
      <c r="A721" t="s">
        <v>1223</v>
      </c>
      <c r="B721" t="s">
        <v>59</v>
      </c>
      <c r="C721" t="s">
        <v>20</v>
      </c>
      <c r="D721">
        <v>30</v>
      </c>
      <c r="E721" t="s">
        <v>146</v>
      </c>
      <c r="F721" t="s">
        <v>16</v>
      </c>
      <c r="G721" t="s">
        <v>1224</v>
      </c>
      <c r="H721">
        <v>77985.88</v>
      </c>
      <c r="I721" t="s">
        <v>225</v>
      </c>
      <c r="J721">
        <v>-9079779611</v>
      </c>
      <c r="K721" t="s">
        <v>18</v>
      </c>
      <c r="L721" t="b">
        <v>1</v>
      </c>
      <c r="P721" t="str">
        <f>TRIM(Before_Tbl[[#This Row],[Employee_ID]])</f>
        <v>EMP1719</v>
      </c>
      <c r="Q721" t="str">
        <f>TRIM(PROPER(Before_Tbl[[#This Row],[First_Name]]))</f>
        <v>David</v>
      </c>
      <c r="R721" t="str">
        <f>TRIM(PROPER(Before_Tbl[[#This Row],[Last_Name]]))</f>
        <v>Brown</v>
      </c>
      <c r="S721" s="25">
        <f t="shared" si="11"/>
        <v>30</v>
      </c>
      <c r="T721" t="str">
        <f>LEFT(Before_Tbl[[#This Row],[Department_Region]],FIND("-",Before_Tbl[[#This Row],[Department_Region]])-1)</f>
        <v>HR</v>
      </c>
      <c r="U721" t="str">
        <f>RIGHT(Before_Tbl[[#This Row],[Department_Region]],LEN(Before_Tbl[[#This Row],[Department_Region]])-FIND("-",Before_Tbl[[#This Row],[Department_Region]]))</f>
        <v>California</v>
      </c>
      <c r="V721" t="str">
        <f>TRIM(PROPER(Before_Tbl[[#This Row],[Status]]))</f>
        <v>Active</v>
      </c>
      <c r="W721" s="26">
        <v>44999</v>
      </c>
      <c r="X721" s="4">
        <v>77985.88</v>
      </c>
      <c r="Y721" t="str">
        <f>TRIM(LOWER(Before_Tbl[[#This Row],[Email]]))</f>
        <v>david.brown@example.com</v>
      </c>
      <c r="Z721" s="2" t="str">
        <f>SUBSTITUTE(Before_Tbl[[#This Row],[Phone]],"-","")</f>
        <v>9079779611</v>
      </c>
      <c r="AA721" t="str">
        <f>TRIM(PROPER(Before_Tbl[[#This Row],[Performance_Score]]))</f>
        <v>Average</v>
      </c>
      <c r="AB721" s="2" t="str">
        <f>TRIM(UPPER(Before_Tbl[[#This Row],[Remote_Work]]))</f>
        <v>TRUE</v>
      </c>
    </row>
    <row r="722" spans="1:28" x14ac:dyDescent="0.35">
      <c r="A722" t="s">
        <v>1225</v>
      </c>
      <c r="B722" t="s">
        <v>13</v>
      </c>
      <c r="C722" t="s">
        <v>55</v>
      </c>
      <c r="D722">
        <v>35</v>
      </c>
      <c r="E722" t="s">
        <v>227</v>
      </c>
      <c r="F722" t="s">
        <v>33</v>
      </c>
      <c r="G722" t="s">
        <v>1226</v>
      </c>
      <c r="H722">
        <v>112931.69</v>
      </c>
      <c r="I722" t="s">
        <v>199</v>
      </c>
      <c r="J722">
        <v>-878057214</v>
      </c>
      <c r="K722" t="s">
        <v>41</v>
      </c>
      <c r="L722" t="b">
        <v>0</v>
      </c>
      <c r="P722" t="str">
        <f>TRIM(Before_Tbl[[#This Row],[Employee_ID]])</f>
        <v>EMP1720</v>
      </c>
      <c r="Q722" t="str">
        <f>TRIM(PROPER(Before_Tbl[[#This Row],[First_Name]]))</f>
        <v>Bob</v>
      </c>
      <c r="R722" t="str">
        <f>TRIM(PROPER(Before_Tbl[[#This Row],[Last_Name]]))</f>
        <v>Johnson</v>
      </c>
      <c r="S722" s="25">
        <f t="shared" si="11"/>
        <v>35</v>
      </c>
      <c r="T722" t="str">
        <f>LEFT(Before_Tbl[[#This Row],[Department_Region]],FIND("-",Before_Tbl[[#This Row],[Department_Region]])-1)</f>
        <v>Finance</v>
      </c>
      <c r="U722" t="str">
        <f>RIGHT(Before_Tbl[[#This Row],[Department_Region]],LEN(Before_Tbl[[#This Row],[Department_Region]])-FIND("-",Before_Tbl[[#This Row],[Department_Region]]))</f>
        <v>New York</v>
      </c>
      <c r="V722" t="str">
        <f>TRIM(PROPER(Before_Tbl[[#This Row],[Status]]))</f>
        <v>Inactive</v>
      </c>
      <c r="W722" s="26">
        <v>45522</v>
      </c>
      <c r="X722" s="4">
        <v>112931.69</v>
      </c>
      <c r="Y722" t="str">
        <f>TRIM(LOWER(Before_Tbl[[#This Row],[Email]]))</f>
        <v>bob.johnson@example.com</v>
      </c>
      <c r="Z722" s="2" t="str">
        <f>SUBSTITUTE(Before_Tbl[[#This Row],[Phone]],"-","")</f>
        <v>878057214</v>
      </c>
      <c r="AA722" t="str">
        <f>TRIM(PROPER(Before_Tbl[[#This Row],[Performance_Score]]))</f>
        <v>Poor</v>
      </c>
      <c r="AB722" s="2" t="str">
        <f>TRIM(UPPER(Before_Tbl[[#This Row],[Remote_Work]]))</f>
        <v>FALSE</v>
      </c>
    </row>
    <row r="723" spans="1:28" x14ac:dyDescent="0.35">
      <c r="A723" t="s">
        <v>1227</v>
      </c>
      <c r="B723" t="s">
        <v>13</v>
      </c>
      <c r="C723" t="s">
        <v>38</v>
      </c>
      <c r="E723" t="s">
        <v>15</v>
      </c>
      <c r="F723" t="s">
        <v>16</v>
      </c>
      <c r="G723" s="1">
        <v>45414</v>
      </c>
      <c r="H723">
        <v>106583.88</v>
      </c>
      <c r="I723" t="s">
        <v>144</v>
      </c>
      <c r="J723">
        <v>-1494097625</v>
      </c>
      <c r="K723" t="s">
        <v>30</v>
      </c>
      <c r="L723" t="b">
        <v>1</v>
      </c>
      <c r="P723" t="str">
        <f>TRIM(Before_Tbl[[#This Row],[Employee_ID]])</f>
        <v>EMP1721</v>
      </c>
      <c r="Q723" t="str">
        <f>TRIM(PROPER(Before_Tbl[[#This Row],[First_Name]]))</f>
        <v>Bob</v>
      </c>
      <c r="R723" t="str">
        <f>TRIM(PROPER(Before_Tbl[[#This Row],[Last_Name]]))</f>
        <v>Williams</v>
      </c>
      <c r="S723" s="25">
        <f t="shared" si="11"/>
        <v>30</v>
      </c>
      <c r="T723" t="str">
        <f>LEFT(Before_Tbl[[#This Row],[Department_Region]],FIND("-",Before_Tbl[[#This Row],[Department_Region]])-1)</f>
        <v>DevOps</v>
      </c>
      <c r="U723" t="str">
        <f>RIGHT(Before_Tbl[[#This Row],[Department_Region]],LEN(Before_Tbl[[#This Row],[Department_Region]])-FIND("-",Before_Tbl[[#This Row],[Department_Region]]))</f>
        <v>California</v>
      </c>
      <c r="V723" t="str">
        <f>TRIM(PROPER(Before_Tbl[[#This Row],[Status]]))</f>
        <v>Active</v>
      </c>
      <c r="W723" s="26">
        <v>45414</v>
      </c>
      <c r="X723" s="4">
        <v>106583.88</v>
      </c>
      <c r="Y723" t="str">
        <f>TRIM(LOWER(Before_Tbl[[#This Row],[Email]]))</f>
        <v>bob.williams@example.com</v>
      </c>
      <c r="Z723" s="2" t="str">
        <f>SUBSTITUTE(Before_Tbl[[#This Row],[Phone]],"-","")</f>
        <v>1494097625</v>
      </c>
      <c r="AA723" t="str">
        <f>TRIM(PROPER(Before_Tbl[[#This Row],[Performance_Score]]))</f>
        <v>Good</v>
      </c>
      <c r="AB723" s="2" t="str">
        <f>TRIM(UPPER(Before_Tbl[[#This Row],[Remote_Work]]))</f>
        <v>TRUE</v>
      </c>
    </row>
    <row r="724" spans="1:28" x14ac:dyDescent="0.35">
      <c r="A724" t="s">
        <v>1228</v>
      </c>
      <c r="B724" t="s">
        <v>25</v>
      </c>
      <c r="C724" t="s">
        <v>20</v>
      </c>
      <c r="D724">
        <v>35</v>
      </c>
      <c r="E724" t="s">
        <v>212</v>
      </c>
      <c r="F724" t="s">
        <v>33</v>
      </c>
      <c r="G724" s="1">
        <v>45637</v>
      </c>
      <c r="H724">
        <v>58437.84</v>
      </c>
      <c r="I724" t="s">
        <v>80</v>
      </c>
      <c r="J724">
        <v>-3748453985</v>
      </c>
      <c r="K724" t="s">
        <v>30</v>
      </c>
      <c r="L724" t="b">
        <v>1</v>
      </c>
      <c r="P724" t="str">
        <f>TRIM(Before_Tbl[[#This Row],[Employee_ID]])</f>
        <v>EMP1722</v>
      </c>
      <c r="Q724" t="str">
        <f>TRIM(PROPER(Before_Tbl[[#This Row],[First_Name]]))</f>
        <v>Alice</v>
      </c>
      <c r="R724" t="str">
        <f>TRIM(PROPER(Before_Tbl[[#This Row],[Last_Name]]))</f>
        <v>Brown</v>
      </c>
      <c r="S724" s="25">
        <f t="shared" si="11"/>
        <v>35</v>
      </c>
      <c r="T724" t="str">
        <f>LEFT(Before_Tbl[[#This Row],[Department_Region]],FIND("-",Before_Tbl[[#This Row],[Department_Region]])-1)</f>
        <v>HR</v>
      </c>
      <c r="U724" t="str">
        <f>RIGHT(Before_Tbl[[#This Row],[Department_Region]],LEN(Before_Tbl[[#This Row],[Department_Region]])-FIND("-",Before_Tbl[[#This Row],[Department_Region]]))</f>
        <v>Florida</v>
      </c>
      <c r="V724" t="str">
        <f>TRIM(PROPER(Before_Tbl[[#This Row],[Status]]))</f>
        <v>Inactive</v>
      </c>
      <c r="W724" s="26">
        <v>45637</v>
      </c>
      <c r="X724" s="4">
        <v>58437.84</v>
      </c>
      <c r="Y724" t="str">
        <f>TRIM(LOWER(Before_Tbl[[#This Row],[Email]]))</f>
        <v>alice.brown@example.com</v>
      </c>
      <c r="Z724" s="2" t="str">
        <f>SUBSTITUTE(Before_Tbl[[#This Row],[Phone]],"-","")</f>
        <v>3748453985</v>
      </c>
      <c r="AA724" t="str">
        <f>TRIM(PROPER(Before_Tbl[[#This Row],[Performance_Score]]))</f>
        <v>Good</v>
      </c>
      <c r="AB724" s="2" t="str">
        <f>TRIM(UPPER(Before_Tbl[[#This Row],[Remote_Work]]))</f>
        <v>TRUE</v>
      </c>
    </row>
    <row r="725" spans="1:28" x14ac:dyDescent="0.35">
      <c r="A725" t="s">
        <v>1229</v>
      </c>
      <c r="B725" t="s">
        <v>25</v>
      </c>
      <c r="C725" t="s">
        <v>122</v>
      </c>
      <c r="D725">
        <v>40</v>
      </c>
      <c r="E725" t="s">
        <v>268</v>
      </c>
      <c r="F725" t="s">
        <v>28</v>
      </c>
      <c r="G725" t="s">
        <v>438</v>
      </c>
      <c r="H725">
        <v>72352.160000000003</v>
      </c>
      <c r="I725" t="s">
        <v>182</v>
      </c>
      <c r="J725">
        <v>-2895090590</v>
      </c>
      <c r="K725" t="s">
        <v>18</v>
      </c>
      <c r="L725" t="b">
        <v>1</v>
      </c>
      <c r="P725" t="str">
        <f>TRIM(Before_Tbl[[#This Row],[Employee_ID]])</f>
        <v>EMP1723</v>
      </c>
      <c r="Q725" t="str">
        <f>TRIM(PROPER(Before_Tbl[[#This Row],[First_Name]]))</f>
        <v>Alice</v>
      </c>
      <c r="R725" t="str">
        <f>TRIM(PROPER(Before_Tbl[[#This Row],[Last_Name]]))</f>
        <v>Smith</v>
      </c>
      <c r="S725" s="25">
        <f t="shared" si="11"/>
        <v>40</v>
      </c>
      <c r="T725" t="str">
        <f>LEFT(Before_Tbl[[#This Row],[Department_Region]],FIND("-",Before_Tbl[[#This Row],[Department_Region]])-1)</f>
        <v>Cloud Tech</v>
      </c>
      <c r="U725" t="str">
        <f>RIGHT(Before_Tbl[[#This Row],[Department_Region]],LEN(Before_Tbl[[#This Row],[Department_Region]])-FIND("-",Before_Tbl[[#This Row],[Department_Region]]))</f>
        <v>California</v>
      </c>
      <c r="V725" t="str">
        <f>TRIM(PROPER(Before_Tbl[[#This Row],[Status]]))</f>
        <v>Pending</v>
      </c>
      <c r="W725" s="26">
        <v>43915</v>
      </c>
      <c r="X725" s="4">
        <v>72352.160000000003</v>
      </c>
      <c r="Y725" t="str">
        <f>TRIM(LOWER(Before_Tbl[[#This Row],[Email]]))</f>
        <v>alice.smith@example.com</v>
      </c>
      <c r="Z725" s="2" t="str">
        <f>SUBSTITUTE(Before_Tbl[[#This Row],[Phone]],"-","")</f>
        <v>2895090590</v>
      </c>
      <c r="AA725" t="str">
        <f>TRIM(PROPER(Before_Tbl[[#This Row],[Performance_Score]]))</f>
        <v>Average</v>
      </c>
      <c r="AB725" s="2" t="str">
        <f>TRIM(UPPER(Before_Tbl[[#This Row],[Remote_Work]]))</f>
        <v>TRUE</v>
      </c>
    </row>
    <row r="726" spans="1:28" x14ac:dyDescent="0.35">
      <c r="A726" t="s">
        <v>1230</v>
      </c>
      <c r="B726" t="s">
        <v>37</v>
      </c>
      <c r="C726" t="s">
        <v>122</v>
      </c>
      <c r="E726" t="s">
        <v>56</v>
      </c>
      <c r="F726" t="s">
        <v>16</v>
      </c>
      <c r="G726" t="s">
        <v>1231</v>
      </c>
      <c r="H726">
        <v>97154.47</v>
      </c>
      <c r="I726" t="s">
        <v>137</v>
      </c>
      <c r="J726">
        <v>-1918623391</v>
      </c>
      <c r="K726" t="s">
        <v>30</v>
      </c>
      <c r="L726" t="b">
        <v>1</v>
      </c>
      <c r="P726" t="str">
        <f>TRIM(Before_Tbl[[#This Row],[Employee_ID]])</f>
        <v>EMP1724</v>
      </c>
      <c r="Q726" t="str">
        <f>TRIM(PROPER(Before_Tbl[[#This Row],[First_Name]]))</f>
        <v>Frank</v>
      </c>
      <c r="R726" t="str">
        <f>TRIM(PROPER(Before_Tbl[[#This Row],[Last_Name]]))</f>
        <v>Smith</v>
      </c>
      <c r="S726" s="25">
        <f t="shared" si="11"/>
        <v>30</v>
      </c>
      <c r="T726" t="str">
        <f>LEFT(Before_Tbl[[#This Row],[Department_Region]],FIND("-",Before_Tbl[[#This Row],[Department_Region]])-1)</f>
        <v>DevOps</v>
      </c>
      <c r="U726" t="str">
        <f>RIGHT(Before_Tbl[[#This Row],[Department_Region]],LEN(Before_Tbl[[#This Row],[Department_Region]])-FIND("-",Before_Tbl[[#This Row],[Department_Region]]))</f>
        <v>New York</v>
      </c>
      <c r="V726" t="str">
        <f>TRIM(PROPER(Before_Tbl[[#This Row],[Status]]))</f>
        <v>Active</v>
      </c>
      <c r="W726" s="26">
        <v>43934</v>
      </c>
      <c r="X726" s="4">
        <v>97154.47</v>
      </c>
      <c r="Y726" t="str">
        <f>TRIM(LOWER(Before_Tbl[[#This Row],[Email]]))</f>
        <v>frank.smith@example.com</v>
      </c>
      <c r="Z726" s="2" t="str">
        <f>SUBSTITUTE(Before_Tbl[[#This Row],[Phone]],"-","")</f>
        <v>1918623391</v>
      </c>
      <c r="AA726" t="str">
        <f>TRIM(PROPER(Before_Tbl[[#This Row],[Performance_Score]]))</f>
        <v>Good</v>
      </c>
      <c r="AB726" s="2" t="str">
        <f>TRIM(UPPER(Before_Tbl[[#This Row],[Remote_Work]]))</f>
        <v>TRUE</v>
      </c>
    </row>
    <row r="727" spans="1:28" x14ac:dyDescent="0.35">
      <c r="A727" t="s">
        <v>1232</v>
      </c>
      <c r="B727" t="s">
        <v>65</v>
      </c>
      <c r="C727" t="s">
        <v>26</v>
      </c>
      <c r="E727" t="s">
        <v>98</v>
      </c>
      <c r="F727" t="s">
        <v>16</v>
      </c>
      <c r="G727" t="s">
        <v>973</v>
      </c>
      <c r="H727">
        <v>80235.5</v>
      </c>
      <c r="I727" t="s">
        <v>320</v>
      </c>
      <c r="J727">
        <v>-2071511695</v>
      </c>
      <c r="K727" t="s">
        <v>30</v>
      </c>
      <c r="L727" t="b">
        <v>0</v>
      </c>
      <c r="P727" t="str">
        <f>TRIM(Before_Tbl[[#This Row],[Employee_ID]])</f>
        <v>EMP1725</v>
      </c>
      <c r="Q727" t="str">
        <f>TRIM(PROPER(Before_Tbl[[#This Row],[First_Name]]))</f>
        <v>Heidi</v>
      </c>
      <c r="R727" t="str">
        <f>TRIM(PROPER(Before_Tbl[[#This Row],[Last_Name]]))</f>
        <v>Jones</v>
      </c>
      <c r="S727" s="25">
        <f t="shared" si="11"/>
        <v>30</v>
      </c>
      <c r="T727" t="str">
        <f>LEFT(Before_Tbl[[#This Row],[Department_Region]],FIND("-",Before_Tbl[[#This Row],[Department_Region]])-1)</f>
        <v>Sales</v>
      </c>
      <c r="U727" t="str">
        <f>RIGHT(Before_Tbl[[#This Row],[Department_Region]],LEN(Before_Tbl[[#This Row],[Department_Region]])-FIND("-",Before_Tbl[[#This Row],[Department_Region]]))</f>
        <v>Illinois</v>
      </c>
      <c r="V727" t="str">
        <f>TRIM(PROPER(Before_Tbl[[#This Row],[Status]]))</f>
        <v>Active</v>
      </c>
      <c r="W727" s="26">
        <v>44285</v>
      </c>
      <c r="X727" s="4">
        <v>80235.5</v>
      </c>
      <c r="Y727" t="str">
        <f>TRIM(LOWER(Before_Tbl[[#This Row],[Email]]))</f>
        <v>heidi.jones@example.com</v>
      </c>
      <c r="Z727" s="2" t="str">
        <f>SUBSTITUTE(Before_Tbl[[#This Row],[Phone]],"-","")</f>
        <v>2071511695</v>
      </c>
      <c r="AA727" t="str">
        <f>TRIM(PROPER(Before_Tbl[[#This Row],[Performance_Score]]))</f>
        <v>Good</v>
      </c>
      <c r="AB727" s="2" t="str">
        <f>TRIM(UPPER(Before_Tbl[[#This Row],[Remote_Work]]))</f>
        <v>FALSE</v>
      </c>
    </row>
    <row r="728" spans="1:28" x14ac:dyDescent="0.35">
      <c r="A728" t="s">
        <v>1233</v>
      </c>
      <c r="B728" t="s">
        <v>54</v>
      </c>
      <c r="C728" t="s">
        <v>38</v>
      </c>
      <c r="D728">
        <v>30</v>
      </c>
      <c r="E728" t="s">
        <v>139</v>
      </c>
      <c r="F728" t="s">
        <v>33</v>
      </c>
      <c r="G728" t="s">
        <v>1131</v>
      </c>
      <c r="H728">
        <v>102172.05</v>
      </c>
      <c r="I728" t="s">
        <v>90</v>
      </c>
      <c r="J728">
        <v>-6672521451</v>
      </c>
      <c r="K728" t="s">
        <v>41</v>
      </c>
      <c r="L728" t="b">
        <v>0</v>
      </c>
      <c r="P728" t="str">
        <f>TRIM(Before_Tbl[[#This Row],[Employee_ID]])</f>
        <v>EMP1726</v>
      </c>
      <c r="Q728" t="str">
        <f>TRIM(PROPER(Before_Tbl[[#This Row],[First_Name]]))</f>
        <v>Charlie</v>
      </c>
      <c r="R728" t="str">
        <f>TRIM(PROPER(Before_Tbl[[#This Row],[Last_Name]]))</f>
        <v>Williams</v>
      </c>
      <c r="S728" s="25">
        <f t="shared" si="11"/>
        <v>30</v>
      </c>
      <c r="T728" t="str">
        <f>LEFT(Before_Tbl[[#This Row],[Department_Region]],FIND("-",Before_Tbl[[#This Row],[Department_Region]])-1)</f>
        <v>HR</v>
      </c>
      <c r="U728" t="str">
        <f>RIGHT(Before_Tbl[[#This Row],[Department_Region]],LEN(Before_Tbl[[#This Row],[Department_Region]])-FIND("-",Before_Tbl[[#This Row],[Department_Region]]))</f>
        <v>Texas</v>
      </c>
      <c r="V728" t="str">
        <f>TRIM(PROPER(Before_Tbl[[#This Row],[Status]]))</f>
        <v>Inactive</v>
      </c>
      <c r="W728" s="26">
        <v>45001</v>
      </c>
      <c r="X728" s="4">
        <v>102172.05</v>
      </c>
      <c r="Y728" t="str">
        <f>TRIM(LOWER(Before_Tbl[[#This Row],[Email]]))</f>
        <v>charlie.williams@example.com</v>
      </c>
      <c r="Z728" s="2" t="str">
        <f>SUBSTITUTE(Before_Tbl[[#This Row],[Phone]],"-","")</f>
        <v>6672521451</v>
      </c>
      <c r="AA728" t="str">
        <f>TRIM(PROPER(Before_Tbl[[#This Row],[Performance_Score]]))</f>
        <v>Poor</v>
      </c>
      <c r="AB728" s="2" t="str">
        <f>TRIM(UPPER(Before_Tbl[[#This Row],[Remote_Work]]))</f>
        <v>FALSE</v>
      </c>
    </row>
    <row r="729" spans="1:28" x14ac:dyDescent="0.35">
      <c r="A729" t="s">
        <v>1234</v>
      </c>
      <c r="B729" t="s">
        <v>32</v>
      </c>
      <c r="C729" t="s">
        <v>38</v>
      </c>
      <c r="D729">
        <v>25</v>
      </c>
      <c r="E729" t="s">
        <v>265</v>
      </c>
      <c r="F729" t="s">
        <v>33</v>
      </c>
      <c r="G729" s="1">
        <v>45356</v>
      </c>
      <c r="H729">
        <v>98850.94</v>
      </c>
      <c r="I729" t="s">
        <v>141</v>
      </c>
      <c r="J729">
        <v>-6471246334</v>
      </c>
      <c r="K729" t="s">
        <v>23</v>
      </c>
      <c r="L729" t="b">
        <v>1</v>
      </c>
      <c r="P729" t="str">
        <f>TRIM(Before_Tbl[[#This Row],[Employee_ID]])</f>
        <v>EMP1727</v>
      </c>
      <c r="Q729" t="str">
        <f>TRIM(PROPER(Before_Tbl[[#This Row],[First_Name]]))</f>
        <v>Eva</v>
      </c>
      <c r="R729" t="str">
        <f>TRIM(PROPER(Before_Tbl[[#This Row],[Last_Name]]))</f>
        <v>Williams</v>
      </c>
      <c r="S729" s="25">
        <f t="shared" si="11"/>
        <v>25</v>
      </c>
      <c r="T729" t="str">
        <f>LEFT(Before_Tbl[[#This Row],[Department_Region]],FIND("-",Before_Tbl[[#This Row],[Department_Region]])-1)</f>
        <v>Finance</v>
      </c>
      <c r="U729" t="str">
        <f>RIGHT(Before_Tbl[[#This Row],[Department_Region]],LEN(Before_Tbl[[#This Row],[Department_Region]])-FIND("-",Before_Tbl[[#This Row],[Department_Region]]))</f>
        <v>Illinois</v>
      </c>
      <c r="V729" t="str">
        <f>TRIM(PROPER(Before_Tbl[[#This Row],[Status]]))</f>
        <v>Inactive</v>
      </c>
      <c r="W729" s="26">
        <v>45356</v>
      </c>
      <c r="X729" s="4">
        <v>98850.94</v>
      </c>
      <c r="Y729" t="str">
        <f>TRIM(LOWER(Before_Tbl[[#This Row],[Email]]))</f>
        <v>eva.williams@example.com</v>
      </c>
      <c r="Z729" s="2" t="str">
        <f>SUBSTITUTE(Before_Tbl[[#This Row],[Phone]],"-","")</f>
        <v>6471246334</v>
      </c>
      <c r="AA729" t="str">
        <f>TRIM(PROPER(Before_Tbl[[#This Row],[Performance_Score]]))</f>
        <v>Excellent</v>
      </c>
      <c r="AB729" s="2" t="str">
        <f>TRIM(UPPER(Before_Tbl[[#This Row],[Remote_Work]]))</f>
        <v>TRUE</v>
      </c>
    </row>
    <row r="730" spans="1:28" x14ac:dyDescent="0.35">
      <c r="A730" t="s">
        <v>1235</v>
      </c>
      <c r="B730" t="s">
        <v>65</v>
      </c>
      <c r="C730" t="s">
        <v>26</v>
      </c>
      <c r="E730" t="s">
        <v>205</v>
      </c>
      <c r="F730" t="s">
        <v>33</v>
      </c>
      <c r="G730" t="s">
        <v>1236</v>
      </c>
      <c r="H730">
        <v>89993.15</v>
      </c>
      <c r="I730" t="s">
        <v>320</v>
      </c>
      <c r="J730">
        <v>-1571840907</v>
      </c>
      <c r="K730" t="s">
        <v>18</v>
      </c>
      <c r="L730" t="b">
        <v>1</v>
      </c>
      <c r="P730" t="str">
        <f>TRIM(Before_Tbl[[#This Row],[Employee_ID]])</f>
        <v>EMP1728</v>
      </c>
      <c r="Q730" t="str">
        <f>TRIM(PROPER(Before_Tbl[[#This Row],[First_Name]]))</f>
        <v>Heidi</v>
      </c>
      <c r="R730" t="str">
        <f>TRIM(PROPER(Before_Tbl[[#This Row],[Last_Name]]))</f>
        <v>Jones</v>
      </c>
      <c r="S730" s="25">
        <f t="shared" si="11"/>
        <v>30</v>
      </c>
      <c r="T730" t="str">
        <f>LEFT(Before_Tbl[[#This Row],[Department_Region]],FIND("-",Before_Tbl[[#This Row],[Department_Region]])-1)</f>
        <v>Admin</v>
      </c>
      <c r="U730" t="str">
        <f>RIGHT(Before_Tbl[[#This Row],[Department_Region]],LEN(Before_Tbl[[#This Row],[Department_Region]])-FIND("-",Before_Tbl[[#This Row],[Department_Region]]))</f>
        <v>Florida</v>
      </c>
      <c r="V730" t="str">
        <f>TRIM(PROPER(Before_Tbl[[#This Row],[Status]]))</f>
        <v>Inactive</v>
      </c>
      <c r="W730" s="26">
        <v>45166</v>
      </c>
      <c r="X730" s="4">
        <v>89993.15</v>
      </c>
      <c r="Y730" t="str">
        <f>TRIM(LOWER(Before_Tbl[[#This Row],[Email]]))</f>
        <v>heidi.jones@example.com</v>
      </c>
      <c r="Z730" s="2" t="str">
        <f>SUBSTITUTE(Before_Tbl[[#This Row],[Phone]],"-","")</f>
        <v>1571840907</v>
      </c>
      <c r="AA730" t="str">
        <f>TRIM(PROPER(Before_Tbl[[#This Row],[Performance_Score]]))</f>
        <v>Average</v>
      </c>
      <c r="AB730" s="2" t="str">
        <f>TRIM(UPPER(Before_Tbl[[#This Row],[Remote_Work]]))</f>
        <v>TRUE</v>
      </c>
    </row>
    <row r="731" spans="1:28" x14ac:dyDescent="0.35">
      <c r="A731" t="s">
        <v>1237</v>
      </c>
      <c r="B731" t="s">
        <v>59</v>
      </c>
      <c r="C731" t="s">
        <v>20</v>
      </c>
      <c r="D731">
        <v>30</v>
      </c>
      <c r="E731" t="s">
        <v>268</v>
      </c>
      <c r="F731" t="s">
        <v>33</v>
      </c>
      <c r="G731" t="s">
        <v>589</v>
      </c>
      <c r="H731">
        <v>97931.66</v>
      </c>
      <c r="I731" t="s">
        <v>225</v>
      </c>
      <c r="J731">
        <v>-512080055</v>
      </c>
      <c r="K731" t="s">
        <v>18</v>
      </c>
      <c r="L731" t="b">
        <v>1</v>
      </c>
      <c r="P731" t="str">
        <f>TRIM(Before_Tbl[[#This Row],[Employee_ID]])</f>
        <v>EMP1729</v>
      </c>
      <c r="Q731" t="str">
        <f>TRIM(PROPER(Before_Tbl[[#This Row],[First_Name]]))</f>
        <v>David</v>
      </c>
      <c r="R731" t="str">
        <f>TRIM(PROPER(Before_Tbl[[#This Row],[Last_Name]]))</f>
        <v>Brown</v>
      </c>
      <c r="S731" s="25">
        <f t="shared" si="11"/>
        <v>30</v>
      </c>
      <c r="T731" t="str">
        <f>LEFT(Before_Tbl[[#This Row],[Department_Region]],FIND("-",Before_Tbl[[#This Row],[Department_Region]])-1)</f>
        <v>Cloud Tech</v>
      </c>
      <c r="U731" t="str">
        <f>RIGHT(Before_Tbl[[#This Row],[Department_Region]],LEN(Before_Tbl[[#This Row],[Department_Region]])-FIND("-",Before_Tbl[[#This Row],[Department_Region]]))</f>
        <v>California</v>
      </c>
      <c r="V731" t="str">
        <f>TRIM(PROPER(Before_Tbl[[#This Row],[Status]]))</f>
        <v>Inactive</v>
      </c>
      <c r="W731" s="26">
        <v>44493</v>
      </c>
      <c r="X731" s="4">
        <v>97931.66</v>
      </c>
      <c r="Y731" t="str">
        <f>TRIM(LOWER(Before_Tbl[[#This Row],[Email]]))</f>
        <v>david.brown@example.com</v>
      </c>
      <c r="Z731" s="2" t="str">
        <f>SUBSTITUTE(Before_Tbl[[#This Row],[Phone]],"-","")</f>
        <v>512080055</v>
      </c>
      <c r="AA731" t="str">
        <f>TRIM(PROPER(Before_Tbl[[#This Row],[Performance_Score]]))</f>
        <v>Average</v>
      </c>
      <c r="AB731" s="2" t="str">
        <f>TRIM(UPPER(Before_Tbl[[#This Row],[Remote_Work]]))</f>
        <v>TRUE</v>
      </c>
    </row>
    <row r="732" spans="1:28" x14ac:dyDescent="0.35">
      <c r="A732" t="s">
        <v>1238</v>
      </c>
      <c r="B732" t="s">
        <v>13</v>
      </c>
      <c r="C732" t="s">
        <v>38</v>
      </c>
      <c r="D732">
        <v>40</v>
      </c>
      <c r="E732" t="s">
        <v>70</v>
      </c>
      <c r="F732" t="s">
        <v>33</v>
      </c>
      <c r="G732" t="s">
        <v>1239</v>
      </c>
      <c r="H732">
        <v>72451.69</v>
      </c>
      <c r="I732" t="s">
        <v>144</v>
      </c>
      <c r="J732">
        <v>-4099512396</v>
      </c>
      <c r="K732" t="s">
        <v>41</v>
      </c>
      <c r="L732" t="b">
        <v>1</v>
      </c>
      <c r="P732" t="str">
        <f>TRIM(Before_Tbl[[#This Row],[Employee_ID]])</f>
        <v>EMP1730</v>
      </c>
      <c r="Q732" t="str">
        <f>TRIM(PROPER(Before_Tbl[[#This Row],[First_Name]]))</f>
        <v>Bob</v>
      </c>
      <c r="R732" t="str">
        <f>TRIM(PROPER(Before_Tbl[[#This Row],[Last_Name]]))</f>
        <v>Williams</v>
      </c>
      <c r="S732" s="25">
        <f t="shared" si="11"/>
        <v>40</v>
      </c>
      <c r="T732" t="str">
        <f>LEFT(Before_Tbl[[#This Row],[Department_Region]],FIND("-",Before_Tbl[[#This Row],[Department_Region]])-1)</f>
        <v>Finance</v>
      </c>
      <c r="U732" t="str">
        <f>RIGHT(Before_Tbl[[#This Row],[Department_Region]],LEN(Before_Tbl[[#This Row],[Department_Region]])-FIND("-",Before_Tbl[[#This Row],[Department_Region]]))</f>
        <v>California</v>
      </c>
      <c r="V732" t="str">
        <f>TRIM(PROPER(Before_Tbl[[#This Row],[Status]]))</f>
        <v>Inactive</v>
      </c>
      <c r="W732" s="26">
        <v>44221</v>
      </c>
      <c r="X732" s="4">
        <v>72451.69</v>
      </c>
      <c r="Y732" t="str">
        <f>TRIM(LOWER(Before_Tbl[[#This Row],[Email]]))</f>
        <v>bob.williams@example.com</v>
      </c>
      <c r="Z732" s="2" t="str">
        <f>SUBSTITUTE(Before_Tbl[[#This Row],[Phone]],"-","")</f>
        <v>4099512396</v>
      </c>
      <c r="AA732" t="str">
        <f>TRIM(PROPER(Before_Tbl[[#This Row],[Performance_Score]]))</f>
        <v>Poor</v>
      </c>
      <c r="AB732" s="2" t="str">
        <f>TRIM(UPPER(Before_Tbl[[#This Row],[Remote_Work]]))</f>
        <v>TRUE</v>
      </c>
    </row>
    <row r="733" spans="1:28" x14ac:dyDescent="0.35">
      <c r="A733" t="s">
        <v>1240</v>
      </c>
      <c r="B733" t="s">
        <v>25</v>
      </c>
      <c r="C733" t="s">
        <v>122</v>
      </c>
      <c r="D733">
        <v>35</v>
      </c>
      <c r="E733" t="s">
        <v>118</v>
      </c>
      <c r="F733" t="s">
        <v>28</v>
      </c>
      <c r="G733" s="1">
        <v>45543</v>
      </c>
      <c r="H733">
        <v>119311.14</v>
      </c>
      <c r="I733" t="s">
        <v>182</v>
      </c>
      <c r="J733">
        <v>-2835129591</v>
      </c>
      <c r="K733" t="s">
        <v>41</v>
      </c>
      <c r="L733" t="b">
        <v>1</v>
      </c>
      <c r="P733" t="str">
        <f>TRIM(Before_Tbl[[#This Row],[Employee_ID]])</f>
        <v>EMP1731</v>
      </c>
      <c r="Q733" t="str">
        <f>TRIM(PROPER(Before_Tbl[[#This Row],[First_Name]]))</f>
        <v>Alice</v>
      </c>
      <c r="R733" t="str">
        <f>TRIM(PROPER(Before_Tbl[[#This Row],[Last_Name]]))</f>
        <v>Smith</v>
      </c>
      <c r="S733" s="25">
        <f t="shared" si="11"/>
        <v>35</v>
      </c>
      <c r="T733" t="str">
        <f>LEFT(Before_Tbl[[#This Row],[Department_Region]],FIND("-",Before_Tbl[[#This Row],[Department_Region]])-1)</f>
        <v>Admin</v>
      </c>
      <c r="U733" t="str">
        <f>RIGHT(Before_Tbl[[#This Row],[Department_Region]],LEN(Before_Tbl[[#This Row],[Department_Region]])-FIND("-",Before_Tbl[[#This Row],[Department_Region]]))</f>
        <v>California</v>
      </c>
      <c r="V733" t="str">
        <f>TRIM(PROPER(Before_Tbl[[#This Row],[Status]]))</f>
        <v>Pending</v>
      </c>
      <c r="W733" s="26">
        <v>45543</v>
      </c>
      <c r="X733" s="4">
        <v>119311.14</v>
      </c>
      <c r="Y733" t="str">
        <f>TRIM(LOWER(Before_Tbl[[#This Row],[Email]]))</f>
        <v>alice.smith@example.com</v>
      </c>
      <c r="Z733" s="2" t="str">
        <f>SUBSTITUTE(Before_Tbl[[#This Row],[Phone]],"-","")</f>
        <v>2835129591</v>
      </c>
      <c r="AA733" t="str">
        <f>TRIM(PROPER(Before_Tbl[[#This Row],[Performance_Score]]))</f>
        <v>Poor</v>
      </c>
      <c r="AB733" s="2" t="str">
        <f>TRIM(UPPER(Before_Tbl[[#This Row],[Remote_Work]]))</f>
        <v>TRUE</v>
      </c>
    </row>
    <row r="734" spans="1:28" x14ac:dyDescent="0.35">
      <c r="A734" t="s">
        <v>1241</v>
      </c>
      <c r="B734" t="s">
        <v>54</v>
      </c>
      <c r="C734" t="s">
        <v>122</v>
      </c>
      <c r="D734">
        <v>40</v>
      </c>
      <c r="E734" t="s">
        <v>60</v>
      </c>
      <c r="F734" t="s">
        <v>16</v>
      </c>
      <c r="G734" s="1">
        <v>45027</v>
      </c>
      <c r="H734">
        <v>76167.460000000006</v>
      </c>
      <c r="I734" t="s">
        <v>194</v>
      </c>
      <c r="J734">
        <v>-7282709080</v>
      </c>
      <c r="K734" t="s">
        <v>30</v>
      </c>
      <c r="L734" t="b">
        <v>0</v>
      </c>
      <c r="P734" t="str">
        <f>TRIM(Before_Tbl[[#This Row],[Employee_ID]])</f>
        <v>EMP1732</v>
      </c>
      <c r="Q734" t="str">
        <f>TRIM(PROPER(Before_Tbl[[#This Row],[First_Name]]))</f>
        <v>Charlie</v>
      </c>
      <c r="R734" t="str">
        <f>TRIM(PROPER(Before_Tbl[[#This Row],[Last_Name]]))</f>
        <v>Smith</v>
      </c>
      <c r="S734" s="25">
        <f t="shared" si="11"/>
        <v>40</v>
      </c>
      <c r="T734" t="str">
        <f>LEFT(Before_Tbl[[#This Row],[Department_Region]],FIND("-",Before_Tbl[[#This Row],[Department_Region]])-1)</f>
        <v>Cloud Tech</v>
      </c>
      <c r="U734" t="str">
        <f>RIGHT(Before_Tbl[[#This Row],[Department_Region]],LEN(Before_Tbl[[#This Row],[Department_Region]])-FIND("-",Before_Tbl[[#This Row],[Department_Region]]))</f>
        <v>New York</v>
      </c>
      <c r="V734" t="str">
        <f>TRIM(PROPER(Before_Tbl[[#This Row],[Status]]))</f>
        <v>Active</v>
      </c>
      <c r="W734" s="26">
        <v>45027</v>
      </c>
      <c r="X734" s="4">
        <v>76167.460000000006</v>
      </c>
      <c r="Y734" t="str">
        <f>TRIM(LOWER(Before_Tbl[[#This Row],[Email]]))</f>
        <v>charlie.smith@example.com</v>
      </c>
      <c r="Z734" s="2" t="str">
        <f>SUBSTITUTE(Before_Tbl[[#This Row],[Phone]],"-","")</f>
        <v>7282709080</v>
      </c>
      <c r="AA734" t="str">
        <f>TRIM(PROPER(Before_Tbl[[#This Row],[Performance_Score]]))</f>
        <v>Good</v>
      </c>
      <c r="AB734" s="2" t="str">
        <f>TRIM(UPPER(Before_Tbl[[#This Row],[Remote_Work]]))</f>
        <v>FALSE</v>
      </c>
    </row>
    <row r="735" spans="1:28" x14ac:dyDescent="0.35">
      <c r="A735" t="s">
        <v>1242</v>
      </c>
      <c r="B735" t="s">
        <v>13</v>
      </c>
      <c r="C735" t="s">
        <v>43</v>
      </c>
      <c r="D735">
        <v>25</v>
      </c>
      <c r="E735" t="s">
        <v>237</v>
      </c>
      <c r="F735" t="s">
        <v>16</v>
      </c>
      <c r="G735" t="s">
        <v>1243</v>
      </c>
      <c r="H735">
        <v>114871.08</v>
      </c>
      <c r="I735" t="s">
        <v>153</v>
      </c>
      <c r="J735">
        <v>-4415298216</v>
      </c>
      <c r="K735" t="s">
        <v>18</v>
      </c>
      <c r="L735" t="b">
        <v>0</v>
      </c>
      <c r="P735" t="str">
        <f>TRIM(Before_Tbl[[#This Row],[Employee_ID]])</f>
        <v>EMP1733</v>
      </c>
      <c r="Q735" t="str">
        <f>TRIM(PROPER(Before_Tbl[[#This Row],[First_Name]]))</f>
        <v>Bob</v>
      </c>
      <c r="R735" t="str">
        <f>TRIM(PROPER(Before_Tbl[[#This Row],[Last_Name]]))</f>
        <v>Garcia</v>
      </c>
      <c r="S735" s="25">
        <f t="shared" si="11"/>
        <v>25</v>
      </c>
      <c r="T735" t="str">
        <f>LEFT(Before_Tbl[[#This Row],[Department_Region]],FIND("-",Before_Tbl[[#This Row],[Department_Region]])-1)</f>
        <v>DevOps</v>
      </c>
      <c r="U735" t="str">
        <f>RIGHT(Before_Tbl[[#This Row],[Department_Region]],LEN(Before_Tbl[[#This Row],[Department_Region]])-FIND("-",Before_Tbl[[#This Row],[Department_Region]]))</f>
        <v>Texas</v>
      </c>
      <c r="V735" t="str">
        <f>TRIM(PROPER(Before_Tbl[[#This Row],[Status]]))</f>
        <v>Active</v>
      </c>
      <c r="W735" s="26">
        <v>45102</v>
      </c>
      <c r="X735" s="4">
        <v>114871.08</v>
      </c>
      <c r="Y735" t="str">
        <f>TRIM(LOWER(Before_Tbl[[#This Row],[Email]]))</f>
        <v>bob.garcia@example.com</v>
      </c>
      <c r="Z735" s="2" t="str">
        <f>SUBSTITUTE(Before_Tbl[[#This Row],[Phone]],"-","")</f>
        <v>4415298216</v>
      </c>
      <c r="AA735" t="str">
        <f>TRIM(PROPER(Before_Tbl[[#This Row],[Performance_Score]]))</f>
        <v>Average</v>
      </c>
      <c r="AB735" s="2" t="str">
        <f>TRIM(UPPER(Before_Tbl[[#This Row],[Remote_Work]]))</f>
        <v>FALSE</v>
      </c>
    </row>
    <row r="736" spans="1:28" x14ac:dyDescent="0.35">
      <c r="A736" t="s">
        <v>1244</v>
      </c>
      <c r="B736" t="s">
        <v>32</v>
      </c>
      <c r="C736" t="s">
        <v>55</v>
      </c>
      <c r="D736">
        <v>25</v>
      </c>
      <c r="E736" t="s">
        <v>149</v>
      </c>
      <c r="F736" t="s">
        <v>16</v>
      </c>
      <c r="G736" t="s">
        <v>1245</v>
      </c>
      <c r="H736">
        <v>81504.31</v>
      </c>
      <c r="I736" t="s">
        <v>323</v>
      </c>
      <c r="J736">
        <v>-3929578670</v>
      </c>
      <c r="K736" t="s">
        <v>23</v>
      </c>
      <c r="L736" t="b">
        <v>0</v>
      </c>
      <c r="P736" t="str">
        <f>TRIM(Before_Tbl[[#This Row],[Employee_ID]])</f>
        <v>EMP1734</v>
      </c>
      <c r="Q736" t="str">
        <f>TRIM(PROPER(Before_Tbl[[#This Row],[First_Name]]))</f>
        <v>Eva</v>
      </c>
      <c r="R736" t="str">
        <f>TRIM(PROPER(Before_Tbl[[#This Row],[Last_Name]]))</f>
        <v>Johnson</v>
      </c>
      <c r="S736" s="25">
        <f t="shared" si="11"/>
        <v>25</v>
      </c>
      <c r="T736" t="str">
        <f>LEFT(Before_Tbl[[#This Row],[Department_Region]],FIND("-",Before_Tbl[[#This Row],[Department_Region]])-1)</f>
        <v>HR</v>
      </c>
      <c r="U736" t="str">
        <f>RIGHT(Before_Tbl[[#This Row],[Department_Region]],LEN(Before_Tbl[[#This Row],[Department_Region]])-FIND("-",Before_Tbl[[#This Row],[Department_Region]]))</f>
        <v>Nevada</v>
      </c>
      <c r="V736" t="str">
        <f>TRIM(PROPER(Before_Tbl[[#This Row],[Status]]))</f>
        <v>Active</v>
      </c>
      <c r="W736" s="26">
        <v>44455</v>
      </c>
      <c r="X736" s="4">
        <v>81504.31</v>
      </c>
      <c r="Y736" t="str">
        <f>TRIM(LOWER(Before_Tbl[[#This Row],[Email]]))</f>
        <v>eva.johnson@example.com</v>
      </c>
      <c r="Z736" s="2" t="str">
        <f>SUBSTITUTE(Before_Tbl[[#This Row],[Phone]],"-","")</f>
        <v>3929578670</v>
      </c>
      <c r="AA736" t="str">
        <f>TRIM(PROPER(Before_Tbl[[#This Row],[Performance_Score]]))</f>
        <v>Excellent</v>
      </c>
      <c r="AB736" s="2" t="str">
        <f>TRIM(UPPER(Before_Tbl[[#This Row],[Remote_Work]]))</f>
        <v>FALSE</v>
      </c>
    </row>
    <row r="737" spans="1:28" x14ac:dyDescent="0.35">
      <c r="A737" t="s">
        <v>1246</v>
      </c>
      <c r="B737" t="s">
        <v>59</v>
      </c>
      <c r="C737" t="s">
        <v>38</v>
      </c>
      <c r="E737" t="s">
        <v>196</v>
      </c>
      <c r="F737" t="s">
        <v>28</v>
      </c>
      <c r="G737" s="1">
        <v>44754</v>
      </c>
      <c r="H737">
        <v>102524.86</v>
      </c>
      <c r="I737" t="s">
        <v>61</v>
      </c>
      <c r="J737">
        <v>-8153523735</v>
      </c>
      <c r="K737" t="s">
        <v>41</v>
      </c>
      <c r="L737" t="b">
        <v>0</v>
      </c>
      <c r="P737" t="str">
        <f>TRIM(Before_Tbl[[#This Row],[Employee_ID]])</f>
        <v>EMP1735</v>
      </c>
      <c r="Q737" t="str">
        <f>TRIM(PROPER(Before_Tbl[[#This Row],[First_Name]]))</f>
        <v>David</v>
      </c>
      <c r="R737" t="str">
        <f>TRIM(PROPER(Before_Tbl[[#This Row],[Last_Name]]))</f>
        <v>Williams</v>
      </c>
      <c r="S737" s="25">
        <f t="shared" si="11"/>
        <v>30</v>
      </c>
      <c r="T737" t="str">
        <f>LEFT(Before_Tbl[[#This Row],[Department_Region]],FIND("-",Before_Tbl[[#This Row],[Department_Region]])-1)</f>
        <v>Admin</v>
      </c>
      <c r="U737" t="str">
        <f>RIGHT(Before_Tbl[[#This Row],[Department_Region]],LEN(Before_Tbl[[#This Row],[Department_Region]])-FIND("-",Before_Tbl[[#This Row],[Department_Region]]))</f>
        <v>New York</v>
      </c>
      <c r="V737" t="str">
        <f>TRIM(PROPER(Before_Tbl[[#This Row],[Status]]))</f>
        <v>Pending</v>
      </c>
      <c r="W737" s="26">
        <v>44754</v>
      </c>
      <c r="X737" s="4">
        <v>102524.86</v>
      </c>
      <c r="Y737" t="str">
        <f>TRIM(LOWER(Before_Tbl[[#This Row],[Email]]))</f>
        <v>david.williams@example.com</v>
      </c>
      <c r="Z737" s="2" t="str">
        <f>SUBSTITUTE(Before_Tbl[[#This Row],[Phone]],"-","")</f>
        <v>8153523735</v>
      </c>
      <c r="AA737" t="str">
        <f>TRIM(PROPER(Before_Tbl[[#This Row],[Performance_Score]]))</f>
        <v>Poor</v>
      </c>
      <c r="AB737" s="2" t="str">
        <f>TRIM(UPPER(Before_Tbl[[#This Row],[Remote_Work]]))</f>
        <v>FALSE</v>
      </c>
    </row>
    <row r="738" spans="1:28" x14ac:dyDescent="0.35">
      <c r="A738" t="s">
        <v>1247</v>
      </c>
      <c r="B738" t="s">
        <v>54</v>
      </c>
      <c r="C738" t="s">
        <v>20</v>
      </c>
      <c r="D738">
        <v>25</v>
      </c>
      <c r="E738" t="s">
        <v>265</v>
      </c>
      <c r="F738" t="s">
        <v>28</v>
      </c>
      <c r="G738" t="s">
        <v>1248</v>
      </c>
      <c r="H738">
        <v>53043.74</v>
      </c>
      <c r="I738" t="s">
        <v>125</v>
      </c>
      <c r="J738">
        <v>-507918157</v>
      </c>
      <c r="K738" t="s">
        <v>23</v>
      </c>
      <c r="L738" t="b">
        <v>1</v>
      </c>
      <c r="P738" t="str">
        <f>TRIM(Before_Tbl[[#This Row],[Employee_ID]])</f>
        <v>EMP1736</v>
      </c>
      <c r="Q738" t="str">
        <f>TRIM(PROPER(Before_Tbl[[#This Row],[First_Name]]))</f>
        <v>Charlie</v>
      </c>
      <c r="R738" t="str">
        <f>TRIM(PROPER(Before_Tbl[[#This Row],[Last_Name]]))</f>
        <v>Brown</v>
      </c>
      <c r="S738" s="25">
        <f t="shared" si="11"/>
        <v>25</v>
      </c>
      <c r="T738" t="str">
        <f>LEFT(Before_Tbl[[#This Row],[Department_Region]],FIND("-",Before_Tbl[[#This Row],[Department_Region]])-1)</f>
        <v>Finance</v>
      </c>
      <c r="U738" t="str">
        <f>RIGHT(Before_Tbl[[#This Row],[Department_Region]],LEN(Before_Tbl[[#This Row],[Department_Region]])-FIND("-",Before_Tbl[[#This Row],[Department_Region]]))</f>
        <v>Illinois</v>
      </c>
      <c r="V738" t="str">
        <f>TRIM(PROPER(Before_Tbl[[#This Row],[Status]]))</f>
        <v>Pending</v>
      </c>
      <c r="W738" s="26">
        <v>44909</v>
      </c>
      <c r="X738" s="4">
        <v>53043.74</v>
      </c>
      <c r="Y738" t="str">
        <f>TRIM(LOWER(Before_Tbl[[#This Row],[Email]]))</f>
        <v>charlie.brown@example.com</v>
      </c>
      <c r="Z738" s="2" t="str">
        <f>SUBSTITUTE(Before_Tbl[[#This Row],[Phone]],"-","")</f>
        <v>507918157</v>
      </c>
      <c r="AA738" t="str">
        <f>TRIM(PROPER(Before_Tbl[[#This Row],[Performance_Score]]))</f>
        <v>Excellent</v>
      </c>
      <c r="AB738" s="2" t="str">
        <f>TRIM(UPPER(Before_Tbl[[#This Row],[Remote_Work]]))</f>
        <v>TRUE</v>
      </c>
    </row>
    <row r="739" spans="1:28" x14ac:dyDescent="0.35">
      <c r="A739" t="s">
        <v>1249</v>
      </c>
      <c r="B739" t="s">
        <v>32</v>
      </c>
      <c r="C739" t="s">
        <v>26</v>
      </c>
      <c r="D739">
        <v>30</v>
      </c>
      <c r="E739" t="s">
        <v>78</v>
      </c>
      <c r="F739" t="s">
        <v>33</v>
      </c>
      <c r="G739" t="s">
        <v>1250</v>
      </c>
      <c r="H739">
        <v>82547.259999999995</v>
      </c>
      <c r="I739" t="s">
        <v>278</v>
      </c>
      <c r="J739">
        <v>-9988683451</v>
      </c>
      <c r="K739" t="s">
        <v>23</v>
      </c>
      <c r="L739" t="b">
        <v>1</v>
      </c>
      <c r="P739" t="str">
        <f>TRIM(Before_Tbl[[#This Row],[Employee_ID]])</f>
        <v>EMP1737</v>
      </c>
      <c r="Q739" t="str">
        <f>TRIM(PROPER(Before_Tbl[[#This Row],[First_Name]]))</f>
        <v>Eva</v>
      </c>
      <c r="R739" t="str">
        <f>TRIM(PROPER(Before_Tbl[[#This Row],[Last_Name]]))</f>
        <v>Jones</v>
      </c>
      <c r="S739" s="25">
        <f t="shared" si="11"/>
        <v>30</v>
      </c>
      <c r="T739" t="str">
        <f>LEFT(Before_Tbl[[#This Row],[Department_Region]],FIND("-",Before_Tbl[[#This Row],[Department_Region]])-1)</f>
        <v>DevOps</v>
      </c>
      <c r="U739" t="str">
        <f>RIGHT(Before_Tbl[[#This Row],[Department_Region]],LEN(Before_Tbl[[#This Row],[Department_Region]])-FIND("-",Before_Tbl[[#This Row],[Department_Region]]))</f>
        <v>Illinois</v>
      </c>
      <c r="V739" t="str">
        <f>TRIM(PROPER(Before_Tbl[[#This Row],[Status]]))</f>
        <v>Inactive</v>
      </c>
      <c r="W739" s="26">
        <v>43939</v>
      </c>
      <c r="X739" s="4">
        <v>82547.259999999995</v>
      </c>
      <c r="Y739" t="str">
        <f>TRIM(LOWER(Before_Tbl[[#This Row],[Email]]))</f>
        <v>eva.jones@example.com</v>
      </c>
      <c r="Z739" s="2" t="str">
        <f>SUBSTITUTE(Before_Tbl[[#This Row],[Phone]],"-","")</f>
        <v>9988683451</v>
      </c>
      <c r="AA739" t="str">
        <f>TRIM(PROPER(Before_Tbl[[#This Row],[Performance_Score]]))</f>
        <v>Excellent</v>
      </c>
      <c r="AB739" s="2" t="str">
        <f>TRIM(UPPER(Before_Tbl[[#This Row],[Remote_Work]]))</f>
        <v>TRUE</v>
      </c>
    </row>
    <row r="740" spans="1:28" x14ac:dyDescent="0.35">
      <c r="A740" t="s">
        <v>1251</v>
      </c>
      <c r="B740" t="s">
        <v>13</v>
      </c>
      <c r="C740" t="s">
        <v>26</v>
      </c>
      <c r="D740">
        <v>40</v>
      </c>
      <c r="E740" t="s">
        <v>15</v>
      </c>
      <c r="F740" t="s">
        <v>28</v>
      </c>
      <c r="G740" s="1">
        <v>45606</v>
      </c>
      <c r="H740">
        <v>113900.81</v>
      </c>
      <c r="I740" t="s">
        <v>50</v>
      </c>
      <c r="J740">
        <v>-7346666169</v>
      </c>
      <c r="K740" t="s">
        <v>18</v>
      </c>
      <c r="L740" t="b">
        <v>1</v>
      </c>
      <c r="P740" t="str">
        <f>TRIM(Before_Tbl[[#This Row],[Employee_ID]])</f>
        <v>EMP1738</v>
      </c>
      <c r="Q740" t="str">
        <f>TRIM(PROPER(Before_Tbl[[#This Row],[First_Name]]))</f>
        <v>Bob</v>
      </c>
      <c r="R740" t="str">
        <f>TRIM(PROPER(Before_Tbl[[#This Row],[Last_Name]]))</f>
        <v>Jones</v>
      </c>
      <c r="S740" s="25">
        <f t="shared" si="11"/>
        <v>40</v>
      </c>
      <c r="T740" t="str">
        <f>LEFT(Before_Tbl[[#This Row],[Department_Region]],FIND("-",Before_Tbl[[#This Row],[Department_Region]])-1)</f>
        <v>DevOps</v>
      </c>
      <c r="U740" t="str">
        <f>RIGHT(Before_Tbl[[#This Row],[Department_Region]],LEN(Before_Tbl[[#This Row],[Department_Region]])-FIND("-",Before_Tbl[[#This Row],[Department_Region]]))</f>
        <v>California</v>
      </c>
      <c r="V740" t="str">
        <f>TRIM(PROPER(Before_Tbl[[#This Row],[Status]]))</f>
        <v>Pending</v>
      </c>
      <c r="W740" s="26">
        <v>45606</v>
      </c>
      <c r="X740" s="4">
        <v>113900.81</v>
      </c>
      <c r="Y740" t="str">
        <f>TRIM(LOWER(Before_Tbl[[#This Row],[Email]]))</f>
        <v>bob.jones@example.com</v>
      </c>
      <c r="Z740" s="2" t="str">
        <f>SUBSTITUTE(Before_Tbl[[#This Row],[Phone]],"-","")</f>
        <v>7346666169</v>
      </c>
      <c r="AA740" t="str">
        <f>TRIM(PROPER(Before_Tbl[[#This Row],[Performance_Score]]))</f>
        <v>Average</v>
      </c>
      <c r="AB740" s="2" t="str">
        <f>TRIM(UPPER(Before_Tbl[[#This Row],[Remote_Work]]))</f>
        <v>TRUE</v>
      </c>
    </row>
    <row r="741" spans="1:28" x14ac:dyDescent="0.35">
      <c r="A741" t="s">
        <v>1252</v>
      </c>
      <c r="B741" t="s">
        <v>13</v>
      </c>
      <c r="C741" t="s">
        <v>20</v>
      </c>
      <c r="D741">
        <v>25</v>
      </c>
      <c r="E741" t="s">
        <v>149</v>
      </c>
      <c r="F741" t="s">
        <v>33</v>
      </c>
      <c r="G741" t="s">
        <v>214</v>
      </c>
      <c r="H741">
        <v>118585.5</v>
      </c>
      <c r="I741" t="s">
        <v>22</v>
      </c>
      <c r="J741">
        <v>-7158796473</v>
      </c>
      <c r="K741" t="s">
        <v>18</v>
      </c>
      <c r="L741" t="b">
        <v>1</v>
      </c>
      <c r="P741" t="str">
        <f>TRIM(Before_Tbl[[#This Row],[Employee_ID]])</f>
        <v>EMP1739</v>
      </c>
      <c r="Q741" t="str">
        <f>TRIM(PROPER(Before_Tbl[[#This Row],[First_Name]]))</f>
        <v>Bob</v>
      </c>
      <c r="R741" t="str">
        <f>TRIM(PROPER(Before_Tbl[[#This Row],[Last_Name]]))</f>
        <v>Brown</v>
      </c>
      <c r="S741" s="25">
        <f t="shared" si="11"/>
        <v>25</v>
      </c>
      <c r="T741" t="str">
        <f>LEFT(Before_Tbl[[#This Row],[Department_Region]],FIND("-",Before_Tbl[[#This Row],[Department_Region]])-1)</f>
        <v>HR</v>
      </c>
      <c r="U741" t="str">
        <f>RIGHT(Before_Tbl[[#This Row],[Department_Region]],LEN(Before_Tbl[[#This Row],[Department_Region]])-FIND("-",Before_Tbl[[#This Row],[Department_Region]]))</f>
        <v>Nevada</v>
      </c>
      <c r="V741" t="str">
        <f>TRIM(PROPER(Before_Tbl[[#This Row],[Status]]))</f>
        <v>Inactive</v>
      </c>
      <c r="W741" s="26">
        <v>44304</v>
      </c>
      <c r="X741" s="4">
        <v>118585.5</v>
      </c>
      <c r="Y741" t="str">
        <f>TRIM(LOWER(Before_Tbl[[#This Row],[Email]]))</f>
        <v>bob.brown@example.com</v>
      </c>
      <c r="Z741" s="2" t="str">
        <f>SUBSTITUTE(Before_Tbl[[#This Row],[Phone]],"-","")</f>
        <v>7158796473</v>
      </c>
      <c r="AA741" t="str">
        <f>TRIM(PROPER(Before_Tbl[[#This Row],[Performance_Score]]))</f>
        <v>Average</v>
      </c>
      <c r="AB741" s="2" t="str">
        <f>TRIM(UPPER(Before_Tbl[[#This Row],[Remote_Work]]))</f>
        <v>TRUE</v>
      </c>
    </row>
    <row r="742" spans="1:28" x14ac:dyDescent="0.35">
      <c r="A742" t="s">
        <v>1253</v>
      </c>
      <c r="B742" t="s">
        <v>13</v>
      </c>
      <c r="C742" t="s">
        <v>14</v>
      </c>
      <c r="D742">
        <v>35</v>
      </c>
      <c r="E742" t="s">
        <v>265</v>
      </c>
      <c r="F742" t="s">
        <v>28</v>
      </c>
      <c r="G742" t="s">
        <v>1254</v>
      </c>
      <c r="H742">
        <v>63049.22</v>
      </c>
      <c r="I742" t="s">
        <v>17</v>
      </c>
      <c r="J742">
        <v>-803149981</v>
      </c>
      <c r="K742" t="s">
        <v>41</v>
      </c>
      <c r="L742" t="b">
        <v>1</v>
      </c>
      <c r="P742" t="str">
        <f>TRIM(Before_Tbl[[#This Row],[Employee_ID]])</f>
        <v>EMP1740</v>
      </c>
      <c r="Q742" t="str">
        <f>TRIM(PROPER(Before_Tbl[[#This Row],[First_Name]]))</f>
        <v>Bob</v>
      </c>
      <c r="R742" t="str">
        <f>TRIM(PROPER(Before_Tbl[[#This Row],[Last_Name]]))</f>
        <v>Davis</v>
      </c>
      <c r="S742" s="25">
        <f t="shared" si="11"/>
        <v>35</v>
      </c>
      <c r="T742" t="str">
        <f>LEFT(Before_Tbl[[#This Row],[Department_Region]],FIND("-",Before_Tbl[[#This Row],[Department_Region]])-1)</f>
        <v>Finance</v>
      </c>
      <c r="U742" t="str">
        <f>RIGHT(Before_Tbl[[#This Row],[Department_Region]],LEN(Before_Tbl[[#This Row],[Department_Region]])-FIND("-",Before_Tbl[[#This Row],[Department_Region]]))</f>
        <v>Illinois</v>
      </c>
      <c r="V742" t="str">
        <f>TRIM(PROPER(Before_Tbl[[#This Row],[Status]]))</f>
        <v>Pending</v>
      </c>
      <c r="W742" s="26">
        <v>44011</v>
      </c>
      <c r="X742" s="4">
        <v>63049.22</v>
      </c>
      <c r="Y742" t="str">
        <f>TRIM(LOWER(Before_Tbl[[#This Row],[Email]]))</f>
        <v>bob.davis@example.com</v>
      </c>
      <c r="Z742" s="2" t="str">
        <f>SUBSTITUTE(Before_Tbl[[#This Row],[Phone]],"-","")</f>
        <v>803149981</v>
      </c>
      <c r="AA742" t="str">
        <f>TRIM(PROPER(Before_Tbl[[#This Row],[Performance_Score]]))</f>
        <v>Poor</v>
      </c>
      <c r="AB742" s="2" t="str">
        <f>TRIM(UPPER(Before_Tbl[[#This Row],[Remote_Work]]))</f>
        <v>TRUE</v>
      </c>
    </row>
    <row r="743" spans="1:28" x14ac:dyDescent="0.35">
      <c r="A743" t="s">
        <v>1255</v>
      </c>
      <c r="B743" t="s">
        <v>65</v>
      </c>
      <c r="C743" t="s">
        <v>92</v>
      </c>
      <c r="E743" t="s">
        <v>237</v>
      </c>
      <c r="F743" t="s">
        <v>16</v>
      </c>
      <c r="G743" t="s">
        <v>1256</v>
      </c>
      <c r="H743">
        <v>114558.91</v>
      </c>
      <c r="I743" t="s">
        <v>130</v>
      </c>
      <c r="J743">
        <v>-5080046357</v>
      </c>
      <c r="K743" t="s">
        <v>18</v>
      </c>
      <c r="L743" t="b">
        <v>0</v>
      </c>
      <c r="P743" t="str">
        <f>TRIM(Before_Tbl[[#This Row],[Employee_ID]])</f>
        <v>EMP1741</v>
      </c>
      <c r="Q743" t="str">
        <f>TRIM(PROPER(Before_Tbl[[#This Row],[First_Name]]))</f>
        <v>Heidi</v>
      </c>
      <c r="R743" t="str">
        <f>TRIM(PROPER(Before_Tbl[[#This Row],[Last_Name]]))</f>
        <v>Miller</v>
      </c>
      <c r="S743" s="25">
        <f t="shared" si="11"/>
        <v>30</v>
      </c>
      <c r="T743" t="str">
        <f>LEFT(Before_Tbl[[#This Row],[Department_Region]],FIND("-",Before_Tbl[[#This Row],[Department_Region]])-1)</f>
        <v>DevOps</v>
      </c>
      <c r="U743" t="str">
        <f>RIGHT(Before_Tbl[[#This Row],[Department_Region]],LEN(Before_Tbl[[#This Row],[Department_Region]])-FIND("-",Before_Tbl[[#This Row],[Department_Region]]))</f>
        <v>Texas</v>
      </c>
      <c r="V743" t="str">
        <f>TRIM(PROPER(Before_Tbl[[#This Row],[Status]]))</f>
        <v>Active</v>
      </c>
      <c r="W743" s="26">
        <v>44337</v>
      </c>
      <c r="X743" s="4">
        <v>114558.91</v>
      </c>
      <c r="Y743" t="str">
        <f>TRIM(LOWER(Before_Tbl[[#This Row],[Email]]))</f>
        <v>heidi.miller@example.com</v>
      </c>
      <c r="Z743" s="2" t="str">
        <f>SUBSTITUTE(Before_Tbl[[#This Row],[Phone]],"-","")</f>
        <v>5080046357</v>
      </c>
      <c r="AA743" t="str">
        <f>TRIM(PROPER(Before_Tbl[[#This Row],[Performance_Score]]))</f>
        <v>Average</v>
      </c>
      <c r="AB743" s="2" t="str">
        <f>TRIM(UPPER(Before_Tbl[[#This Row],[Remote_Work]]))</f>
        <v>FALSE</v>
      </c>
    </row>
    <row r="744" spans="1:28" x14ac:dyDescent="0.35">
      <c r="A744" t="s">
        <v>1257</v>
      </c>
      <c r="B744" t="s">
        <v>65</v>
      </c>
      <c r="C744" t="s">
        <v>55</v>
      </c>
      <c r="D744">
        <v>40</v>
      </c>
      <c r="E744" t="s">
        <v>56</v>
      </c>
      <c r="F744" t="s">
        <v>16</v>
      </c>
      <c r="G744" s="1">
        <v>44512</v>
      </c>
      <c r="H744">
        <v>97901.79</v>
      </c>
      <c r="I744" t="s">
        <v>113</v>
      </c>
      <c r="J744">
        <v>-688285030</v>
      </c>
      <c r="K744" t="s">
        <v>18</v>
      </c>
      <c r="L744" t="b">
        <v>1</v>
      </c>
      <c r="P744" t="str">
        <f>TRIM(Before_Tbl[[#This Row],[Employee_ID]])</f>
        <v>EMP1742</v>
      </c>
      <c r="Q744" t="str">
        <f>TRIM(PROPER(Before_Tbl[[#This Row],[First_Name]]))</f>
        <v>Heidi</v>
      </c>
      <c r="R744" t="str">
        <f>TRIM(PROPER(Before_Tbl[[#This Row],[Last_Name]]))</f>
        <v>Johnson</v>
      </c>
      <c r="S744" s="25">
        <f t="shared" si="11"/>
        <v>40</v>
      </c>
      <c r="T744" t="str">
        <f>LEFT(Before_Tbl[[#This Row],[Department_Region]],FIND("-",Before_Tbl[[#This Row],[Department_Region]])-1)</f>
        <v>DevOps</v>
      </c>
      <c r="U744" t="str">
        <f>RIGHT(Before_Tbl[[#This Row],[Department_Region]],LEN(Before_Tbl[[#This Row],[Department_Region]])-FIND("-",Before_Tbl[[#This Row],[Department_Region]]))</f>
        <v>New York</v>
      </c>
      <c r="V744" t="str">
        <f>TRIM(PROPER(Before_Tbl[[#This Row],[Status]]))</f>
        <v>Active</v>
      </c>
      <c r="W744" s="26">
        <v>44512</v>
      </c>
      <c r="X744" s="4">
        <v>97901.79</v>
      </c>
      <c r="Y744" t="str">
        <f>TRIM(LOWER(Before_Tbl[[#This Row],[Email]]))</f>
        <v>heidi.johnson@example.com</v>
      </c>
      <c r="Z744" s="2" t="str">
        <f>SUBSTITUTE(Before_Tbl[[#This Row],[Phone]],"-","")</f>
        <v>688285030</v>
      </c>
      <c r="AA744" t="str">
        <f>TRIM(PROPER(Before_Tbl[[#This Row],[Performance_Score]]))</f>
        <v>Average</v>
      </c>
      <c r="AB744" s="2" t="str">
        <f>TRIM(UPPER(Before_Tbl[[#This Row],[Remote_Work]]))</f>
        <v>TRUE</v>
      </c>
    </row>
    <row r="745" spans="1:28" x14ac:dyDescent="0.35">
      <c r="A745" t="s">
        <v>1258</v>
      </c>
      <c r="B745" t="s">
        <v>32</v>
      </c>
      <c r="C745" t="s">
        <v>26</v>
      </c>
      <c r="D745">
        <v>30</v>
      </c>
      <c r="E745" t="s">
        <v>177</v>
      </c>
      <c r="F745" t="s">
        <v>16</v>
      </c>
      <c r="G745" s="1">
        <v>45053</v>
      </c>
      <c r="H745">
        <v>68037.56</v>
      </c>
      <c r="I745" t="s">
        <v>278</v>
      </c>
      <c r="J745">
        <v>-7235137398</v>
      </c>
      <c r="K745" t="s">
        <v>18</v>
      </c>
      <c r="L745" t="b">
        <v>0</v>
      </c>
      <c r="P745" t="str">
        <f>TRIM(Before_Tbl[[#This Row],[Employee_ID]])</f>
        <v>EMP1743</v>
      </c>
      <c r="Q745" t="str">
        <f>TRIM(PROPER(Before_Tbl[[#This Row],[First_Name]]))</f>
        <v>Eva</v>
      </c>
      <c r="R745" t="str">
        <f>TRIM(PROPER(Before_Tbl[[#This Row],[Last_Name]]))</f>
        <v>Jones</v>
      </c>
      <c r="S745" s="25">
        <f t="shared" si="11"/>
        <v>30</v>
      </c>
      <c r="T745" t="str">
        <f>LEFT(Before_Tbl[[#This Row],[Department_Region]],FIND("-",Before_Tbl[[#This Row],[Department_Region]])-1)</f>
        <v>Sales</v>
      </c>
      <c r="U745" t="str">
        <f>RIGHT(Before_Tbl[[#This Row],[Department_Region]],LEN(Before_Tbl[[#This Row],[Department_Region]])-FIND("-",Before_Tbl[[#This Row],[Department_Region]]))</f>
        <v>California</v>
      </c>
      <c r="V745" t="str">
        <f>TRIM(PROPER(Before_Tbl[[#This Row],[Status]]))</f>
        <v>Active</v>
      </c>
      <c r="W745" s="26">
        <v>45053</v>
      </c>
      <c r="X745" s="4">
        <v>68037.56</v>
      </c>
      <c r="Y745" t="str">
        <f>TRIM(LOWER(Before_Tbl[[#This Row],[Email]]))</f>
        <v>eva.jones@example.com</v>
      </c>
      <c r="Z745" s="2" t="str">
        <f>SUBSTITUTE(Before_Tbl[[#This Row],[Phone]],"-","")</f>
        <v>7235137398</v>
      </c>
      <c r="AA745" t="str">
        <f>TRIM(PROPER(Before_Tbl[[#This Row],[Performance_Score]]))</f>
        <v>Average</v>
      </c>
      <c r="AB745" s="2" t="str">
        <f>TRIM(UPPER(Before_Tbl[[#This Row],[Remote_Work]]))</f>
        <v>FALSE</v>
      </c>
    </row>
    <row r="746" spans="1:28" x14ac:dyDescent="0.35">
      <c r="A746" t="s">
        <v>1259</v>
      </c>
      <c r="B746" t="s">
        <v>25</v>
      </c>
      <c r="C746" t="s">
        <v>38</v>
      </c>
      <c r="E746" t="s">
        <v>66</v>
      </c>
      <c r="F746" t="s">
        <v>16</v>
      </c>
      <c r="G746" t="s">
        <v>1260</v>
      </c>
      <c r="H746">
        <v>112802.27</v>
      </c>
      <c r="I746" t="s">
        <v>363</v>
      </c>
      <c r="J746">
        <v>-63140351</v>
      </c>
      <c r="K746" t="s">
        <v>23</v>
      </c>
      <c r="L746" t="b">
        <v>0</v>
      </c>
      <c r="P746" t="str">
        <f>TRIM(Before_Tbl[[#This Row],[Employee_ID]])</f>
        <v>EMP1744</v>
      </c>
      <c r="Q746" t="str">
        <f>TRIM(PROPER(Before_Tbl[[#This Row],[First_Name]]))</f>
        <v>Alice</v>
      </c>
      <c r="R746" t="str">
        <f>TRIM(PROPER(Before_Tbl[[#This Row],[Last_Name]]))</f>
        <v>Williams</v>
      </c>
      <c r="S746" s="25">
        <f t="shared" si="11"/>
        <v>30</v>
      </c>
      <c r="T746" t="str">
        <f>LEFT(Before_Tbl[[#This Row],[Department_Region]],FIND("-",Before_Tbl[[#This Row],[Department_Region]])-1)</f>
        <v>HR</v>
      </c>
      <c r="U746" t="str">
        <f>RIGHT(Before_Tbl[[#This Row],[Department_Region]],LEN(Before_Tbl[[#This Row],[Department_Region]])-FIND("-",Before_Tbl[[#This Row],[Department_Region]]))</f>
        <v>New York</v>
      </c>
      <c r="V746" t="str">
        <f>TRIM(PROPER(Before_Tbl[[#This Row],[Status]]))</f>
        <v>Active</v>
      </c>
      <c r="W746" s="26">
        <v>44530</v>
      </c>
      <c r="X746" s="4">
        <v>112802.27</v>
      </c>
      <c r="Y746" t="str">
        <f>TRIM(LOWER(Before_Tbl[[#This Row],[Email]]))</f>
        <v>alice.williams@example.com</v>
      </c>
      <c r="Z746" s="2" t="str">
        <f>SUBSTITUTE(Before_Tbl[[#This Row],[Phone]],"-","")</f>
        <v>63140351</v>
      </c>
      <c r="AA746" t="str">
        <f>TRIM(PROPER(Before_Tbl[[#This Row],[Performance_Score]]))</f>
        <v>Excellent</v>
      </c>
      <c r="AB746" s="2" t="str">
        <f>TRIM(UPPER(Before_Tbl[[#This Row],[Remote_Work]]))</f>
        <v>FALSE</v>
      </c>
    </row>
    <row r="747" spans="1:28" x14ac:dyDescent="0.35">
      <c r="A747" t="s">
        <v>1261</v>
      </c>
      <c r="B747" t="s">
        <v>13</v>
      </c>
      <c r="C747" t="s">
        <v>55</v>
      </c>
      <c r="D747">
        <v>40</v>
      </c>
      <c r="E747" t="s">
        <v>219</v>
      </c>
      <c r="F747" t="s">
        <v>28</v>
      </c>
      <c r="G747" t="s">
        <v>337</v>
      </c>
      <c r="H747">
        <v>93786.72</v>
      </c>
      <c r="I747" t="s">
        <v>199</v>
      </c>
      <c r="J747">
        <v>-6356022938</v>
      </c>
      <c r="K747" t="s">
        <v>41</v>
      </c>
      <c r="L747" t="b">
        <v>0</v>
      </c>
      <c r="P747" t="str">
        <f>TRIM(Before_Tbl[[#This Row],[Employee_ID]])</f>
        <v>EMP1745</v>
      </c>
      <c r="Q747" t="str">
        <f>TRIM(PROPER(Before_Tbl[[#This Row],[First_Name]]))</f>
        <v>Bob</v>
      </c>
      <c r="R747" t="str">
        <f>TRIM(PROPER(Before_Tbl[[#This Row],[Last_Name]]))</f>
        <v>Johnson</v>
      </c>
      <c r="S747" s="25">
        <f t="shared" si="11"/>
        <v>40</v>
      </c>
      <c r="T747" t="str">
        <f>LEFT(Before_Tbl[[#This Row],[Department_Region]],FIND("-",Before_Tbl[[#This Row],[Department_Region]])-1)</f>
        <v>Sales</v>
      </c>
      <c r="U747" t="str">
        <f>RIGHT(Before_Tbl[[#This Row],[Department_Region]],LEN(Before_Tbl[[#This Row],[Department_Region]])-FIND("-",Before_Tbl[[#This Row],[Department_Region]]))</f>
        <v>Nevada</v>
      </c>
      <c r="V747" t="str">
        <f>TRIM(PROPER(Before_Tbl[[#This Row],[Status]]))</f>
        <v>Pending</v>
      </c>
      <c r="W747" s="26">
        <v>45618</v>
      </c>
      <c r="X747" s="4">
        <v>93786.72</v>
      </c>
      <c r="Y747" t="str">
        <f>TRIM(LOWER(Before_Tbl[[#This Row],[Email]]))</f>
        <v>bob.johnson@example.com</v>
      </c>
      <c r="Z747" s="2" t="str">
        <f>SUBSTITUTE(Before_Tbl[[#This Row],[Phone]],"-","")</f>
        <v>6356022938</v>
      </c>
      <c r="AA747" t="str">
        <f>TRIM(PROPER(Before_Tbl[[#This Row],[Performance_Score]]))</f>
        <v>Poor</v>
      </c>
      <c r="AB747" s="2" t="str">
        <f>TRIM(UPPER(Before_Tbl[[#This Row],[Remote_Work]]))</f>
        <v>FALSE</v>
      </c>
    </row>
    <row r="748" spans="1:28" x14ac:dyDescent="0.35">
      <c r="A748" t="s">
        <v>1262</v>
      </c>
      <c r="B748" t="s">
        <v>59</v>
      </c>
      <c r="C748" t="s">
        <v>38</v>
      </c>
      <c r="E748" t="s">
        <v>205</v>
      </c>
      <c r="F748" t="s">
        <v>33</v>
      </c>
      <c r="G748" t="s">
        <v>524</v>
      </c>
      <c r="H748">
        <v>73049.929999999993</v>
      </c>
      <c r="I748" t="s">
        <v>61</v>
      </c>
      <c r="J748">
        <v>-4694346065</v>
      </c>
      <c r="K748" t="s">
        <v>30</v>
      </c>
      <c r="L748" t="b">
        <v>0</v>
      </c>
      <c r="P748" t="str">
        <f>TRIM(Before_Tbl[[#This Row],[Employee_ID]])</f>
        <v>EMP1746</v>
      </c>
      <c r="Q748" t="str">
        <f>TRIM(PROPER(Before_Tbl[[#This Row],[First_Name]]))</f>
        <v>David</v>
      </c>
      <c r="R748" t="str">
        <f>TRIM(PROPER(Before_Tbl[[#This Row],[Last_Name]]))</f>
        <v>Williams</v>
      </c>
      <c r="S748" s="25">
        <f t="shared" si="11"/>
        <v>30</v>
      </c>
      <c r="T748" t="str">
        <f>LEFT(Before_Tbl[[#This Row],[Department_Region]],FIND("-",Before_Tbl[[#This Row],[Department_Region]])-1)</f>
        <v>Admin</v>
      </c>
      <c r="U748" t="str">
        <f>RIGHT(Before_Tbl[[#This Row],[Department_Region]],LEN(Before_Tbl[[#This Row],[Department_Region]])-FIND("-",Before_Tbl[[#This Row],[Department_Region]]))</f>
        <v>Florida</v>
      </c>
      <c r="V748" t="str">
        <f>TRIM(PROPER(Before_Tbl[[#This Row],[Status]]))</f>
        <v>Inactive</v>
      </c>
      <c r="W748" s="26">
        <v>45070</v>
      </c>
      <c r="X748" s="4">
        <v>73049.929999999993</v>
      </c>
      <c r="Y748" t="str">
        <f>TRIM(LOWER(Before_Tbl[[#This Row],[Email]]))</f>
        <v>david.williams@example.com</v>
      </c>
      <c r="Z748" s="2" t="str">
        <f>SUBSTITUTE(Before_Tbl[[#This Row],[Phone]],"-","")</f>
        <v>4694346065</v>
      </c>
      <c r="AA748" t="str">
        <f>TRIM(PROPER(Before_Tbl[[#This Row],[Performance_Score]]))</f>
        <v>Good</v>
      </c>
      <c r="AB748" s="2" t="str">
        <f>TRIM(UPPER(Before_Tbl[[#This Row],[Remote_Work]]))</f>
        <v>FALSE</v>
      </c>
    </row>
    <row r="749" spans="1:28" x14ac:dyDescent="0.35">
      <c r="A749" t="s">
        <v>1263</v>
      </c>
      <c r="B749" t="s">
        <v>59</v>
      </c>
      <c r="C749" t="s">
        <v>14</v>
      </c>
      <c r="D749">
        <v>30</v>
      </c>
      <c r="E749" t="s">
        <v>98</v>
      </c>
      <c r="F749" t="s">
        <v>28</v>
      </c>
      <c r="G749" t="s">
        <v>1264</v>
      </c>
      <c r="H749">
        <v>64161.72</v>
      </c>
      <c r="I749" t="s">
        <v>63</v>
      </c>
      <c r="J749">
        <v>-6437490606</v>
      </c>
      <c r="K749" t="s">
        <v>23</v>
      </c>
      <c r="L749" t="b">
        <v>1</v>
      </c>
      <c r="P749" t="str">
        <f>TRIM(Before_Tbl[[#This Row],[Employee_ID]])</f>
        <v>EMP1747</v>
      </c>
      <c r="Q749" t="str">
        <f>TRIM(PROPER(Before_Tbl[[#This Row],[First_Name]]))</f>
        <v>David</v>
      </c>
      <c r="R749" t="str">
        <f>TRIM(PROPER(Before_Tbl[[#This Row],[Last_Name]]))</f>
        <v>Davis</v>
      </c>
      <c r="S749" s="25">
        <f t="shared" si="11"/>
        <v>30</v>
      </c>
      <c r="T749" t="str">
        <f>LEFT(Before_Tbl[[#This Row],[Department_Region]],FIND("-",Before_Tbl[[#This Row],[Department_Region]])-1)</f>
        <v>Sales</v>
      </c>
      <c r="U749" t="str">
        <f>RIGHT(Before_Tbl[[#This Row],[Department_Region]],LEN(Before_Tbl[[#This Row],[Department_Region]])-FIND("-",Before_Tbl[[#This Row],[Department_Region]]))</f>
        <v>Illinois</v>
      </c>
      <c r="V749" t="str">
        <f>TRIM(PROPER(Before_Tbl[[#This Row],[Status]]))</f>
        <v>Pending</v>
      </c>
      <c r="W749" s="26">
        <v>45469</v>
      </c>
      <c r="X749" s="4">
        <v>64161.72</v>
      </c>
      <c r="Y749" t="str">
        <f>TRIM(LOWER(Before_Tbl[[#This Row],[Email]]))</f>
        <v>david.davis@example.com</v>
      </c>
      <c r="Z749" s="2" t="str">
        <f>SUBSTITUTE(Before_Tbl[[#This Row],[Phone]],"-","")</f>
        <v>6437490606</v>
      </c>
      <c r="AA749" t="str">
        <f>TRIM(PROPER(Before_Tbl[[#This Row],[Performance_Score]]))</f>
        <v>Excellent</v>
      </c>
      <c r="AB749" s="2" t="str">
        <f>TRIM(UPPER(Before_Tbl[[#This Row],[Remote_Work]]))</f>
        <v>TRUE</v>
      </c>
    </row>
    <row r="750" spans="1:28" x14ac:dyDescent="0.35">
      <c r="A750" t="s">
        <v>1265</v>
      </c>
      <c r="B750" t="s">
        <v>54</v>
      </c>
      <c r="C750" t="s">
        <v>122</v>
      </c>
      <c r="D750">
        <v>40</v>
      </c>
      <c r="E750" t="s">
        <v>27</v>
      </c>
      <c r="F750" t="s">
        <v>28</v>
      </c>
      <c r="G750" t="s">
        <v>1266</v>
      </c>
      <c r="H750">
        <v>72224.73</v>
      </c>
      <c r="I750" t="s">
        <v>194</v>
      </c>
      <c r="J750">
        <v>-2311127127</v>
      </c>
      <c r="K750" t="s">
        <v>18</v>
      </c>
      <c r="L750" t="b">
        <v>0</v>
      </c>
      <c r="P750" t="str">
        <f>TRIM(Before_Tbl[[#This Row],[Employee_ID]])</f>
        <v>EMP1748</v>
      </c>
      <c r="Q750" t="str">
        <f>TRIM(PROPER(Before_Tbl[[#This Row],[First_Name]]))</f>
        <v>Charlie</v>
      </c>
      <c r="R750" t="str">
        <f>TRIM(PROPER(Before_Tbl[[#This Row],[Last_Name]]))</f>
        <v>Smith</v>
      </c>
      <c r="S750" s="25">
        <f t="shared" si="11"/>
        <v>40</v>
      </c>
      <c r="T750" t="str">
        <f>LEFT(Before_Tbl[[#This Row],[Department_Region]],FIND("-",Before_Tbl[[#This Row],[Department_Region]])-1)</f>
        <v>Admin</v>
      </c>
      <c r="U750" t="str">
        <f>RIGHT(Before_Tbl[[#This Row],[Department_Region]],LEN(Before_Tbl[[#This Row],[Department_Region]])-FIND("-",Before_Tbl[[#This Row],[Department_Region]]))</f>
        <v>Nevada</v>
      </c>
      <c r="V750" t="str">
        <f>TRIM(PROPER(Before_Tbl[[#This Row],[Status]]))</f>
        <v>Pending</v>
      </c>
      <c r="W750" s="26">
        <v>44154</v>
      </c>
      <c r="X750" s="4">
        <v>72224.73</v>
      </c>
      <c r="Y750" t="str">
        <f>TRIM(LOWER(Before_Tbl[[#This Row],[Email]]))</f>
        <v>charlie.smith@example.com</v>
      </c>
      <c r="Z750" s="2" t="str">
        <f>SUBSTITUTE(Before_Tbl[[#This Row],[Phone]],"-","")</f>
        <v>2311127127</v>
      </c>
      <c r="AA750" t="str">
        <f>TRIM(PROPER(Before_Tbl[[#This Row],[Performance_Score]]))</f>
        <v>Average</v>
      </c>
      <c r="AB750" s="2" t="str">
        <f>TRIM(UPPER(Before_Tbl[[#This Row],[Remote_Work]]))</f>
        <v>FALSE</v>
      </c>
    </row>
    <row r="751" spans="1:28" x14ac:dyDescent="0.35">
      <c r="A751" t="s">
        <v>1267</v>
      </c>
      <c r="B751" t="s">
        <v>13</v>
      </c>
      <c r="C751" t="s">
        <v>55</v>
      </c>
      <c r="D751">
        <v>30</v>
      </c>
      <c r="E751" t="s">
        <v>66</v>
      </c>
      <c r="F751" t="s">
        <v>28</v>
      </c>
      <c r="G751" s="1">
        <v>43833</v>
      </c>
      <c r="H751">
        <v>103580.45</v>
      </c>
      <c r="I751" t="s">
        <v>199</v>
      </c>
      <c r="J751">
        <v>-5246484493</v>
      </c>
      <c r="K751" t="s">
        <v>23</v>
      </c>
      <c r="L751" t="b">
        <v>0</v>
      </c>
      <c r="P751" t="str">
        <f>TRIM(Before_Tbl[[#This Row],[Employee_ID]])</f>
        <v>EMP1749</v>
      </c>
      <c r="Q751" t="str">
        <f>TRIM(PROPER(Before_Tbl[[#This Row],[First_Name]]))</f>
        <v>Bob</v>
      </c>
      <c r="R751" t="str">
        <f>TRIM(PROPER(Before_Tbl[[#This Row],[Last_Name]]))</f>
        <v>Johnson</v>
      </c>
      <c r="S751" s="25">
        <f t="shared" si="11"/>
        <v>30</v>
      </c>
      <c r="T751" t="str">
        <f>LEFT(Before_Tbl[[#This Row],[Department_Region]],FIND("-",Before_Tbl[[#This Row],[Department_Region]])-1)</f>
        <v>HR</v>
      </c>
      <c r="U751" t="str">
        <f>RIGHT(Before_Tbl[[#This Row],[Department_Region]],LEN(Before_Tbl[[#This Row],[Department_Region]])-FIND("-",Before_Tbl[[#This Row],[Department_Region]]))</f>
        <v>New York</v>
      </c>
      <c r="V751" t="str">
        <f>TRIM(PROPER(Before_Tbl[[#This Row],[Status]]))</f>
        <v>Pending</v>
      </c>
      <c r="W751" s="26">
        <v>43833</v>
      </c>
      <c r="X751" s="4">
        <v>103580.45</v>
      </c>
      <c r="Y751" t="str">
        <f>TRIM(LOWER(Before_Tbl[[#This Row],[Email]]))</f>
        <v>bob.johnson@example.com</v>
      </c>
      <c r="Z751" s="2" t="str">
        <f>SUBSTITUTE(Before_Tbl[[#This Row],[Phone]],"-","")</f>
        <v>5246484493</v>
      </c>
      <c r="AA751" t="str">
        <f>TRIM(PROPER(Before_Tbl[[#This Row],[Performance_Score]]))</f>
        <v>Excellent</v>
      </c>
      <c r="AB751" s="2" t="str">
        <f>TRIM(UPPER(Before_Tbl[[#This Row],[Remote_Work]]))</f>
        <v>FALSE</v>
      </c>
    </row>
    <row r="752" spans="1:28" x14ac:dyDescent="0.35">
      <c r="A752" t="s">
        <v>1268</v>
      </c>
      <c r="B752" t="s">
        <v>69</v>
      </c>
      <c r="C752" t="s">
        <v>43</v>
      </c>
      <c r="D752">
        <v>40</v>
      </c>
      <c r="E752" t="s">
        <v>212</v>
      </c>
      <c r="F752" t="s">
        <v>28</v>
      </c>
      <c r="G752" s="1">
        <v>45543</v>
      </c>
      <c r="H752">
        <v>112589.11</v>
      </c>
      <c r="I752" t="s">
        <v>83</v>
      </c>
      <c r="J752">
        <v>-1163187327</v>
      </c>
      <c r="K752" t="s">
        <v>18</v>
      </c>
      <c r="L752" t="b">
        <v>0</v>
      </c>
      <c r="P752" t="str">
        <f>TRIM(Before_Tbl[[#This Row],[Employee_ID]])</f>
        <v>EMP1750</v>
      </c>
      <c r="Q752" t="str">
        <f>TRIM(PROPER(Before_Tbl[[#This Row],[First_Name]]))</f>
        <v>Grace</v>
      </c>
      <c r="R752" t="str">
        <f>TRIM(PROPER(Before_Tbl[[#This Row],[Last_Name]]))</f>
        <v>Garcia</v>
      </c>
      <c r="S752" s="25">
        <f t="shared" si="11"/>
        <v>40</v>
      </c>
      <c r="T752" t="str">
        <f>LEFT(Before_Tbl[[#This Row],[Department_Region]],FIND("-",Before_Tbl[[#This Row],[Department_Region]])-1)</f>
        <v>HR</v>
      </c>
      <c r="U752" t="str">
        <f>RIGHT(Before_Tbl[[#This Row],[Department_Region]],LEN(Before_Tbl[[#This Row],[Department_Region]])-FIND("-",Before_Tbl[[#This Row],[Department_Region]]))</f>
        <v>Florida</v>
      </c>
      <c r="V752" t="str">
        <f>TRIM(PROPER(Before_Tbl[[#This Row],[Status]]))</f>
        <v>Pending</v>
      </c>
      <c r="W752" s="26">
        <v>45543</v>
      </c>
      <c r="X752" s="4">
        <v>112589.11</v>
      </c>
      <c r="Y752" t="str">
        <f>TRIM(LOWER(Before_Tbl[[#This Row],[Email]]))</f>
        <v>grace.garcia@example.com</v>
      </c>
      <c r="Z752" s="2" t="str">
        <f>SUBSTITUTE(Before_Tbl[[#This Row],[Phone]],"-","")</f>
        <v>1163187327</v>
      </c>
      <c r="AA752" t="str">
        <f>TRIM(PROPER(Before_Tbl[[#This Row],[Performance_Score]]))</f>
        <v>Average</v>
      </c>
      <c r="AB752" s="2" t="str">
        <f>TRIM(UPPER(Before_Tbl[[#This Row],[Remote_Work]]))</f>
        <v>FALSE</v>
      </c>
    </row>
    <row r="753" spans="1:28" x14ac:dyDescent="0.35">
      <c r="A753" t="s">
        <v>1269</v>
      </c>
      <c r="B753" t="s">
        <v>32</v>
      </c>
      <c r="C753" t="s">
        <v>26</v>
      </c>
      <c r="D753">
        <v>30</v>
      </c>
      <c r="E753" t="s">
        <v>103</v>
      </c>
      <c r="F753" t="s">
        <v>16</v>
      </c>
      <c r="G753" t="s">
        <v>1270</v>
      </c>
      <c r="H753">
        <v>51833.88</v>
      </c>
      <c r="I753" t="s">
        <v>278</v>
      </c>
      <c r="J753">
        <v>-771130620</v>
      </c>
      <c r="K753" t="s">
        <v>18</v>
      </c>
      <c r="L753" t="b">
        <v>1</v>
      </c>
      <c r="P753" t="str">
        <f>TRIM(Before_Tbl[[#This Row],[Employee_ID]])</f>
        <v>EMP1751</v>
      </c>
      <c r="Q753" t="str">
        <f>TRIM(PROPER(Before_Tbl[[#This Row],[First_Name]]))</f>
        <v>Eva</v>
      </c>
      <c r="R753" t="str">
        <f>TRIM(PROPER(Before_Tbl[[#This Row],[Last_Name]]))</f>
        <v>Jones</v>
      </c>
      <c r="S753" s="25">
        <f t="shared" si="11"/>
        <v>30</v>
      </c>
      <c r="T753" t="str">
        <f>LEFT(Before_Tbl[[#This Row],[Department_Region]],FIND("-",Before_Tbl[[#This Row],[Department_Region]])-1)</f>
        <v>Admin</v>
      </c>
      <c r="U753" t="str">
        <f>RIGHT(Before_Tbl[[#This Row],[Department_Region]],LEN(Before_Tbl[[#This Row],[Department_Region]])-FIND("-",Before_Tbl[[#This Row],[Department_Region]]))</f>
        <v>Texas</v>
      </c>
      <c r="V753" t="str">
        <f>TRIM(PROPER(Before_Tbl[[#This Row],[Status]]))</f>
        <v>Active</v>
      </c>
      <c r="W753" s="26">
        <v>44209</v>
      </c>
      <c r="X753" s="4">
        <v>51833.88</v>
      </c>
      <c r="Y753" t="str">
        <f>TRIM(LOWER(Before_Tbl[[#This Row],[Email]]))</f>
        <v>eva.jones@example.com</v>
      </c>
      <c r="Z753" s="2" t="str">
        <f>SUBSTITUTE(Before_Tbl[[#This Row],[Phone]],"-","")</f>
        <v>771130620</v>
      </c>
      <c r="AA753" t="str">
        <f>TRIM(PROPER(Before_Tbl[[#This Row],[Performance_Score]]))</f>
        <v>Average</v>
      </c>
      <c r="AB753" s="2" t="str">
        <f>TRIM(UPPER(Before_Tbl[[#This Row],[Remote_Work]]))</f>
        <v>TRUE</v>
      </c>
    </row>
    <row r="754" spans="1:28" x14ac:dyDescent="0.35">
      <c r="A754" t="s">
        <v>1271</v>
      </c>
      <c r="B754" t="s">
        <v>32</v>
      </c>
      <c r="C754" t="s">
        <v>55</v>
      </c>
      <c r="E754" t="s">
        <v>98</v>
      </c>
      <c r="F754" t="s">
        <v>16</v>
      </c>
      <c r="G754" s="1">
        <v>45082</v>
      </c>
      <c r="H754">
        <v>66252.78</v>
      </c>
      <c r="I754" t="s">
        <v>323</v>
      </c>
      <c r="J754">
        <v>-1369572789</v>
      </c>
      <c r="K754" t="s">
        <v>23</v>
      </c>
      <c r="L754" t="b">
        <v>1</v>
      </c>
      <c r="P754" t="str">
        <f>TRIM(Before_Tbl[[#This Row],[Employee_ID]])</f>
        <v>EMP1752</v>
      </c>
      <c r="Q754" t="str">
        <f>TRIM(PROPER(Before_Tbl[[#This Row],[First_Name]]))</f>
        <v>Eva</v>
      </c>
      <c r="R754" t="str">
        <f>TRIM(PROPER(Before_Tbl[[#This Row],[Last_Name]]))</f>
        <v>Johnson</v>
      </c>
      <c r="S754" s="25">
        <f t="shared" si="11"/>
        <v>30</v>
      </c>
      <c r="T754" t="str">
        <f>LEFT(Before_Tbl[[#This Row],[Department_Region]],FIND("-",Before_Tbl[[#This Row],[Department_Region]])-1)</f>
        <v>Sales</v>
      </c>
      <c r="U754" t="str">
        <f>RIGHT(Before_Tbl[[#This Row],[Department_Region]],LEN(Before_Tbl[[#This Row],[Department_Region]])-FIND("-",Before_Tbl[[#This Row],[Department_Region]]))</f>
        <v>Illinois</v>
      </c>
      <c r="V754" t="str">
        <f>TRIM(PROPER(Before_Tbl[[#This Row],[Status]]))</f>
        <v>Active</v>
      </c>
      <c r="W754" s="26">
        <v>45082</v>
      </c>
      <c r="X754" s="4">
        <v>66252.78</v>
      </c>
      <c r="Y754" t="str">
        <f>TRIM(LOWER(Before_Tbl[[#This Row],[Email]]))</f>
        <v>eva.johnson@example.com</v>
      </c>
      <c r="Z754" s="2" t="str">
        <f>SUBSTITUTE(Before_Tbl[[#This Row],[Phone]],"-","")</f>
        <v>1369572789</v>
      </c>
      <c r="AA754" t="str">
        <f>TRIM(PROPER(Before_Tbl[[#This Row],[Performance_Score]]))</f>
        <v>Excellent</v>
      </c>
      <c r="AB754" s="2" t="str">
        <f>TRIM(UPPER(Before_Tbl[[#This Row],[Remote_Work]]))</f>
        <v>TRUE</v>
      </c>
    </row>
    <row r="755" spans="1:28" x14ac:dyDescent="0.35">
      <c r="A755" t="s">
        <v>1272</v>
      </c>
      <c r="B755" t="s">
        <v>37</v>
      </c>
      <c r="C755" t="s">
        <v>55</v>
      </c>
      <c r="D755">
        <v>25</v>
      </c>
      <c r="E755" t="s">
        <v>230</v>
      </c>
      <c r="F755" t="s">
        <v>16</v>
      </c>
      <c r="G755" t="s">
        <v>1273</v>
      </c>
      <c r="H755">
        <v>109229.68</v>
      </c>
      <c r="I755" t="s">
        <v>271</v>
      </c>
      <c r="J755">
        <v>-8335090253</v>
      </c>
      <c r="K755" t="s">
        <v>41</v>
      </c>
      <c r="L755" t="b">
        <v>1</v>
      </c>
      <c r="P755" t="str">
        <f>TRIM(Before_Tbl[[#This Row],[Employee_ID]])</f>
        <v>EMP1753</v>
      </c>
      <c r="Q755" t="str">
        <f>TRIM(PROPER(Before_Tbl[[#This Row],[First_Name]]))</f>
        <v>Frank</v>
      </c>
      <c r="R755" t="str">
        <f>TRIM(PROPER(Before_Tbl[[#This Row],[Last_Name]]))</f>
        <v>Johnson</v>
      </c>
      <c r="S755" s="25">
        <f t="shared" si="11"/>
        <v>25</v>
      </c>
      <c r="T755" t="str">
        <f>LEFT(Before_Tbl[[#This Row],[Department_Region]],FIND("-",Before_Tbl[[#This Row],[Department_Region]])-1)</f>
        <v>DevOps</v>
      </c>
      <c r="U755" t="str">
        <f>RIGHT(Before_Tbl[[#This Row],[Department_Region]],LEN(Before_Tbl[[#This Row],[Department_Region]])-FIND("-",Before_Tbl[[#This Row],[Department_Region]]))</f>
        <v>Florida</v>
      </c>
      <c r="V755" t="str">
        <f>TRIM(PROPER(Before_Tbl[[#This Row],[Status]]))</f>
        <v>Active</v>
      </c>
      <c r="W755" s="26">
        <v>44859</v>
      </c>
      <c r="X755" s="4">
        <v>109229.68</v>
      </c>
      <c r="Y755" t="str">
        <f>TRIM(LOWER(Before_Tbl[[#This Row],[Email]]))</f>
        <v>frank.johnson@example.com</v>
      </c>
      <c r="Z755" s="2" t="str">
        <f>SUBSTITUTE(Before_Tbl[[#This Row],[Phone]],"-","")</f>
        <v>8335090253</v>
      </c>
      <c r="AA755" t="str">
        <f>TRIM(PROPER(Before_Tbl[[#This Row],[Performance_Score]]))</f>
        <v>Poor</v>
      </c>
      <c r="AB755" s="2" t="str">
        <f>TRIM(UPPER(Before_Tbl[[#This Row],[Remote_Work]]))</f>
        <v>TRUE</v>
      </c>
    </row>
    <row r="756" spans="1:28" x14ac:dyDescent="0.35">
      <c r="A756" t="s">
        <v>1274</v>
      </c>
      <c r="B756" t="s">
        <v>37</v>
      </c>
      <c r="C756" t="s">
        <v>55</v>
      </c>
      <c r="D756">
        <v>30</v>
      </c>
      <c r="E756" t="s">
        <v>112</v>
      </c>
      <c r="F756" t="s">
        <v>33</v>
      </c>
      <c r="G756" s="1">
        <v>44053</v>
      </c>
      <c r="H756">
        <v>61465.05</v>
      </c>
      <c r="I756" t="s">
        <v>271</v>
      </c>
      <c r="J756">
        <v>-2573066247</v>
      </c>
      <c r="K756" t="s">
        <v>18</v>
      </c>
      <c r="L756" t="b">
        <v>0</v>
      </c>
      <c r="P756" t="str">
        <f>TRIM(Before_Tbl[[#This Row],[Employee_ID]])</f>
        <v>EMP1754</v>
      </c>
      <c r="Q756" t="str">
        <f>TRIM(PROPER(Before_Tbl[[#This Row],[First_Name]]))</f>
        <v>Frank</v>
      </c>
      <c r="R756" t="str">
        <f>TRIM(PROPER(Before_Tbl[[#This Row],[Last_Name]]))</f>
        <v>Johnson</v>
      </c>
      <c r="S756" s="25">
        <f t="shared" si="11"/>
        <v>30</v>
      </c>
      <c r="T756" t="str">
        <f>LEFT(Before_Tbl[[#This Row],[Department_Region]],FIND("-",Before_Tbl[[#This Row],[Department_Region]])-1)</f>
        <v>Finance</v>
      </c>
      <c r="U756" t="str">
        <f>RIGHT(Before_Tbl[[#This Row],[Department_Region]],LEN(Before_Tbl[[#This Row],[Department_Region]])-FIND("-",Before_Tbl[[#This Row],[Department_Region]]))</f>
        <v>Florida</v>
      </c>
      <c r="V756" t="str">
        <f>TRIM(PROPER(Before_Tbl[[#This Row],[Status]]))</f>
        <v>Inactive</v>
      </c>
      <c r="W756" s="26">
        <v>44053</v>
      </c>
      <c r="X756" s="4">
        <v>61465.05</v>
      </c>
      <c r="Y756" t="str">
        <f>TRIM(LOWER(Before_Tbl[[#This Row],[Email]]))</f>
        <v>frank.johnson@example.com</v>
      </c>
      <c r="Z756" s="2" t="str">
        <f>SUBSTITUTE(Before_Tbl[[#This Row],[Phone]],"-","")</f>
        <v>2573066247</v>
      </c>
      <c r="AA756" t="str">
        <f>TRIM(PROPER(Before_Tbl[[#This Row],[Performance_Score]]))</f>
        <v>Average</v>
      </c>
      <c r="AB756" s="2" t="str">
        <f>TRIM(UPPER(Before_Tbl[[#This Row],[Remote_Work]]))</f>
        <v>FALSE</v>
      </c>
    </row>
    <row r="757" spans="1:28" x14ac:dyDescent="0.35">
      <c r="A757" t="s">
        <v>1275</v>
      </c>
      <c r="B757" t="s">
        <v>69</v>
      </c>
      <c r="C757" t="s">
        <v>92</v>
      </c>
      <c r="D757">
        <v>25</v>
      </c>
      <c r="E757" t="s">
        <v>212</v>
      </c>
      <c r="F757" t="s">
        <v>16</v>
      </c>
      <c r="G757" t="s">
        <v>1276</v>
      </c>
      <c r="H757">
        <v>96993.74</v>
      </c>
      <c r="I757" t="s">
        <v>168</v>
      </c>
      <c r="J757">
        <v>-1323570712</v>
      </c>
      <c r="K757" t="s">
        <v>41</v>
      </c>
      <c r="L757" t="b">
        <v>0</v>
      </c>
      <c r="P757" t="str">
        <f>TRIM(Before_Tbl[[#This Row],[Employee_ID]])</f>
        <v>EMP1755</v>
      </c>
      <c r="Q757" t="str">
        <f>TRIM(PROPER(Before_Tbl[[#This Row],[First_Name]]))</f>
        <v>Grace</v>
      </c>
      <c r="R757" t="str">
        <f>TRIM(PROPER(Before_Tbl[[#This Row],[Last_Name]]))</f>
        <v>Miller</v>
      </c>
      <c r="S757" s="25">
        <f t="shared" si="11"/>
        <v>25</v>
      </c>
      <c r="T757" t="str">
        <f>LEFT(Before_Tbl[[#This Row],[Department_Region]],FIND("-",Before_Tbl[[#This Row],[Department_Region]])-1)</f>
        <v>HR</v>
      </c>
      <c r="U757" t="str">
        <f>RIGHT(Before_Tbl[[#This Row],[Department_Region]],LEN(Before_Tbl[[#This Row],[Department_Region]])-FIND("-",Before_Tbl[[#This Row],[Department_Region]]))</f>
        <v>Florida</v>
      </c>
      <c r="V757" t="str">
        <f>TRIM(PROPER(Before_Tbl[[#This Row],[Status]]))</f>
        <v>Active</v>
      </c>
      <c r="W757" s="26">
        <v>45351</v>
      </c>
      <c r="X757" s="4">
        <v>96993.74</v>
      </c>
      <c r="Y757" t="str">
        <f>TRIM(LOWER(Before_Tbl[[#This Row],[Email]]))</f>
        <v>grace.miller@example.com</v>
      </c>
      <c r="Z757" s="2" t="str">
        <f>SUBSTITUTE(Before_Tbl[[#This Row],[Phone]],"-","")</f>
        <v>1323570712</v>
      </c>
      <c r="AA757" t="str">
        <f>TRIM(PROPER(Before_Tbl[[#This Row],[Performance_Score]]))</f>
        <v>Poor</v>
      </c>
      <c r="AB757" s="2" t="str">
        <f>TRIM(UPPER(Before_Tbl[[#This Row],[Remote_Work]]))</f>
        <v>FALSE</v>
      </c>
    </row>
    <row r="758" spans="1:28" x14ac:dyDescent="0.35">
      <c r="A758" t="s">
        <v>1277</v>
      </c>
      <c r="B758" t="s">
        <v>59</v>
      </c>
      <c r="C758" t="s">
        <v>55</v>
      </c>
      <c r="D758">
        <v>25</v>
      </c>
      <c r="E758" t="s">
        <v>205</v>
      </c>
      <c r="F758" t="s">
        <v>28</v>
      </c>
      <c r="G758" t="s">
        <v>1278</v>
      </c>
      <c r="H758">
        <v>98150.39</v>
      </c>
      <c r="I758" t="s">
        <v>217</v>
      </c>
      <c r="J758">
        <v>-9848228500</v>
      </c>
      <c r="K758" t="s">
        <v>30</v>
      </c>
      <c r="L758" t="b">
        <v>1</v>
      </c>
      <c r="P758" t="str">
        <f>TRIM(Before_Tbl[[#This Row],[Employee_ID]])</f>
        <v>EMP1756</v>
      </c>
      <c r="Q758" t="str">
        <f>TRIM(PROPER(Before_Tbl[[#This Row],[First_Name]]))</f>
        <v>David</v>
      </c>
      <c r="R758" t="str">
        <f>TRIM(PROPER(Before_Tbl[[#This Row],[Last_Name]]))</f>
        <v>Johnson</v>
      </c>
      <c r="S758" s="25">
        <f t="shared" si="11"/>
        <v>25</v>
      </c>
      <c r="T758" t="str">
        <f>LEFT(Before_Tbl[[#This Row],[Department_Region]],FIND("-",Before_Tbl[[#This Row],[Department_Region]])-1)</f>
        <v>Admin</v>
      </c>
      <c r="U758" t="str">
        <f>RIGHT(Before_Tbl[[#This Row],[Department_Region]],LEN(Before_Tbl[[#This Row],[Department_Region]])-FIND("-",Before_Tbl[[#This Row],[Department_Region]]))</f>
        <v>Florida</v>
      </c>
      <c r="V758" t="str">
        <f>TRIM(PROPER(Before_Tbl[[#This Row],[Status]]))</f>
        <v>Pending</v>
      </c>
      <c r="W758" s="26">
        <v>44834</v>
      </c>
      <c r="X758" s="4">
        <v>98150.39</v>
      </c>
      <c r="Y758" t="str">
        <f>TRIM(LOWER(Before_Tbl[[#This Row],[Email]]))</f>
        <v>david.johnson@example.com</v>
      </c>
      <c r="Z758" s="2" t="str">
        <f>SUBSTITUTE(Before_Tbl[[#This Row],[Phone]],"-","")</f>
        <v>9848228500</v>
      </c>
      <c r="AA758" t="str">
        <f>TRIM(PROPER(Before_Tbl[[#This Row],[Performance_Score]]))</f>
        <v>Good</v>
      </c>
      <c r="AB758" s="2" t="str">
        <f>TRIM(UPPER(Before_Tbl[[#This Row],[Remote_Work]]))</f>
        <v>TRUE</v>
      </c>
    </row>
    <row r="759" spans="1:28" x14ac:dyDescent="0.35">
      <c r="A759" t="s">
        <v>1279</v>
      </c>
      <c r="B759" t="s">
        <v>59</v>
      </c>
      <c r="C759" t="s">
        <v>38</v>
      </c>
      <c r="D759">
        <v>40</v>
      </c>
      <c r="E759" t="s">
        <v>21</v>
      </c>
      <c r="F759" t="s">
        <v>28</v>
      </c>
      <c r="G759" t="s">
        <v>1280</v>
      </c>
      <c r="H759">
        <v>107703</v>
      </c>
      <c r="I759" t="s">
        <v>61</v>
      </c>
      <c r="J759">
        <v>-1688092549</v>
      </c>
      <c r="K759" t="s">
        <v>18</v>
      </c>
      <c r="L759" t="b">
        <v>0</v>
      </c>
      <c r="P759" t="str">
        <f>TRIM(Before_Tbl[[#This Row],[Employee_ID]])</f>
        <v>EMP1757</v>
      </c>
      <c r="Q759" t="str">
        <f>TRIM(PROPER(Before_Tbl[[#This Row],[First_Name]]))</f>
        <v>David</v>
      </c>
      <c r="R759" t="str">
        <f>TRIM(PROPER(Before_Tbl[[#This Row],[Last_Name]]))</f>
        <v>Williams</v>
      </c>
      <c r="S759" s="25">
        <f t="shared" si="11"/>
        <v>40</v>
      </c>
      <c r="T759" t="str">
        <f>LEFT(Before_Tbl[[#This Row],[Department_Region]],FIND("-",Before_Tbl[[#This Row],[Department_Region]])-1)</f>
        <v>Finance</v>
      </c>
      <c r="U759" t="str">
        <f>RIGHT(Before_Tbl[[#This Row],[Department_Region]],LEN(Before_Tbl[[#This Row],[Department_Region]])-FIND("-",Before_Tbl[[#This Row],[Department_Region]]))</f>
        <v>Texas</v>
      </c>
      <c r="V759" t="str">
        <f>TRIM(PROPER(Before_Tbl[[#This Row],[Status]]))</f>
        <v>Pending</v>
      </c>
      <c r="W759" s="26">
        <v>45336</v>
      </c>
      <c r="X759" s="4">
        <v>107703</v>
      </c>
      <c r="Y759" t="str">
        <f>TRIM(LOWER(Before_Tbl[[#This Row],[Email]]))</f>
        <v>david.williams@example.com</v>
      </c>
      <c r="Z759" s="2" t="str">
        <f>SUBSTITUTE(Before_Tbl[[#This Row],[Phone]],"-","")</f>
        <v>1688092549</v>
      </c>
      <c r="AA759" t="str">
        <f>TRIM(PROPER(Before_Tbl[[#This Row],[Performance_Score]]))</f>
        <v>Average</v>
      </c>
      <c r="AB759" s="2" t="str">
        <f>TRIM(UPPER(Before_Tbl[[#This Row],[Remote_Work]]))</f>
        <v>FALSE</v>
      </c>
    </row>
    <row r="760" spans="1:28" x14ac:dyDescent="0.35">
      <c r="A760" t="s">
        <v>1281</v>
      </c>
      <c r="B760" t="s">
        <v>69</v>
      </c>
      <c r="C760" t="s">
        <v>122</v>
      </c>
      <c r="E760" t="s">
        <v>78</v>
      </c>
      <c r="F760" t="s">
        <v>28</v>
      </c>
      <c r="G760" s="1">
        <v>44986</v>
      </c>
      <c r="H760">
        <v>86766.14</v>
      </c>
      <c r="I760" t="s">
        <v>135</v>
      </c>
      <c r="J760">
        <v>-2130609068</v>
      </c>
      <c r="K760" t="s">
        <v>41</v>
      </c>
      <c r="L760" t="b">
        <v>1</v>
      </c>
      <c r="P760" t="str">
        <f>TRIM(Before_Tbl[[#This Row],[Employee_ID]])</f>
        <v>EMP1758</v>
      </c>
      <c r="Q760" t="str">
        <f>TRIM(PROPER(Before_Tbl[[#This Row],[First_Name]]))</f>
        <v>Grace</v>
      </c>
      <c r="R760" t="str">
        <f>TRIM(PROPER(Before_Tbl[[#This Row],[Last_Name]]))</f>
        <v>Smith</v>
      </c>
      <c r="S760" s="25">
        <f t="shared" si="11"/>
        <v>30</v>
      </c>
      <c r="T760" t="str">
        <f>LEFT(Before_Tbl[[#This Row],[Department_Region]],FIND("-",Before_Tbl[[#This Row],[Department_Region]])-1)</f>
        <v>DevOps</v>
      </c>
      <c r="U760" t="str">
        <f>RIGHT(Before_Tbl[[#This Row],[Department_Region]],LEN(Before_Tbl[[#This Row],[Department_Region]])-FIND("-",Before_Tbl[[#This Row],[Department_Region]]))</f>
        <v>Illinois</v>
      </c>
      <c r="V760" t="str">
        <f>TRIM(PROPER(Before_Tbl[[#This Row],[Status]]))</f>
        <v>Pending</v>
      </c>
      <c r="W760" s="26">
        <v>44986</v>
      </c>
      <c r="X760" s="4">
        <v>86766.14</v>
      </c>
      <c r="Y760" t="str">
        <f>TRIM(LOWER(Before_Tbl[[#This Row],[Email]]))</f>
        <v>grace.smith@example.com</v>
      </c>
      <c r="Z760" s="2" t="str">
        <f>SUBSTITUTE(Before_Tbl[[#This Row],[Phone]],"-","")</f>
        <v>2130609068</v>
      </c>
      <c r="AA760" t="str">
        <f>TRIM(PROPER(Before_Tbl[[#This Row],[Performance_Score]]))</f>
        <v>Poor</v>
      </c>
      <c r="AB760" s="2" t="str">
        <f>TRIM(UPPER(Before_Tbl[[#This Row],[Remote_Work]]))</f>
        <v>TRUE</v>
      </c>
    </row>
    <row r="761" spans="1:28" x14ac:dyDescent="0.35">
      <c r="A761" t="s">
        <v>1282</v>
      </c>
      <c r="B761" t="s">
        <v>25</v>
      </c>
      <c r="C761" t="s">
        <v>14</v>
      </c>
      <c r="E761" t="s">
        <v>39</v>
      </c>
      <c r="F761" t="s">
        <v>33</v>
      </c>
      <c r="G761" t="s">
        <v>587</v>
      </c>
      <c r="H761">
        <v>111443.69</v>
      </c>
      <c r="I761" t="s">
        <v>163</v>
      </c>
      <c r="J761">
        <v>-1309810795</v>
      </c>
      <c r="K761" t="s">
        <v>41</v>
      </c>
      <c r="L761" t="b">
        <v>1</v>
      </c>
      <c r="P761" t="str">
        <f>TRIM(Before_Tbl[[#This Row],[Employee_ID]])</f>
        <v>EMP1759</v>
      </c>
      <c r="Q761" t="str">
        <f>TRIM(PROPER(Before_Tbl[[#This Row],[First_Name]]))</f>
        <v>Alice</v>
      </c>
      <c r="R761" t="str">
        <f>TRIM(PROPER(Before_Tbl[[#This Row],[Last_Name]]))</f>
        <v>Davis</v>
      </c>
      <c r="S761" s="25">
        <f t="shared" si="11"/>
        <v>30</v>
      </c>
      <c r="T761" t="str">
        <f>LEFT(Before_Tbl[[#This Row],[Department_Region]],FIND("-",Before_Tbl[[#This Row],[Department_Region]])-1)</f>
        <v>Cloud Tech</v>
      </c>
      <c r="U761" t="str">
        <f>RIGHT(Before_Tbl[[#This Row],[Department_Region]],LEN(Before_Tbl[[#This Row],[Department_Region]])-FIND("-",Before_Tbl[[#This Row],[Department_Region]]))</f>
        <v>Florida</v>
      </c>
      <c r="V761" t="str">
        <f>TRIM(PROPER(Before_Tbl[[#This Row],[Status]]))</f>
        <v>Inactive</v>
      </c>
      <c r="W761" s="26">
        <v>45524</v>
      </c>
      <c r="X761" s="4">
        <v>111443.69</v>
      </c>
      <c r="Y761" t="str">
        <f>TRIM(LOWER(Before_Tbl[[#This Row],[Email]]))</f>
        <v>alice.davis@example.com</v>
      </c>
      <c r="Z761" s="2" t="str">
        <f>SUBSTITUTE(Before_Tbl[[#This Row],[Phone]],"-","")</f>
        <v>1309810795</v>
      </c>
      <c r="AA761" t="str">
        <f>TRIM(PROPER(Before_Tbl[[#This Row],[Performance_Score]]))</f>
        <v>Poor</v>
      </c>
      <c r="AB761" s="2" t="str">
        <f>TRIM(UPPER(Before_Tbl[[#This Row],[Remote_Work]]))</f>
        <v>TRUE</v>
      </c>
    </row>
    <row r="762" spans="1:28" x14ac:dyDescent="0.35">
      <c r="A762" t="s">
        <v>1283</v>
      </c>
      <c r="B762" t="s">
        <v>59</v>
      </c>
      <c r="C762" t="s">
        <v>20</v>
      </c>
      <c r="E762" t="s">
        <v>74</v>
      </c>
      <c r="F762" t="s">
        <v>28</v>
      </c>
      <c r="G762" t="s">
        <v>441</v>
      </c>
      <c r="H762">
        <v>89039.07</v>
      </c>
      <c r="I762" t="s">
        <v>225</v>
      </c>
      <c r="J762">
        <v>-4967379456</v>
      </c>
      <c r="K762" t="s">
        <v>30</v>
      </c>
      <c r="L762" t="b">
        <v>0</v>
      </c>
      <c r="P762" t="str">
        <f>TRIM(Before_Tbl[[#This Row],[Employee_ID]])</f>
        <v>EMP1760</v>
      </c>
      <c r="Q762" t="str">
        <f>TRIM(PROPER(Before_Tbl[[#This Row],[First_Name]]))</f>
        <v>David</v>
      </c>
      <c r="R762" t="str">
        <f>TRIM(PROPER(Before_Tbl[[#This Row],[Last_Name]]))</f>
        <v>Brown</v>
      </c>
      <c r="S762" s="25">
        <f t="shared" si="11"/>
        <v>30</v>
      </c>
      <c r="T762" t="str">
        <f>LEFT(Before_Tbl[[#This Row],[Department_Region]],FIND("-",Before_Tbl[[#This Row],[Department_Region]])-1)</f>
        <v>Sales</v>
      </c>
      <c r="U762" t="str">
        <f>RIGHT(Before_Tbl[[#This Row],[Department_Region]],LEN(Before_Tbl[[#This Row],[Department_Region]])-FIND("-",Before_Tbl[[#This Row],[Department_Region]]))</f>
        <v>Florida</v>
      </c>
      <c r="V762" t="str">
        <f>TRIM(PROPER(Before_Tbl[[#This Row],[Status]]))</f>
        <v>Pending</v>
      </c>
      <c r="W762" s="26">
        <v>43911</v>
      </c>
      <c r="X762" s="4">
        <v>89039.07</v>
      </c>
      <c r="Y762" t="str">
        <f>TRIM(LOWER(Before_Tbl[[#This Row],[Email]]))</f>
        <v>david.brown@example.com</v>
      </c>
      <c r="Z762" s="2" t="str">
        <f>SUBSTITUTE(Before_Tbl[[#This Row],[Phone]],"-","")</f>
        <v>4967379456</v>
      </c>
      <c r="AA762" t="str">
        <f>TRIM(PROPER(Before_Tbl[[#This Row],[Performance_Score]]))</f>
        <v>Good</v>
      </c>
      <c r="AB762" s="2" t="str">
        <f>TRIM(UPPER(Before_Tbl[[#This Row],[Remote_Work]]))</f>
        <v>FALSE</v>
      </c>
    </row>
    <row r="763" spans="1:28" x14ac:dyDescent="0.35">
      <c r="A763" t="s">
        <v>1284</v>
      </c>
      <c r="B763" t="s">
        <v>25</v>
      </c>
      <c r="C763" t="s">
        <v>55</v>
      </c>
      <c r="D763">
        <v>30</v>
      </c>
      <c r="E763" t="s">
        <v>212</v>
      </c>
      <c r="F763" t="s">
        <v>33</v>
      </c>
      <c r="G763" t="s">
        <v>1285</v>
      </c>
      <c r="H763">
        <v>71318.789999999994</v>
      </c>
      <c r="I763" t="s">
        <v>150</v>
      </c>
      <c r="J763">
        <v>-7278532425</v>
      </c>
      <c r="K763" t="s">
        <v>41</v>
      </c>
      <c r="L763" t="b">
        <v>0</v>
      </c>
      <c r="P763" t="str">
        <f>TRIM(Before_Tbl[[#This Row],[Employee_ID]])</f>
        <v>EMP1761</v>
      </c>
      <c r="Q763" t="str">
        <f>TRIM(PROPER(Before_Tbl[[#This Row],[First_Name]]))</f>
        <v>Alice</v>
      </c>
      <c r="R763" t="str">
        <f>TRIM(PROPER(Before_Tbl[[#This Row],[Last_Name]]))</f>
        <v>Johnson</v>
      </c>
      <c r="S763" s="25">
        <f t="shared" si="11"/>
        <v>30</v>
      </c>
      <c r="T763" t="str">
        <f>LEFT(Before_Tbl[[#This Row],[Department_Region]],FIND("-",Before_Tbl[[#This Row],[Department_Region]])-1)</f>
        <v>HR</v>
      </c>
      <c r="U763" t="str">
        <f>RIGHT(Before_Tbl[[#This Row],[Department_Region]],LEN(Before_Tbl[[#This Row],[Department_Region]])-FIND("-",Before_Tbl[[#This Row],[Department_Region]]))</f>
        <v>Florida</v>
      </c>
      <c r="V763" t="str">
        <f>TRIM(PROPER(Before_Tbl[[#This Row],[Status]]))</f>
        <v>Inactive</v>
      </c>
      <c r="W763" s="26">
        <v>45642</v>
      </c>
      <c r="X763" s="4">
        <v>71318.789999999994</v>
      </c>
      <c r="Y763" t="str">
        <f>TRIM(LOWER(Before_Tbl[[#This Row],[Email]]))</f>
        <v>alice.johnson@example.com</v>
      </c>
      <c r="Z763" s="2" t="str">
        <f>SUBSTITUTE(Before_Tbl[[#This Row],[Phone]],"-","")</f>
        <v>7278532425</v>
      </c>
      <c r="AA763" t="str">
        <f>TRIM(PROPER(Before_Tbl[[#This Row],[Performance_Score]]))</f>
        <v>Poor</v>
      </c>
      <c r="AB763" s="2" t="str">
        <f>TRIM(UPPER(Before_Tbl[[#This Row],[Remote_Work]]))</f>
        <v>FALSE</v>
      </c>
    </row>
    <row r="764" spans="1:28" x14ac:dyDescent="0.35">
      <c r="A764" t="s">
        <v>1286</v>
      </c>
      <c r="B764" t="s">
        <v>65</v>
      </c>
      <c r="C764" t="s">
        <v>26</v>
      </c>
      <c r="D764">
        <v>30</v>
      </c>
      <c r="E764" t="s">
        <v>70</v>
      </c>
      <c r="F764" t="s">
        <v>28</v>
      </c>
      <c r="G764" t="s">
        <v>1287</v>
      </c>
      <c r="H764">
        <v>98296.71</v>
      </c>
      <c r="I764" t="s">
        <v>320</v>
      </c>
      <c r="J764">
        <v>-4250642075</v>
      </c>
      <c r="K764" t="s">
        <v>41</v>
      </c>
      <c r="L764" t="b">
        <v>0</v>
      </c>
      <c r="P764" t="str">
        <f>TRIM(Before_Tbl[[#This Row],[Employee_ID]])</f>
        <v>EMP1762</v>
      </c>
      <c r="Q764" t="str">
        <f>TRIM(PROPER(Before_Tbl[[#This Row],[First_Name]]))</f>
        <v>Heidi</v>
      </c>
      <c r="R764" t="str">
        <f>TRIM(PROPER(Before_Tbl[[#This Row],[Last_Name]]))</f>
        <v>Jones</v>
      </c>
      <c r="S764" s="25">
        <f t="shared" si="11"/>
        <v>30</v>
      </c>
      <c r="T764" t="str">
        <f>LEFT(Before_Tbl[[#This Row],[Department_Region]],FIND("-",Before_Tbl[[#This Row],[Department_Region]])-1)</f>
        <v>Finance</v>
      </c>
      <c r="U764" t="str">
        <f>RIGHT(Before_Tbl[[#This Row],[Department_Region]],LEN(Before_Tbl[[#This Row],[Department_Region]])-FIND("-",Before_Tbl[[#This Row],[Department_Region]]))</f>
        <v>California</v>
      </c>
      <c r="V764" t="str">
        <f>TRIM(PROPER(Before_Tbl[[#This Row],[Status]]))</f>
        <v>Pending</v>
      </c>
      <c r="W764" s="26">
        <v>43942</v>
      </c>
      <c r="X764" s="4">
        <v>98296.71</v>
      </c>
      <c r="Y764" t="str">
        <f>TRIM(LOWER(Before_Tbl[[#This Row],[Email]]))</f>
        <v>heidi.jones@example.com</v>
      </c>
      <c r="Z764" s="2" t="str">
        <f>SUBSTITUTE(Before_Tbl[[#This Row],[Phone]],"-","")</f>
        <v>4250642075</v>
      </c>
      <c r="AA764" t="str">
        <f>TRIM(PROPER(Before_Tbl[[#This Row],[Performance_Score]]))</f>
        <v>Poor</v>
      </c>
      <c r="AB764" s="2" t="str">
        <f>TRIM(UPPER(Before_Tbl[[#This Row],[Remote_Work]]))</f>
        <v>FALSE</v>
      </c>
    </row>
    <row r="765" spans="1:28" x14ac:dyDescent="0.35">
      <c r="A765" t="s">
        <v>1288</v>
      </c>
      <c r="B765" t="s">
        <v>65</v>
      </c>
      <c r="C765" t="s">
        <v>55</v>
      </c>
      <c r="D765">
        <v>40</v>
      </c>
      <c r="E765" t="s">
        <v>85</v>
      </c>
      <c r="F765" t="s">
        <v>28</v>
      </c>
      <c r="G765" t="s">
        <v>1289</v>
      </c>
      <c r="H765">
        <v>62584</v>
      </c>
      <c r="I765" t="s">
        <v>113</v>
      </c>
      <c r="J765">
        <v>-8362536666</v>
      </c>
      <c r="K765" t="s">
        <v>30</v>
      </c>
      <c r="L765" t="b">
        <v>0</v>
      </c>
      <c r="P765" t="str">
        <f>TRIM(Before_Tbl[[#This Row],[Employee_ID]])</f>
        <v>EMP1763</v>
      </c>
      <c r="Q765" t="str">
        <f>TRIM(PROPER(Before_Tbl[[#This Row],[First_Name]]))</f>
        <v>Heidi</v>
      </c>
      <c r="R765" t="str">
        <f>TRIM(PROPER(Before_Tbl[[#This Row],[Last_Name]]))</f>
        <v>Johnson</v>
      </c>
      <c r="S765" s="25">
        <f t="shared" si="11"/>
        <v>40</v>
      </c>
      <c r="T765" t="str">
        <f>LEFT(Before_Tbl[[#This Row],[Department_Region]],FIND("-",Before_Tbl[[#This Row],[Department_Region]])-1)</f>
        <v>Cloud Tech</v>
      </c>
      <c r="U765" t="str">
        <f>RIGHT(Before_Tbl[[#This Row],[Department_Region]],LEN(Before_Tbl[[#This Row],[Department_Region]])-FIND("-",Before_Tbl[[#This Row],[Department_Region]]))</f>
        <v>Nevada</v>
      </c>
      <c r="V765" t="str">
        <f>TRIM(PROPER(Before_Tbl[[#This Row],[Status]]))</f>
        <v>Pending</v>
      </c>
      <c r="W765" s="26">
        <v>44062</v>
      </c>
      <c r="X765" s="4">
        <v>62584</v>
      </c>
      <c r="Y765" t="str">
        <f>TRIM(LOWER(Before_Tbl[[#This Row],[Email]]))</f>
        <v>heidi.johnson@example.com</v>
      </c>
      <c r="Z765" s="2" t="str">
        <f>SUBSTITUTE(Before_Tbl[[#This Row],[Phone]],"-","")</f>
        <v>8362536666</v>
      </c>
      <c r="AA765" t="str">
        <f>TRIM(PROPER(Before_Tbl[[#This Row],[Performance_Score]]))</f>
        <v>Good</v>
      </c>
      <c r="AB765" s="2" t="str">
        <f>TRIM(UPPER(Before_Tbl[[#This Row],[Remote_Work]]))</f>
        <v>FALSE</v>
      </c>
    </row>
    <row r="766" spans="1:28" x14ac:dyDescent="0.35">
      <c r="A766" t="s">
        <v>1290</v>
      </c>
      <c r="B766" t="s">
        <v>54</v>
      </c>
      <c r="C766" t="s">
        <v>26</v>
      </c>
      <c r="D766">
        <v>40</v>
      </c>
      <c r="E766" t="s">
        <v>70</v>
      </c>
      <c r="F766" t="s">
        <v>33</v>
      </c>
      <c r="G766" t="s">
        <v>1291</v>
      </c>
      <c r="H766">
        <v>62521.5</v>
      </c>
      <c r="I766" t="s">
        <v>120</v>
      </c>
      <c r="J766">
        <v>-7767555627</v>
      </c>
      <c r="K766" t="s">
        <v>18</v>
      </c>
      <c r="L766" t="b">
        <v>1</v>
      </c>
      <c r="P766" t="str">
        <f>TRIM(Before_Tbl[[#This Row],[Employee_ID]])</f>
        <v>EMP1764</v>
      </c>
      <c r="Q766" t="str">
        <f>TRIM(PROPER(Before_Tbl[[#This Row],[First_Name]]))</f>
        <v>Charlie</v>
      </c>
      <c r="R766" t="str">
        <f>TRIM(PROPER(Before_Tbl[[#This Row],[Last_Name]]))</f>
        <v>Jones</v>
      </c>
      <c r="S766" s="25">
        <f t="shared" si="11"/>
        <v>40</v>
      </c>
      <c r="T766" t="str">
        <f>LEFT(Before_Tbl[[#This Row],[Department_Region]],FIND("-",Before_Tbl[[#This Row],[Department_Region]])-1)</f>
        <v>Finance</v>
      </c>
      <c r="U766" t="str">
        <f>RIGHT(Before_Tbl[[#This Row],[Department_Region]],LEN(Before_Tbl[[#This Row],[Department_Region]])-FIND("-",Before_Tbl[[#This Row],[Department_Region]]))</f>
        <v>California</v>
      </c>
      <c r="V766" t="str">
        <f>TRIM(PROPER(Before_Tbl[[#This Row],[Status]]))</f>
        <v>Inactive</v>
      </c>
      <c r="W766" s="26">
        <v>43882</v>
      </c>
      <c r="X766" s="4">
        <v>62521.5</v>
      </c>
      <c r="Y766" t="str">
        <f>TRIM(LOWER(Before_Tbl[[#This Row],[Email]]))</f>
        <v>charlie.jones@example.com</v>
      </c>
      <c r="Z766" s="2" t="str">
        <f>SUBSTITUTE(Before_Tbl[[#This Row],[Phone]],"-","")</f>
        <v>7767555627</v>
      </c>
      <c r="AA766" t="str">
        <f>TRIM(PROPER(Before_Tbl[[#This Row],[Performance_Score]]))</f>
        <v>Average</v>
      </c>
      <c r="AB766" s="2" t="str">
        <f>TRIM(UPPER(Before_Tbl[[#This Row],[Remote_Work]]))</f>
        <v>TRUE</v>
      </c>
    </row>
    <row r="767" spans="1:28" x14ac:dyDescent="0.35">
      <c r="A767" t="s">
        <v>1292</v>
      </c>
      <c r="B767" t="s">
        <v>59</v>
      </c>
      <c r="C767" t="s">
        <v>38</v>
      </c>
      <c r="D767">
        <v>40</v>
      </c>
      <c r="E767" t="s">
        <v>268</v>
      </c>
      <c r="F767" t="s">
        <v>33</v>
      </c>
      <c r="G767" t="s">
        <v>1293</v>
      </c>
      <c r="H767">
        <v>95400.35</v>
      </c>
      <c r="I767" t="s">
        <v>61</v>
      </c>
      <c r="J767">
        <v>-3333939577</v>
      </c>
      <c r="K767" t="s">
        <v>41</v>
      </c>
      <c r="L767" t="b">
        <v>1</v>
      </c>
      <c r="P767" t="str">
        <f>TRIM(Before_Tbl[[#This Row],[Employee_ID]])</f>
        <v>EMP1765</v>
      </c>
      <c r="Q767" t="str">
        <f>TRIM(PROPER(Before_Tbl[[#This Row],[First_Name]]))</f>
        <v>David</v>
      </c>
      <c r="R767" t="str">
        <f>TRIM(PROPER(Before_Tbl[[#This Row],[Last_Name]]))</f>
        <v>Williams</v>
      </c>
      <c r="S767" s="25">
        <f t="shared" si="11"/>
        <v>40</v>
      </c>
      <c r="T767" t="str">
        <f>LEFT(Before_Tbl[[#This Row],[Department_Region]],FIND("-",Before_Tbl[[#This Row],[Department_Region]])-1)</f>
        <v>Cloud Tech</v>
      </c>
      <c r="U767" t="str">
        <f>RIGHT(Before_Tbl[[#This Row],[Department_Region]],LEN(Before_Tbl[[#This Row],[Department_Region]])-FIND("-",Before_Tbl[[#This Row],[Department_Region]]))</f>
        <v>California</v>
      </c>
      <c r="V767" t="str">
        <f>TRIM(PROPER(Before_Tbl[[#This Row],[Status]]))</f>
        <v>Inactive</v>
      </c>
      <c r="W767" s="26">
        <v>45247</v>
      </c>
      <c r="X767" s="4">
        <v>95400.35</v>
      </c>
      <c r="Y767" t="str">
        <f>TRIM(LOWER(Before_Tbl[[#This Row],[Email]]))</f>
        <v>david.williams@example.com</v>
      </c>
      <c r="Z767" s="2" t="str">
        <f>SUBSTITUTE(Before_Tbl[[#This Row],[Phone]],"-","")</f>
        <v>3333939577</v>
      </c>
      <c r="AA767" t="str">
        <f>TRIM(PROPER(Before_Tbl[[#This Row],[Performance_Score]]))</f>
        <v>Poor</v>
      </c>
      <c r="AB767" s="2" t="str">
        <f>TRIM(UPPER(Before_Tbl[[#This Row],[Remote_Work]]))</f>
        <v>TRUE</v>
      </c>
    </row>
    <row r="768" spans="1:28" x14ac:dyDescent="0.35">
      <c r="A768" t="s">
        <v>1294</v>
      </c>
      <c r="B768" t="s">
        <v>54</v>
      </c>
      <c r="C768" t="s">
        <v>26</v>
      </c>
      <c r="D768">
        <v>25</v>
      </c>
      <c r="E768" t="s">
        <v>159</v>
      </c>
      <c r="F768" t="s">
        <v>28</v>
      </c>
      <c r="G768" s="1">
        <v>44811</v>
      </c>
      <c r="H768">
        <v>94385.07</v>
      </c>
      <c r="I768" t="s">
        <v>120</v>
      </c>
      <c r="J768">
        <v>-6543627186</v>
      </c>
      <c r="K768" t="s">
        <v>41</v>
      </c>
      <c r="L768" t="b">
        <v>1</v>
      </c>
      <c r="P768" t="str">
        <f>TRIM(Before_Tbl[[#This Row],[Employee_ID]])</f>
        <v>EMP1766</v>
      </c>
      <c r="Q768" t="str">
        <f>TRIM(PROPER(Before_Tbl[[#This Row],[First_Name]]))</f>
        <v>Charlie</v>
      </c>
      <c r="R768" t="str">
        <f>TRIM(PROPER(Before_Tbl[[#This Row],[Last_Name]]))</f>
        <v>Jones</v>
      </c>
      <c r="S768" s="25">
        <f t="shared" si="11"/>
        <v>25</v>
      </c>
      <c r="T768" t="str">
        <f>LEFT(Before_Tbl[[#This Row],[Department_Region]],FIND("-",Before_Tbl[[#This Row],[Department_Region]])-1)</f>
        <v>Cloud Tech</v>
      </c>
      <c r="U768" t="str">
        <f>RIGHT(Before_Tbl[[#This Row],[Department_Region]],LEN(Before_Tbl[[#This Row],[Department_Region]])-FIND("-",Before_Tbl[[#This Row],[Department_Region]]))</f>
        <v>Texas</v>
      </c>
      <c r="V768" t="str">
        <f>TRIM(PROPER(Before_Tbl[[#This Row],[Status]]))</f>
        <v>Pending</v>
      </c>
      <c r="W768" s="26">
        <v>44811</v>
      </c>
      <c r="X768" s="4">
        <v>94385.07</v>
      </c>
      <c r="Y768" t="str">
        <f>TRIM(LOWER(Before_Tbl[[#This Row],[Email]]))</f>
        <v>charlie.jones@example.com</v>
      </c>
      <c r="Z768" s="2" t="str">
        <f>SUBSTITUTE(Before_Tbl[[#This Row],[Phone]],"-","")</f>
        <v>6543627186</v>
      </c>
      <c r="AA768" t="str">
        <f>TRIM(PROPER(Before_Tbl[[#This Row],[Performance_Score]]))</f>
        <v>Poor</v>
      </c>
      <c r="AB768" s="2" t="str">
        <f>TRIM(UPPER(Before_Tbl[[#This Row],[Remote_Work]]))</f>
        <v>TRUE</v>
      </c>
    </row>
    <row r="769" spans="1:28" x14ac:dyDescent="0.35">
      <c r="A769" t="s">
        <v>1295</v>
      </c>
      <c r="B769" t="s">
        <v>69</v>
      </c>
      <c r="C769" t="s">
        <v>43</v>
      </c>
      <c r="E769" t="s">
        <v>109</v>
      </c>
      <c r="F769" t="s">
        <v>33</v>
      </c>
      <c r="G769" s="1">
        <v>44928</v>
      </c>
      <c r="H769">
        <v>76642.490000000005</v>
      </c>
      <c r="I769" t="s">
        <v>83</v>
      </c>
      <c r="J769">
        <v>-4960335825</v>
      </c>
      <c r="K769" t="s">
        <v>41</v>
      </c>
      <c r="L769" t="b">
        <v>1</v>
      </c>
      <c r="P769" t="str">
        <f>TRIM(Before_Tbl[[#This Row],[Employee_ID]])</f>
        <v>EMP1767</v>
      </c>
      <c r="Q769" t="str">
        <f>TRIM(PROPER(Before_Tbl[[#This Row],[First_Name]]))</f>
        <v>Grace</v>
      </c>
      <c r="R769" t="str">
        <f>TRIM(PROPER(Before_Tbl[[#This Row],[Last_Name]]))</f>
        <v>Garcia</v>
      </c>
      <c r="S769" s="25">
        <f t="shared" si="11"/>
        <v>30</v>
      </c>
      <c r="T769" t="str">
        <f>LEFT(Before_Tbl[[#This Row],[Department_Region]],FIND("-",Before_Tbl[[#This Row],[Department_Region]])-1)</f>
        <v>Sales</v>
      </c>
      <c r="U769" t="str">
        <f>RIGHT(Before_Tbl[[#This Row],[Department_Region]],LEN(Before_Tbl[[#This Row],[Department_Region]])-FIND("-",Before_Tbl[[#This Row],[Department_Region]]))</f>
        <v>New York</v>
      </c>
      <c r="V769" t="str">
        <f>TRIM(PROPER(Before_Tbl[[#This Row],[Status]]))</f>
        <v>Inactive</v>
      </c>
      <c r="W769" s="26">
        <v>44928</v>
      </c>
      <c r="X769" s="4">
        <v>76642.490000000005</v>
      </c>
      <c r="Y769" t="str">
        <f>TRIM(LOWER(Before_Tbl[[#This Row],[Email]]))</f>
        <v>grace.garcia@example.com</v>
      </c>
      <c r="Z769" s="2" t="str">
        <f>SUBSTITUTE(Before_Tbl[[#This Row],[Phone]],"-","")</f>
        <v>4960335825</v>
      </c>
      <c r="AA769" t="str">
        <f>TRIM(PROPER(Before_Tbl[[#This Row],[Performance_Score]]))</f>
        <v>Poor</v>
      </c>
      <c r="AB769" s="2" t="str">
        <f>TRIM(UPPER(Before_Tbl[[#This Row],[Remote_Work]]))</f>
        <v>TRUE</v>
      </c>
    </row>
    <row r="770" spans="1:28" x14ac:dyDescent="0.35">
      <c r="A770" t="s">
        <v>1296</v>
      </c>
      <c r="B770" t="s">
        <v>37</v>
      </c>
      <c r="C770" t="s">
        <v>20</v>
      </c>
      <c r="E770" t="s">
        <v>56</v>
      </c>
      <c r="F770" t="s">
        <v>16</v>
      </c>
      <c r="G770" t="s">
        <v>1297</v>
      </c>
      <c r="H770">
        <v>60122.52</v>
      </c>
      <c r="I770" t="s">
        <v>239</v>
      </c>
      <c r="J770">
        <v>-8627036923</v>
      </c>
      <c r="K770" t="s">
        <v>23</v>
      </c>
      <c r="L770" t="b">
        <v>1</v>
      </c>
      <c r="P770" t="str">
        <f>TRIM(Before_Tbl[[#This Row],[Employee_ID]])</f>
        <v>EMP1768</v>
      </c>
      <c r="Q770" t="str">
        <f>TRIM(PROPER(Before_Tbl[[#This Row],[First_Name]]))</f>
        <v>Frank</v>
      </c>
      <c r="R770" t="str">
        <f>TRIM(PROPER(Before_Tbl[[#This Row],[Last_Name]]))</f>
        <v>Brown</v>
      </c>
      <c r="S770" s="25">
        <f t="shared" ref="S770:S833" si="12">IF(ISBLANK(D770),30,D770)</f>
        <v>30</v>
      </c>
      <c r="T770" t="str">
        <f>LEFT(Before_Tbl[[#This Row],[Department_Region]],FIND("-",Before_Tbl[[#This Row],[Department_Region]])-1)</f>
        <v>DevOps</v>
      </c>
      <c r="U770" t="str">
        <f>RIGHT(Before_Tbl[[#This Row],[Department_Region]],LEN(Before_Tbl[[#This Row],[Department_Region]])-FIND("-",Before_Tbl[[#This Row],[Department_Region]]))</f>
        <v>New York</v>
      </c>
      <c r="V770" t="str">
        <f>TRIM(PROPER(Before_Tbl[[#This Row],[Status]]))</f>
        <v>Active</v>
      </c>
      <c r="W770" s="26">
        <v>45610</v>
      </c>
      <c r="X770" s="4">
        <v>60122.52</v>
      </c>
      <c r="Y770" t="str">
        <f>TRIM(LOWER(Before_Tbl[[#This Row],[Email]]))</f>
        <v>frank.brown@example.com</v>
      </c>
      <c r="Z770" s="2" t="str">
        <f>SUBSTITUTE(Before_Tbl[[#This Row],[Phone]],"-","")</f>
        <v>8627036923</v>
      </c>
      <c r="AA770" t="str">
        <f>TRIM(PROPER(Before_Tbl[[#This Row],[Performance_Score]]))</f>
        <v>Excellent</v>
      </c>
      <c r="AB770" s="2" t="str">
        <f>TRIM(UPPER(Before_Tbl[[#This Row],[Remote_Work]]))</f>
        <v>TRUE</v>
      </c>
    </row>
    <row r="771" spans="1:28" x14ac:dyDescent="0.35">
      <c r="A771" t="s">
        <v>1298</v>
      </c>
      <c r="B771" t="s">
        <v>25</v>
      </c>
      <c r="C771" t="s">
        <v>122</v>
      </c>
      <c r="D771">
        <v>40</v>
      </c>
      <c r="E771" t="s">
        <v>146</v>
      </c>
      <c r="F771" t="s">
        <v>28</v>
      </c>
      <c r="G771" t="s">
        <v>79</v>
      </c>
      <c r="H771">
        <v>117267.63</v>
      </c>
      <c r="I771" t="s">
        <v>182</v>
      </c>
      <c r="J771">
        <v>-9269326572</v>
      </c>
      <c r="K771" t="s">
        <v>30</v>
      </c>
      <c r="L771" t="b">
        <v>0</v>
      </c>
      <c r="P771" t="str">
        <f>TRIM(Before_Tbl[[#This Row],[Employee_ID]])</f>
        <v>EMP1769</v>
      </c>
      <c r="Q771" t="str">
        <f>TRIM(PROPER(Before_Tbl[[#This Row],[First_Name]]))</f>
        <v>Alice</v>
      </c>
      <c r="R771" t="str">
        <f>TRIM(PROPER(Before_Tbl[[#This Row],[Last_Name]]))</f>
        <v>Smith</v>
      </c>
      <c r="S771" s="25">
        <f t="shared" si="12"/>
        <v>40</v>
      </c>
      <c r="T771" t="str">
        <f>LEFT(Before_Tbl[[#This Row],[Department_Region]],FIND("-",Before_Tbl[[#This Row],[Department_Region]])-1)</f>
        <v>HR</v>
      </c>
      <c r="U771" t="str">
        <f>RIGHT(Before_Tbl[[#This Row],[Department_Region]],LEN(Before_Tbl[[#This Row],[Department_Region]])-FIND("-",Before_Tbl[[#This Row],[Department_Region]]))</f>
        <v>California</v>
      </c>
      <c r="V771" t="str">
        <f>TRIM(PROPER(Before_Tbl[[#This Row],[Status]]))</f>
        <v>Pending</v>
      </c>
      <c r="W771" s="26">
        <v>45405</v>
      </c>
      <c r="X771" s="4">
        <v>117267.63</v>
      </c>
      <c r="Y771" t="str">
        <f>TRIM(LOWER(Before_Tbl[[#This Row],[Email]]))</f>
        <v>alice.smith@example.com</v>
      </c>
      <c r="Z771" s="2" t="str">
        <f>SUBSTITUTE(Before_Tbl[[#This Row],[Phone]],"-","")</f>
        <v>9269326572</v>
      </c>
      <c r="AA771" t="str">
        <f>TRIM(PROPER(Before_Tbl[[#This Row],[Performance_Score]]))</f>
        <v>Good</v>
      </c>
      <c r="AB771" s="2" t="str">
        <f>TRIM(UPPER(Before_Tbl[[#This Row],[Remote_Work]]))</f>
        <v>FALSE</v>
      </c>
    </row>
    <row r="772" spans="1:28" x14ac:dyDescent="0.35">
      <c r="A772" t="s">
        <v>1299</v>
      </c>
      <c r="B772" t="s">
        <v>54</v>
      </c>
      <c r="C772" t="s">
        <v>26</v>
      </c>
      <c r="D772">
        <v>25</v>
      </c>
      <c r="E772" t="s">
        <v>196</v>
      </c>
      <c r="F772" t="s">
        <v>16</v>
      </c>
      <c r="G772" t="s">
        <v>1300</v>
      </c>
      <c r="H772" t="s">
        <v>277</v>
      </c>
      <c r="I772" t="s">
        <v>120</v>
      </c>
      <c r="J772">
        <v>-2759980110</v>
      </c>
      <c r="K772" t="s">
        <v>23</v>
      </c>
      <c r="L772" t="b">
        <v>1</v>
      </c>
      <c r="P772" t="str">
        <f>TRIM(Before_Tbl[[#This Row],[Employee_ID]])</f>
        <v>EMP1770</v>
      </c>
      <c r="Q772" t="str">
        <f>TRIM(PROPER(Before_Tbl[[#This Row],[First_Name]]))</f>
        <v>Charlie</v>
      </c>
      <c r="R772" t="str">
        <f>TRIM(PROPER(Before_Tbl[[#This Row],[Last_Name]]))</f>
        <v>Jones</v>
      </c>
      <c r="S772" s="25">
        <f t="shared" si="12"/>
        <v>25</v>
      </c>
      <c r="T772" t="str">
        <f>LEFT(Before_Tbl[[#This Row],[Department_Region]],FIND("-",Before_Tbl[[#This Row],[Department_Region]])-1)</f>
        <v>Admin</v>
      </c>
      <c r="U772" t="str">
        <f>RIGHT(Before_Tbl[[#This Row],[Department_Region]],LEN(Before_Tbl[[#This Row],[Department_Region]])-FIND("-",Before_Tbl[[#This Row],[Department_Region]]))</f>
        <v>New York</v>
      </c>
      <c r="V772" t="str">
        <f>TRIM(PROPER(Before_Tbl[[#This Row],[Status]]))</f>
        <v>Active</v>
      </c>
      <c r="W772" s="26">
        <v>45106</v>
      </c>
      <c r="X772" s="4"/>
      <c r="Y772" t="str">
        <f>TRIM(LOWER(Before_Tbl[[#This Row],[Email]]))</f>
        <v>charlie.jones@example.com</v>
      </c>
      <c r="Z772" s="2" t="str">
        <f>SUBSTITUTE(Before_Tbl[[#This Row],[Phone]],"-","")</f>
        <v>2759980110</v>
      </c>
      <c r="AA772" t="str">
        <f>TRIM(PROPER(Before_Tbl[[#This Row],[Performance_Score]]))</f>
        <v>Excellent</v>
      </c>
      <c r="AB772" s="2" t="str">
        <f>TRIM(UPPER(Before_Tbl[[#This Row],[Remote_Work]]))</f>
        <v>TRUE</v>
      </c>
    </row>
    <row r="773" spans="1:28" x14ac:dyDescent="0.35">
      <c r="A773" t="s">
        <v>1301</v>
      </c>
      <c r="B773" t="s">
        <v>65</v>
      </c>
      <c r="C773" t="s">
        <v>26</v>
      </c>
      <c r="D773">
        <v>40</v>
      </c>
      <c r="E773" t="s">
        <v>44</v>
      </c>
      <c r="F773" t="s">
        <v>28</v>
      </c>
      <c r="G773" s="1">
        <v>45638</v>
      </c>
      <c r="H773">
        <v>84542.68</v>
      </c>
      <c r="I773" t="s">
        <v>320</v>
      </c>
      <c r="J773">
        <v>-5155322</v>
      </c>
      <c r="K773" t="s">
        <v>30</v>
      </c>
      <c r="L773" t="b">
        <v>1</v>
      </c>
      <c r="P773" t="str">
        <f>TRIM(Before_Tbl[[#This Row],[Employee_ID]])</f>
        <v>EMP1771</v>
      </c>
      <c r="Q773" t="str">
        <f>TRIM(PROPER(Before_Tbl[[#This Row],[First_Name]]))</f>
        <v>Heidi</v>
      </c>
      <c r="R773" t="str">
        <f>TRIM(PROPER(Before_Tbl[[#This Row],[Last_Name]]))</f>
        <v>Jones</v>
      </c>
      <c r="S773" s="25">
        <f t="shared" si="12"/>
        <v>40</v>
      </c>
      <c r="T773" t="str">
        <f>LEFT(Before_Tbl[[#This Row],[Department_Region]],FIND("-",Before_Tbl[[#This Row],[Department_Region]])-1)</f>
        <v>Sales</v>
      </c>
      <c r="U773" t="str">
        <f>RIGHT(Before_Tbl[[#This Row],[Department_Region]],LEN(Before_Tbl[[#This Row],[Department_Region]])-FIND("-",Before_Tbl[[#This Row],[Department_Region]]))</f>
        <v>Texas</v>
      </c>
      <c r="V773" t="str">
        <f>TRIM(PROPER(Before_Tbl[[#This Row],[Status]]))</f>
        <v>Pending</v>
      </c>
      <c r="W773" s="26">
        <v>45638</v>
      </c>
      <c r="X773" s="4">
        <v>84542.68</v>
      </c>
      <c r="Y773" t="str">
        <f>TRIM(LOWER(Before_Tbl[[#This Row],[Email]]))</f>
        <v>heidi.jones@example.com</v>
      </c>
      <c r="Z773" s="2" t="str">
        <f>SUBSTITUTE(Before_Tbl[[#This Row],[Phone]],"-","")</f>
        <v>5155322</v>
      </c>
      <c r="AA773" t="str">
        <f>TRIM(PROPER(Before_Tbl[[#This Row],[Performance_Score]]))</f>
        <v>Good</v>
      </c>
      <c r="AB773" s="2" t="str">
        <f>TRIM(UPPER(Before_Tbl[[#This Row],[Remote_Work]]))</f>
        <v>TRUE</v>
      </c>
    </row>
    <row r="774" spans="1:28" x14ac:dyDescent="0.35">
      <c r="A774" t="s">
        <v>1302</v>
      </c>
      <c r="B774" t="s">
        <v>65</v>
      </c>
      <c r="C774" t="s">
        <v>122</v>
      </c>
      <c r="D774">
        <v>40</v>
      </c>
      <c r="E774" t="s">
        <v>112</v>
      </c>
      <c r="F774" t="s">
        <v>16</v>
      </c>
      <c r="G774" t="s">
        <v>896</v>
      </c>
      <c r="H774">
        <v>92007.15</v>
      </c>
      <c r="I774" t="s">
        <v>367</v>
      </c>
      <c r="J774">
        <v>-4159597751</v>
      </c>
      <c r="K774" t="s">
        <v>18</v>
      </c>
      <c r="L774" t="b">
        <v>1</v>
      </c>
      <c r="P774" t="str">
        <f>TRIM(Before_Tbl[[#This Row],[Employee_ID]])</f>
        <v>EMP1772</v>
      </c>
      <c r="Q774" t="str">
        <f>TRIM(PROPER(Before_Tbl[[#This Row],[First_Name]]))</f>
        <v>Heidi</v>
      </c>
      <c r="R774" t="str">
        <f>TRIM(PROPER(Before_Tbl[[#This Row],[Last_Name]]))</f>
        <v>Smith</v>
      </c>
      <c r="S774" s="25">
        <f t="shared" si="12"/>
        <v>40</v>
      </c>
      <c r="T774" t="str">
        <f>LEFT(Before_Tbl[[#This Row],[Department_Region]],FIND("-",Before_Tbl[[#This Row],[Department_Region]])-1)</f>
        <v>Finance</v>
      </c>
      <c r="U774" t="str">
        <f>RIGHT(Before_Tbl[[#This Row],[Department_Region]],LEN(Before_Tbl[[#This Row],[Department_Region]])-FIND("-",Before_Tbl[[#This Row],[Department_Region]]))</f>
        <v>Florida</v>
      </c>
      <c r="V774" t="str">
        <f>TRIM(PROPER(Before_Tbl[[#This Row],[Status]]))</f>
        <v>Active</v>
      </c>
      <c r="W774" s="26">
        <v>45062</v>
      </c>
      <c r="X774" s="4">
        <v>92007.15</v>
      </c>
      <c r="Y774" t="str">
        <f>TRIM(LOWER(Before_Tbl[[#This Row],[Email]]))</f>
        <v>heidi.smith@example.com</v>
      </c>
      <c r="Z774" s="2" t="str">
        <f>SUBSTITUTE(Before_Tbl[[#This Row],[Phone]],"-","")</f>
        <v>4159597751</v>
      </c>
      <c r="AA774" t="str">
        <f>TRIM(PROPER(Before_Tbl[[#This Row],[Performance_Score]]))</f>
        <v>Average</v>
      </c>
      <c r="AB774" s="2" t="str">
        <f>TRIM(UPPER(Before_Tbl[[#This Row],[Remote_Work]]))</f>
        <v>TRUE</v>
      </c>
    </row>
    <row r="775" spans="1:28" x14ac:dyDescent="0.35">
      <c r="A775" t="s">
        <v>1303</v>
      </c>
      <c r="B775" t="s">
        <v>32</v>
      </c>
      <c r="C775" t="s">
        <v>20</v>
      </c>
      <c r="E775" t="s">
        <v>78</v>
      </c>
      <c r="F775" t="s">
        <v>16</v>
      </c>
      <c r="G775" s="1">
        <v>44108</v>
      </c>
      <c r="H775">
        <v>62938.8</v>
      </c>
      <c r="I775" t="s">
        <v>155</v>
      </c>
      <c r="J775">
        <v>-4418222617</v>
      </c>
      <c r="K775" t="s">
        <v>18</v>
      </c>
      <c r="L775" t="b">
        <v>0</v>
      </c>
      <c r="P775" t="str">
        <f>TRIM(Before_Tbl[[#This Row],[Employee_ID]])</f>
        <v>EMP1773</v>
      </c>
      <c r="Q775" t="str">
        <f>TRIM(PROPER(Before_Tbl[[#This Row],[First_Name]]))</f>
        <v>Eva</v>
      </c>
      <c r="R775" t="str">
        <f>TRIM(PROPER(Before_Tbl[[#This Row],[Last_Name]]))</f>
        <v>Brown</v>
      </c>
      <c r="S775" s="25">
        <f t="shared" si="12"/>
        <v>30</v>
      </c>
      <c r="T775" t="str">
        <f>LEFT(Before_Tbl[[#This Row],[Department_Region]],FIND("-",Before_Tbl[[#This Row],[Department_Region]])-1)</f>
        <v>DevOps</v>
      </c>
      <c r="U775" t="str">
        <f>RIGHT(Before_Tbl[[#This Row],[Department_Region]],LEN(Before_Tbl[[#This Row],[Department_Region]])-FIND("-",Before_Tbl[[#This Row],[Department_Region]]))</f>
        <v>Illinois</v>
      </c>
      <c r="V775" t="str">
        <f>TRIM(PROPER(Before_Tbl[[#This Row],[Status]]))</f>
        <v>Active</v>
      </c>
      <c r="W775" s="26">
        <v>44108</v>
      </c>
      <c r="X775" s="4">
        <v>62938.8</v>
      </c>
      <c r="Y775" t="str">
        <f>TRIM(LOWER(Before_Tbl[[#This Row],[Email]]))</f>
        <v>eva.brown@example.com</v>
      </c>
      <c r="Z775" s="2" t="str">
        <f>SUBSTITUTE(Before_Tbl[[#This Row],[Phone]],"-","")</f>
        <v>4418222617</v>
      </c>
      <c r="AA775" t="str">
        <f>TRIM(PROPER(Before_Tbl[[#This Row],[Performance_Score]]))</f>
        <v>Average</v>
      </c>
      <c r="AB775" s="2" t="str">
        <f>TRIM(UPPER(Before_Tbl[[#This Row],[Remote_Work]]))</f>
        <v>FALSE</v>
      </c>
    </row>
    <row r="776" spans="1:28" x14ac:dyDescent="0.35">
      <c r="A776" t="s">
        <v>1304</v>
      </c>
      <c r="B776" t="s">
        <v>37</v>
      </c>
      <c r="C776" t="s">
        <v>55</v>
      </c>
      <c r="D776">
        <v>25</v>
      </c>
      <c r="E776" t="s">
        <v>103</v>
      </c>
      <c r="F776" t="s">
        <v>28</v>
      </c>
      <c r="G776" t="s">
        <v>401</v>
      </c>
      <c r="H776">
        <v>108661.01</v>
      </c>
      <c r="I776" t="s">
        <v>271</v>
      </c>
      <c r="J776">
        <v>-9628874311</v>
      </c>
      <c r="K776" t="s">
        <v>41</v>
      </c>
      <c r="L776" t="b">
        <v>0</v>
      </c>
      <c r="P776" t="str">
        <f>TRIM(Before_Tbl[[#This Row],[Employee_ID]])</f>
        <v>EMP1774</v>
      </c>
      <c r="Q776" t="str">
        <f>TRIM(PROPER(Before_Tbl[[#This Row],[First_Name]]))</f>
        <v>Frank</v>
      </c>
      <c r="R776" t="str">
        <f>TRIM(PROPER(Before_Tbl[[#This Row],[Last_Name]]))</f>
        <v>Johnson</v>
      </c>
      <c r="S776" s="25">
        <f t="shared" si="12"/>
        <v>25</v>
      </c>
      <c r="T776" t="str">
        <f>LEFT(Before_Tbl[[#This Row],[Department_Region]],FIND("-",Before_Tbl[[#This Row],[Department_Region]])-1)</f>
        <v>Admin</v>
      </c>
      <c r="U776" t="str">
        <f>RIGHT(Before_Tbl[[#This Row],[Department_Region]],LEN(Before_Tbl[[#This Row],[Department_Region]])-FIND("-",Before_Tbl[[#This Row],[Department_Region]]))</f>
        <v>Texas</v>
      </c>
      <c r="V776" t="str">
        <f>TRIM(PROPER(Before_Tbl[[#This Row],[Status]]))</f>
        <v>Pending</v>
      </c>
      <c r="W776" s="26">
        <v>45014</v>
      </c>
      <c r="X776" s="4">
        <v>108661.01</v>
      </c>
      <c r="Y776" t="str">
        <f>TRIM(LOWER(Before_Tbl[[#This Row],[Email]]))</f>
        <v>frank.johnson@example.com</v>
      </c>
      <c r="Z776" s="2" t="str">
        <f>SUBSTITUTE(Before_Tbl[[#This Row],[Phone]],"-","")</f>
        <v>9628874311</v>
      </c>
      <c r="AA776" t="str">
        <f>TRIM(PROPER(Before_Tbl[[#This Row],[Performance_Score]]))</f>
        <v>Poor</v>
      </c>
      <c r="AB776" s="2" t="str">
        <f>TRIM(UPPER(Before_Tbl[[#This Row],[Remote_Work]]))</f>
        <v>FALSE</v>
      </c>
    </row>
    <row r="777" spans="1:28" x14ac:dyDescent="0.35">
      <c r="A777" t="s">
        <v>1305</v>
      </c>
      <c r="B777" t="s">
        <v>13</v>
      </c>
      <c r="C777" t="s">
        <v>26</v>
      </c>
      <c r="D777">
        <v>25</v>
      </c>
      <c r="E777" t="s">
        <v>39</v>
      </c>
      <c r="F777" t="s">
        <v>16</v>
      </c>
      <c r="G777" t="s">
        <v>1306</v>
      </c>
      <c r="H777">
        <v>97046.33</v>
      </c>
      <c r="I777" t="s">
        <v>50</v>
      </c>
      <c r="J777">
        <v>-7102676719</v>
      </c>
      <c r="K777" t="s">
        <v>30</v>
      </c>
      <c r="L777" t="b">
        <v>0</v>
      </c>
      <c r="P777" t="str">
        <f>TRIM(Before_Tbl[[#This Row],[Employee_ID]])</f>
        <v>EMP1775</v>
      </c>
      <c r="Q777" t="str">
        <f>TRIM(PROPER(Before_Tbl[[#This Row],[First_Name]]))</f>
        <v>Bob</v>
      </c>
      <c r="R777" t="str">
        <f>TRIM(PROPER(Before_Tbl[[#This Row],[Last_Name]]))</f>
        <v>Jones</v>
      </c>
      <c r="S777" s="25">
        <f t="shared" si="12"/>
        <v>25</v>
      </c>
      <c r="T777" t="str">
        <f>LEFT(Before_Tbl[[#This Row],[Department_Region]],FIND("-",Before_Tbl[[#This Row],[Department_Region]])-1)</f>
        <v>Cloud Tech</v>
      </c>
      <c r="U777" t="str">
        <f>RIGHT(Before_Tbl[[#This Row],[Department_Region]],LEN(Before_Tbl[[#This Row],[Department_Region]])-FIND("-",Before_Tbl[[#This Row],[Department_Region]]))</f>
        <v>Florida</v>
      </c>
      <c r="V777" t="str">
        <f>TRIM(PROPER(Before_Tbl[[#This Row],[Status]]))</f>
        <v>Active</v>
      </c>
      <c r="W777" s="26">
        <v>44161</v>
      </c>
      <c r="X777" s="4">
        <v>97046.33</v>
      </c>
      <c r="Y777" t="str">
        <f>TRIM(LOWER(Before_Tbl[[#This Row],[Email]]))</f>
        <v>bob.jones@example.com</v>
      </c>
      <c r="Z777" s="2" t="str">
        <f>SUBSTITUTE(Before_Tbl[[#This Row],[Phone]],"-","")</f>
        <v>7102676719</v>
      </c>
      <c r="AA777" t="str">
        <f>TRIM(PROPER(Before_Tbl[[#This Row],[Performance_Score]]))</f>
        <v>Good</v>
      </c>
      <c r="AB777" s="2" t="str">
        <f>TRIM(UPPER(Before_Tbl[[#This Row],[Remote_Work]]))</f>
        <v>FALSE</v>
      </c>
    </row>
    <row r="778" spans="1:28" x14ac:dyDescent="0.35">
      <c r="A778" t="s">
        <v>1307</v>
      </c>
      <c r="B778" t="s">
        <v>54</v>
      </c>
      <c r="C778" t="s">
        <v>122</v>
      </c>
      <c r="D778">
        <v>40</v>
      </c>
      <c r="E778" t="s">
        <v>78</v>
      </c>
      <c r="F778" t="s">
        <v>33</v>
      </c>
      <c r="G778" t="s">
        <v>1308</v>
      </c>
      <c r="H778">
        <v>56518.84</v>
      </c>
      <c r="I778" t="s">
        <v>194</v>
      </c>
      <c r="J778">
        <v>-9579927078</v>
      </c>
      <c r="K778" t="s">
        <v>18</v>
      </c>
      <c r="L778" t="b">
        <v>0</v>
      </c>
      <c r="P778" t="str">
        <f>TRIM(Before_Tbl[[#This Row],[Employee_ID]])</f>
        <v>EMP1776</v>
      </c>
      <c r="Q778" t="str">
        <f>TRIM(PROPER(Before_Tbl[[#This Row],[First_Name]]))</f>
        <v>Charlie</v>
      </c>
      <c r="R778" t="str">
        <f>TRIM(PROPER(Before_Tbl[[#This Row],[Last_Name]]))</f>
        <v>Smith</v>
      </c>
      <c r="S778" s="25">
        <f t="shared" si="12"/>
        <v>40</v>
      </c>
      <c r="T778" t="str">
        <f>LEFT(Before_Tbl[[#This Row],[Department_Region]],FIND("-",Before_Tbl[[#This Row],[Department_Region]])-1)</f>
        <v>DevOps</v>
      </c>
      <c r="U778" t="str">
        <f>RIGHT(Before_Tbl[[#This Row],[Department_Region]],LEN(Before_Tbl[[#This Row],[Department_Region]])-FIND("-",Before_Tbl[[#This Row],[Department_Region]]))</f>
        <v>Illinois</v>
      </c>
      <c r="V778" t="str">
        <f>TRIM(PROPER(Before_Tbl[[#This Row],[Status]]))</f>
        <v>Inactive</v>
      </c>
      <c r="W778" s="26">
        <v>43904</v>
      </c>
      <c r="X778" s="4">
        <v>56518.84</v>
      </c>
      <c r="Y778" t="str">
        <f>TRIM(LOWER(Before_Tbl[[#This Row],[Email]]))</f>
        <v>charlie.smith@example.com</v>
      </c>
      <c r="Z778" s="2" t="str">
        <f>SUBSTITUTE(Before_Tbl[[#This Row],[Phone]],"-","")</f>
        <v>9579927078</v>
      </c>
      <c r="AA778" t="str">
        <f>TRIM(PROPER(Before_Tbl[[#This Row],[Performance_Score]]))</f>
        <v>Average</v>
      </c>
      <c r="AB778" s="2" t="str">
        <f>TRIM(UPPER(Before_Tbl[[#This Row],[Remote_Work]]))</f>
        <v>FALSE</v>
      </c>
    </row>
    <row r="779" spans="1:28" x14ac:dyDescent="0.35">
      <c r="A779" t="s">
        <v>1309</v>
      </c>
      <c r="B779" t="s">
        <v>37</v>
      </c>
      <c r="C779" t="s">
        <v>43</v>
      </c>
      <c r="D779">
        <v>40</v>
      </c>
      <c r="E779" t="s">
        <v>39</v>
      </c>
      <c r="F779" t="s">
        <v>28</v>
      </c>
      <c r="G779" s="1">
        <v>44170</v>
      </c>
      <c r="H779">
        <v>70498.289999999994</v>
      </c>
      <c r="I779" t="s">
        <v>180</v>
      </c>
      <c r="J779">
        <v>-5515122945</v>
      </c>
      <c r="K779" t="s">
        <v>30</v>
      </c>
      <c r="L779" t="b">
        <v>1</v>
      </c>
      <c r="P779" t="str">
        <f>TRIM(Before_Tbl[[#This Row],[Employee_ID]])</f>
        <v>EMP1777</v>
      </c>
      <c r="Q779" t="str">
        <f>TRIM(PROPER(Before_Tbl[[#This Row],[First_Name]]))</f>
        <v>Frank</v>
      </c>
      <c r="R779" t="str">
        <f>TRIM(PROPER(Before_Tbl[[#This Row],[Last_Name]]))</f>
        <v>Garcia</v>
      </c>
      <c r="S779" s="25">
        <f t="shared" si="12"/>
        <v>40</v>
      </c>
      <c r="T779" t="str">
        <f>LEFT(Before_Tbl[[#This Row],[Department_Region]],FIND("-",Before_Tbl[[#This Row],[Department_Region]])-1)</f>
        <v>Cloud Tech</v>
      </c>
      <c r="U779" t="str">
        <f>RIGHT(Before_Tbl[[#This Row],[Department_Region]],LEN(Before_Tbl[[#This Row],[Department_Region]])-FIND("-",Before_Tbl[[#This Row],[Department_Region]]))</f>
        <v>Florida</v>
      </c>
      <c r="V779" t="str">
        <f>TRIM(PROPER(Before_Tbl[[#This Row],[Status]]))</f>
        <v>Pending</v>
      </c>
      <c r="W779" s="26">
        <v>44170</v>
      </c>
      <c r="X779" s="4">
        <v>70498.289999999994</v>
      </c>
      <c r="Y779" t="str">
        <f>TRIM(LOWER(Before_Tbl[[#This Row],[Email]]))</f>
        <v>frank.garcia@example.com</v>
      </c>
      <c r="Z779" s="2" t="str">
        <f>SUBSTITUTE(Before_Tbl[[#This Row],[Phone]],"-","")</f>
        <v>5515122945</v>
      </c>
      <c r="AA779" t="str">
        <f>TRIM(PROPER(Before_Tbl[[#This Row],[Performance_Score]]))</f>
        <v>Good</v>
      </c>
      <c r="AB779" s="2" t="str">
        <f>TRIM(UPPER(Before_Tbl[[#This Row],[Remote_Work]]))</f>
        <v>TRUE</v>
      </c>
    </row>
    <row r="780" spans="1:28" x14ac:dyDescent="0.35">
      <c r="A780" t="s">
        <v>1310</v>
      </c>
      <c r="B780" t="s">
        <v>32</v>
      </c>
      <c r="C780" t="s">
        <v>43</v>
      </c>
      <c r="D780">
        <v>35</v>
      </c>
      <c r="E780" t="s">
        <v>74</v>
      </c>
      <c r="F780" t="s">
        <v>28</v>
      </c>
      <c r="G780" s="1">
        <v>44319</v>
      </c>
      <c r="H780">
        <v>98708.06</v>
      </c>
      <c r="I780" t="s">
        <v>297</v>
      </c>
      <c r="J780">
        <v>-2135415969</v>
      </c>
      <c r="K780" t="s">
        <v>18</v>
      </c>
      <c r="L780" t="b">
        <v>1</v>
      </c>
      <c r="P780" t="str">
        <f>TRIM(Before_Tbl[[#This Row],[Employee_ID]])</f>
        <v>EMP1778</v>
      </c>
      <c r="Q780" t="str">
        <f>TRIM(PROPER(Before_Tbl[[#This Row],[First_Name]]))</f>
        <v>Eva</v>
      </c>
      <c r="R780" t="str">
        <f>TRIM(PROPER(Before_Tbl[[#This Row],[Last_Name]]))</f>
        <v>Garcia</v>
      </c>
      <c r="S780" s="25">
        <f t="shared" si="12"/>
        <v>35</v>
      </c>
      <c r="T780" t="str">
        <f>LEFT(Before_Tbl[[#This Row],[Department_Region]],FIND("-",Before_Tbl[[#This Row],[Department_Region]])-1)</f>
        <v>Sales</v>
      </c>
      <c r="U780" t="str">
        <f>RIGHT(Before_Tbl[[#This Row],[Department_Region]],LEN(Before_Tbl[[#This Row],[Department_Region]])-FIND("-",Before_Tbl[[#This Row],[Department_Region]]))</f>
        <v>Florida</v>
      </c>
      <c r="V780" t="str">
        <f>TRIM(PROPER(Before_Tbl[[#This Row],[Status]]))</f>
        <v>Pending</v>
      </c>
      <c r="W780" s="26">
        <v>44319</v>
      </c>
      <c r="X780" s="4">
        <v>98708.06</v>
      </c>
      <c r="Y780" t="str">
        <f>TRIM(LOWER(Before_Tbl[[#This Row],[Email]]))</f>
        <v>eva.garcia@example.com</v>
      </c>
      <c r="Z780" s="2" t="str">
        <f>SUBSTITUTE(Before_Tbl[[#This Row],[Phone]],"-","")</f>
        <v>2135415969</v>
      </c>
      <c r="AA780" t="str">
        <f>TRIM(PROPER(Before_Tbl[[#This Row],[Performance_Score]]))</f>
        <v>Average</v>
      </c>
      <c r="AB780" s="2" t="str">
        <f>TRIM(UPPER(Before_Tbl[[#This Row],[Remote_Work]]))</f>
        <v>TRUE</v>
      </c>
    </row>
    <row r="781" spans="1:28" x14ac:dyDescent="0.35">
      <c r="A781" t="s">
        <v>1311</v>
      </c>
      <c r="B781" t="s">
        <v>13</v>
      </c>
      <c r="C781" t="s">
        <v>38</v>
      </c>
      <c r="E781" t="s">
        <v>329</v>
      </c>
      <c r="F781" t="s">
        <v>28</v>
      </c>
      <c r="G781" t="s">
        <v>507</v>
      </c>
      <c r="H781">
        <v>83856.41</v>
      </c>
      <c r="I781" t="s">
        <v>144</v>
      </c>
      <c r="J781">
        <v>-9962543847</v>
      </c>
      <c r="K781" t="s">
        <v>23</v>
      </c>
      <c r="L781" t="b">
        <v>0</v>
      </c>
      <c r="P781" t="str">
        <f>TRIM(Before_Tbl[[#This Row],[Employee_ID]])</f>
        <v>EMP1779</v>
      </c>
      <c r="Q781" t="str">
        <f>TRIM(PROPER(Before_Tbl[[#This Row],[First_Name]]))</f>
        <v>Bob</v>
      </c>
      <c r="R781" t="str">
        <f>TRIM(PROPER(Before_Tbl[[#This Row],[Last_Name]]))</f>
        <v>Williams</v>
      </c>
      <c r="S781" s="25">
        <f t="shared" si="12"/>
        <v>30</v>
      </c>
      <c r="T781" t="str">
        <f>LEFT(Before_Tbl[[#This Row],[Department_Region]],FIND("-",Before_Tbl[[#This Row],[Department_Region]])-1)</f>
        <v>DevOps</v>
      </c>
      <c r="U781" t="str">
        <f>RIGHT(Before_Tbl[[#This Row],[Department_Region]],LEN(Before_Tbl[[#This Row],[Department_Region]])-FIND("-",Before_Tbl[[#This Row],[Department_Region]]))</f>
        <v>Nevada</v>
      </c>
      <c r="V781" t="str">
        <f>TRIM(PROPER(Before_Tbl[[#This Row],[Status]]))</f>
        <v>Pending</v>
      </c>
      <c r="W781" s="26">
        <v>44010</v>
      </c>
      <c r="X781" s="4">
        <v>83856.41</v>
      </c>
      <c r="Y781" t="str">
        <f>TRIM(LOWER(Before_Tbl[[#This Row],[Email]]))</f>
        <v>bob.williams@example.com</v>
      </c>
      <c r="Z781" s="2" t="str">
        <f>SUBSTITUTE(Before_Tbl[[#This Row],[Phone]],"-","")</f>
        <v>9962543847</v>
      </c>
      <c r="AA781" t="str">
        <f>TRIM(PROPER(Before_Tbl[[#This Row],[Performance_Score]]))</f>
        <v>Excellent</v>
      </c>
      <c r="AB781" s="2" t="str">
        <f>TRIM(UPPER(Before_Tbl[[#This Row],[Remote_Work]]))</f>
        <v>FALSE</v>
      </c>
    </row>
    <row r="782" spans="1:28" x14ac:dyDescent="0.35">
      <c r="A782" t="s">
        <v>1312</v>
      </c>
      <c r="B782" t="s">
        <v>32</v>
      </c>
      <c r="C782" t="s">
        <v>122</v>
      </c>
      <c r="D782">
        <v>40</v>
      </c>
      <c r="E782" t="s">
        <v>177</v>
      </c>
      <c r="F782" t="s">
        <v>33</v>
      </c>
      <c r="G782" s="1">
        <v>44907</v>
      </c>
      <c r="H782">
        <v>90259.99</v>
      </c>
      <c r="I782" t="s">
        <v>522</v>
      </c>
      <c r="J782">
        <v>-752034475</v>
      </c>
      <c r="K782" t="s">
        <v>18</v>
      </c>
      <c r="L782" t="b">
        <v>0</v>
      </c>
      <c r="P782" t="str">
        <f>TRIM(Before_Tbl[[#This Row],[Employee_ID]])</f>
        <v>EMP1780</v>
      </c>
      <c r="Q782" t="str">
        <f>TRIM(PROPER(Before_Tbl[[#This Row],[First_Name]]))</f>
        <v>Eva</v>
      </c>
      <c r="R782" t="str">
        <f>TRIM(PROPER(Before_Tbl[[#This Row],[Last_Name]]))</f>
        <v>Smith</v>
      </c>
      <c r="S782" s="25">
        <f t="shared" si="12"/>
        <v>40</v>
      </c>
      <c r="T782" t="str">
        <f>LEFT(Before_Tbl[[#This Row],[Department_Region]],FIND("-",Before_Tbl[[#This Row],[Department_Region]])-1)</f>
        <v>Sales</v>
      </c>
      <c r="U782" t="str">
        <f>RIGHT(Before_Tbl[[#This Row],[Department_Region]],LEN(Before_Tbl[[#This Row],[Department_Region]])-FIND("-",Before_Tbl[[#This Row],[Department_Region]]))</f>
        <v>California</v>
      </c>
      <c r="V782" t="str">
        <f>TRIM(PROPER(Before_Tbl[[#This Row],[Status]]))</f>
        <v>Inactive</v>
      </c>
      <c r="W782" s="26">
        <v>44907</v>
      </c>
      <c r="X782" s="4">
        <v>90259.99</v>
      </c>
      <c r="Y782" t="str">
        <f>TRIM(LOWER(Before_Tbl[[#This Row],[Email]]))</f>
        <v>eva.smith@example.com</v>
      </c>
      <c r="Z782" s="2" t="str">
        <f>SUBSTITUTE(Before_Tbl[[#This Row],[Phone]],"-","")</f>
        <v>752034475</v>
      </c>
      <c r="AA782" t="str">
        <f>TRIM(PROPER(Before_Tbl[[#This Row],[Performance_Score]]))</f>
        <v>Average</v>
      </c>
      <c r="AB782" s="2" t="str">
        <f>TRIM(UPPER(Before_Tbl[[#This Row],[Remote_Work]]))</f>
        <v>FALSE</v>
      </c>
    </row>
    <row r="783" spans="1:28" x14ac:dyDescent="0.35">
      <c r="A783" t="s">
        <v>1313</v>
      </c>
      <c r="B783" t="s">
        <v>54</v>
      </c>
      <c r="C783" t="s">
        <v>38</v>
      </c>
      <c r="E783" t="s">
        <v>74</v>
      </c>
      <c r="F783" t="s">
        <v>28</v>
      </c>
      <c r="G783" s="1">
        <v>45324</v>
      </c>
      <c r="H783">
        <v>94230.03</v>
      </c>
      <c r="I783" t="s">
        <v>90</v>
      </c>
      <c r="J783">
        <v>-5047158028</v>
      </c>
      <c r="K783" t="s">
        <v>23</v>
      </c>
      <c r="L783" t="b">
        <v>1</v>
      </c>
      <c r="P783" t="str">
        <f>TRIM(Before_Tbl[[#This Row],[Employee_ID]])</f>
        <v>EMP1781</v>
      </c>
      <c r="Q783" t="str">
        <f>TRIM(PROPER(Before_Tbl[[#This Row],[First_Name]]))</f>
        <v>Charlie</v>
      </c>
      <c r="R783" t="str">
        <f>TRIM(PROPER(Before_Tbl[[#This Row],[Last_Name]]))</f>
        <v>Williams</v>
      </c>
      <c r="S783" s="25">
        <f t="shared" si="12"/>
        <v>30</v>
      </c>
      <c r="T783" t="str">
        <f>LEFT(Before_Tbl[[#This Row],[Department_Region]],FIND("-",Before_Tbl[[#This Row],[Department_Region]])-1)</f>
        <v>Sales</v>
      </c>
      <c r="U783" t="str">
        <f>RIGHT(Before_Tbl[[#This Row],[Department_Region]],LEN(Before_Tbl[[#This Row],[Department_Region]])-FIND("-",Before_Tbl[[#This Row],[Department_Region]]))</f>
        <v>Florida</v>
      </c>
      <c r="V783" t="str">
        <f>TRIM(PROPER(Before_Tbl[[#This Row],[Status]]))</f>
        <v>Pending</v>
      </c>
      <c r="W783" s="26">
        <v>45324</v>
      </c>
      <c r="X783" s="4">
        <v>94230.03</v>
      </c>
      <c r="Y783" t="str">
        <f>TRIM(LOWER(Before_Tbl[[#This Row],[Email]]))</f>
        <v>charlie.williams@example.com</v>
      </c>
      <c r="Z783" s="2" t="str">
        <f>SUBSTITUTE(Before_Tbl[[#This Row],[Phone]],"-","")</f>
        <v>5047158028</v>
      </c>
      <c r="AA783" t="str">
        <f>TRIM(PROPER(Before_Tbl[[#This Row],[Performance_Score]]))</f>
        <v>Excellent</v>
      </c>
      <c r="AB783" s="2" t="str">
        <f>TRIM(UPPER(Before_Tbl[[#This Row],[Remote_Work]]))</f>
        <v>TRUE</v>
      </c>
    </row>
    <row r="784" spans="1:28" x14ac:dyDescent="0.35">
      <c r="A784" t="s">
        <v>1314</v>
      </c>
      <c r="B784" t="s">
        <v>54</v>
      </c>
      <c r="C784" t="s">
        <v>43</v>
      </c>
      <c r="E784" t="s">
        <v>27</v>
      </c>
      <c r="F784" t="s">
        <v>33</v>
      </c>
      <c r="G784" t="s">
        <v>1036</v>
      </c>
      <c r="H784">
        <v>50110.66</v>
      </c>
      <c r="I784" t="s">
        <v>87</v>
      </c>
      <c r="J784">
        <v>-904637659</v>
      </c>
      <c r="K784" t="s">
        <v>18</v>
      </c>
      <c r="L784" t="b">
        <v>1</v>
      </c>
      <c r="P784" t="str">
        <f>TRIM(Before_Tbl[[#This Row],[Employee_ID]])</f>
        <v>EMP1782</v>
      </c>
      <c r="Q784" t="str">
        <f>TRIM(PROPER(Before_Tbl[[#This Row],[First_Name]]))</f>
        <v>Charlie</v>
      </c>
      <c r="R784" t="str">
        <f>TRIM(PROPER(Before_Tbl[[#This Row],[Last_Name]]))</f>
        <v>Garcia</v>
      </c>
      <c r="S784" s="25">
        <f t="shared" si="12"/>
        <v>30</v>
      </c>
      <c r="T784" t="str">
        <f>LEFT(Before_Tbl[[#This Row],[Department_Region]],FIND("-",Before_Tbl[[#This Row],[Department_Region]])-1)</f>
        <v>Admin</v>
      </c>
      <c r="U784" t="str">
        <f>RIGHT(Before_Tbl[[#This Row],[Department_Region]],LEN(Before_Tbl[[#This Row],[Department_Region]])-FIND("-",Before_Tbl[[#This Row],[Department_Region]]))</f>
        <v>Nevada</v>
      </c>
      <c r="V784" t="str">
        <f>TRIM(PROPER(Before_Tbl[[#This Row],[Status]]))</f>
        <v>Inactive</v>
      </c>
      <c r="W784" s="26">
        <v>44227</v>
      </c>
      <c r="X784" s="4">
        <v>50110.66</v>
      </c>
      <c r="Y784" t="str">
        <f>TRIM(LOWER(Before_Tbl[[#This Row],[Email]]))</f>
        <v>charlie.garcia@example.com</v>
      </c>
      <c r="Z784" s="2" t="str">
        <f>SUBSTITUTE(Before_Tbl[[#This Row],[Phone]],"-","")</f>
        <v>904637659</v>
      </c>
      <c r="AA784" t="str">
        <f>TRIM(PROPER(Before_Tbl[[#This Row],[Performance_Score]]))</f>
        <v>Average</v>
      </c>
      <c r="AB784" s="2" t="str">
        <f>TRIM(UPPER(Before_Tbl[[#This Row],[Remote_Work]]))</f>
        <v>TRUE</v>
      </c>
    </row>
    <row r="785" spans="1:28" x14ac:dyDescent="0.35">
      <c r="A785" t="s">
        <v>1315</v>
      </c>
      <c r="B785" t="s">
        <v>13</v>
      </c>
      <c r="C785" t="s">
        <v>20</v>
      </c>
      <c r="D785">
        <v>30</v>
      </c>
      <c r="E785" t="s">
        <v>74</v>
      </c>
      <c r="F785" t="s">
        <v>33</v>
      </c>
      <c r="G785" s="1">
        <v>43894</v>
      </c>
      <c r="H785">
        <v>73365.460000000006</v>
      </c>
      <c r="I785" t="s">
        <v>22</v>
      </c>
      <c r="J785">
        <v>-4655866524</v>
      </c>
      <c r="K785" t="s">
        <v>41</v>
      </c>
      <c r="L785" t="b">
        <v>0</v>
      </c>
      <c r="P785" t="str">
        <f>TRIM(Before_Tbl[[#This Row],[Employee_ID]])</f>
        <v>EMP1783</v>
      </c>
      <c r="Q785" t="str">
        <f>TRIM(PROPER(Before_Tbl[[#This Row],[First_Name]]))</f>
        <v>Bob</v>
      </c>
      <c r="R785" t="str">
        <f>TRIM(PROPER(Before_Tbl[[#This Row],[Last_Name]]))</f>
        <v>Brown</v>
      </c>
      <c r="S785" s="25">
        <f t="shared" si="12"/>
        <v>30</v>
      </c>
      <c r="T785" t="str">
        <f>LEFT(Before_Tbl[[#This Row],[Department_Region]],FIND("-",Before_Tbl[[#This Row],[Department_Region]])-1)</f>
        <v>Sales</v>
      </c>
      <c r="U785" t="str">
        <f>RIGHT(Before_Tbl[[#This Row],[Department_Region]],LEN(Before_Tbl[[#This Row],[Department_Region]])-FIND("-",Before_Tbl[[#This Row],[Department_Region]]))</f>
        <v>Florida</v>
      </c>
      <c r="V785" t="str">
        <f>TRIM(PROPER(Before_Tbl[[#This Row],[Status]]))</f>
        <v>Inactive</v>
      </c>
      <c r="W785" s="26">
        <v>43894</v>
      </c>
      <c r="X785" s="4">
        <v>73365.460000000006</v>
      </c>
      <c r="Y785" t="str">
        <f>TRIM(LOWER(Before_Tbl[[#This Row],[Email]]))</f>
        <v>bob.brown@example.com</v>
      </c>
      <c r="Z785" s="2" t="str">
        <f>SUBSTITUTE(Before_Tbl[[#This Row],[Phone]],"-","")</f>
        <v>4655866524</v>
      </c>
      <c r="AA785" t="str">
        <f>TRIM(PROPER(Before_Tbl[[#This Row],[Performance_Score]]))</f>
        <v>Poor</v>
      </c>
      <c r="AB785" s="2" t="str">
        <f>TRIM(UPPER(Before_Tbl[[#This Row],[Remote_Work]]))</f>
        <v>FALSE</v>
      </c>
    </row>
    <row r="786" spans="1:28" x14ac:dyDescent="0.35">
      <c r="A786" t="s">
        <v>1316</v>
      </c>
      <c r="B786" t="s">
        <v>59</v>
      </c>
      <c r="C786" t="s">
        <v>55</v>
      </c>
      <c r="D786">
        <v>25</v>
      </c>
      <c r="E786" t="s">
        <v>56</v>
      </c>
      <c r="F786" t="s">
        <v>28</v>
      </c>
      <c r="G786" t="s">
        <v>1317</v>
      </c>
      <c r="H786">
        <v>67809.23</v>
      </c>
      <c r="I786" t="s">
        <v>217</v>
      </c>
      <c r="J786">
        <v>-4837441714</v>
      </c>
      <c r="K786" t="s">
        <v>23</v>
      </c>
      <c r="L786" t="b">
        <v>0</v>
      </c>
      <c r="P786" t="str">
        <f>TRIM(Before_Tbl[[#This Row],[Employee_ID]])</f>
        <v>EMP1784</v>
      </c>
      <c r="Q786" t="str">
        <f>TRIM(PROPER(Before_Tbl[[#This Row],[First_Name]]))</f>
        <v>David</v>
      </c>
      <c r="R786" t="str">
        <f>TRIM(PROPER(Before_Tbl[[#This Row],[Last_Name]]))</f>
        <v>Johnson</v>
      </c>
      <c r="S786" s="25">
        <f t="shared" si="12"/>
        <v>25</v>
      </c>
      <c r="T786" t="str">
        <f>LEFT(Before_Tbl[[#This Row],[Department_Region]],FIND("-",Before_Tbl[[#This Row],[Department_Region]])-1)</f>
        <v>DevOps</v>
      </c>
      <c r="U786" t="str">
        <f>RIGHT(Before_Tbl[[#This Row],[Department_Region]],LEN(Before_Tbl[[#This Row],[Department_Region]])-FIND("-",Before_Tbl[[#This Row],[Department_Region]]))</f>
        <v>New York</v>
      </c>
      <c r="V786" t="str">
        <f>TRIM(PROPER(Before_Tbl[[#This Row],[Status]]))</f>
        <v>Pending</v>
      </c>
      <c r="W786" s="26">
        <v>44407</v>
      </c>
      <c r="X786" s="4">
        <v>67809.23</v>
      </c>
      <c r="Y786" t="str">
        <f>TRIM(LOWER(Before_Tbl[[#This Row],[Email]]))</f>
        <v>david.johnson@example.com</v>
      </c>
      <c r="Z786" s="2" t="str">
        <f>SUBSTITUTE(Before_Tbl[[#This Row],[Phone]],"-","")</f>
        <v>4837441714</v>
      </c>
      <c r="AA786" t="str">
        <f>TRIM(PROPER(Before_Tbl[[#This Row],[Performance_Score]]))</f>
        <v>Excellent</v>
      </c>
      <c r="AB786" s="2" t="str">
        <f>TRIM(UPPER(Before_Tbl[[#This Row],[Remote_Work]]))</f>
        <v>FALSE</v>
      </c>
    </row>
    <row r="787" spans="1:28" x14ac:dyDescent="0.35">
      <c r="A787" t="s">
        <v>1318</v>
      </c>
      <c r="B787" t="s">
        <v>32</v>
      </c>
      <c r="C787" t="s">
        <v>122</v>
      </c>
      <c r="E787" t="s">
        <v>177</v>
      </c>
      <c r="F787" t="s">
        <v>16</v>
      </c>
      <c r="G787" t="s">
        <v>413</v>
      </c>
      <c r="H787">
        <v>98008.51</v>
      </c>
      <c r="I787" t="s">
        <v>522</v>
      </c>
      <c r="J787">
        <v>-8102131250</v>
      </c>
      <c r="K787" t="s">
        <v>18</v>
      </c>
      <c r="L787" t="b">
        <v>0</v>
      </c>
      <c r="P787" t="str">
        <f>TRIM(Before_Tbl[[#This Row],[Employee_ID]])</f>
        <v>EMP1785</v>
      </c>
      <c r="Q787" t="str">
        <f>TRIM(PROPER(Before_Tbl[[#This Row],[First_Name]]))</f>
        <v>Eva</v>
      </c>
      <c r="R787" t="str">
        <f>TRIM(PROPER(Before_Tbl[[#This Row],[Last_Name]]))</f>
        <v>Smith</v>
      </c>
      <c r="S787" s="25">
        <f t="shared" si="12"/>
        <v>30</v>
      </c>
      <c r="T787" t="str">
        <f>LEFT(Before_Tbl[[#This Row],[Department_Region]],FIND("-",Before_Tbl[[#This Row],[Department_Region]])-1)</f>
        <v>Sales</v>
      </c>
      <c r="U787" t="str">
        <f>RIGHT(Before_Tbl[[#This Row],[Department_Region]],LEN(Before_Tbl[[#This Row],[Department_Region]])-FIND("-",Before_Tbl[[#This Row],[Department_Region]]))</f>
        <v>California</v>
      </c>
      <c r="V787" t="str">
        <f>TRIM(PROPER(Before_Tbl[[#This Row],[Status]]))</f>
        <v>Active</v>
      </c>
      <c r="W787" s="26">
        <v>44064</v>
      </c>
      <c r="X787" s="4">
        <v>98008.51</v>
      </c>
      <c r="Y787" t="str">
        <f>TRIM(LOWER(Before_Tbl[[#This Row],[Email]]))</f>
        <v>eva.smith@example.com</v>
      </c>
      <c r="Z787" s="2" t="str">
        <f>SUBSTITUTE(Before_Tbl[[#This Row],[Phone]],"-","")</f>
        <v>8102131250</v>
      </c>
      <c r="AA787" t="str">
        <f>TRIM(PROPER(Before_Tbl[[#This Row],[Performance_Score]]))</f>
        <v>Average</v>
      </c>
      <c r="AB787" s="2" t="str">
        <f>TRIM(UPPER(Before_Tbl[[#This Row],[Remote_Work]]))</f>
        <v>FALSE</v>
      </c>
    </row>
    <row r="788" spans="1:28" x14ac:dyDescent="0.35">
      <c r="A788" t="s">
        <v>1319</v>
      </c>
      <c r="B788" t="s">
        <v>25</v>
      </c>
      <c r="C788" t="s">
        <v>14</v>
      </c>
      <c r="D788">
        <v>30</v>
      </c>
      <c r="E788" t="s">
        <v>118</v>
      </c>
      <c r="F788" t="s">
        <v>33</v>
      </c>
      <c r="G788" s="1">
        <v>45179</v>
      </c>
      <c r="H788">
        <v>83537.58</v>
      </c>
      <c r="I788" t="s">
        <v>163</v>
      </c>
      <c r="J788">
        <v>-2931100590</v>
      </c>
      <c r="K788" t="s">
        <v>41</v>
      </c>
      <c r="L788" t="b">
        <v>0</v>
      </c>
      <c r="P788" t="str">
        <f>TRIM(Before_Tbl[[#This Row],[Employee_ID]])</f>
        <v>EMP1786</v>
      </c>
      <c r="Q788" t="str">
        <f>TRIM(PROPER(Before_Tbl[[#This Row],[First_Name]]))</f>
        <v>Alice</v>
      </c>
      <c r="R788" t="str">
        <f>TRIM(PROPER(Before_Tbl[[#This Row],[Last_Name]]))</f>
        <v>Davis</v>
      </c>
      <c r="S788" s="25">
        <f t="shared" si="12"/>
        <v>30</v>
      </c>
      <c r="T788" t="str">
        <f>LEFT(Before_Tbl[[#This Row],[Department_Region]],FIND("-",Before_Tbl[[#This Row],[Department_Region]])-1)</f>
        <v>Admin</v>
      </c>
      <c r="U788" t="str">
        <f>RIGHT(Before_Tbl[[#This Row],[Department_Region]],LEN(Before_Tbl[[#This Row],[Department_Region]])-FIND("-",Before_Tbl[[#This Row],[Department_Region]]))</f>
        <v>California</v>
      </c>
      <c r="V788" t="str">
        <f>TRIM(PROPER(Before_Tbl[[#This Row],[Status]]))</f>
        <v>Inactive</v>
      </c>
      <c r="W788" s="26">
        <v>45179</v>
      </c>
      <c r="X788" s="4">
        <v>83537.58</v>
      </c>
      <c r="Y788" t="str">
        <f>TRIM(LOWER(Before_Tbl[[#This Row],[Email]]))</f>
        <v>alice.davis@example.com</v>
      </c>
      <c r="Z788" s="2" t="str">
        <f>SUBSTITUTE(Before_Tbl[[#This Row],[Phone]],"-","")</f>
        <v>2931100590</v>
      </c>
      <c r="AA788" t="str">
        <f>TRIM(PROPER(Before_Tbl[[#This Row],[Performance_Score]]))</f>
        <v>Poor</v>
      </c>
      <c r="AB788" s="2" t="str">
        <f>TRIM(UPPER(Before_Tbl[[#This Row],[Remote_Work]]))</f>
        <v>FALSE</v>
      </c>
    </row>
    <row r="789" spans="1:28" x14ac:dyDescent="0.35">
      <c r="A789" t="s">
        <v>1320</v>
      </c>
      <c r="B789" t="s">
        <v>25</v>
      </c>
      <c r="C789" t="s">
        <v>43</v>
      </c>
      <c r="D789">
        <v>30</v>
      </c>
      <c r="E789" t="s">
        <v>227</v>
      </c>
      <c r="F789" t="s">
        <v>28</v>
      </c>
      <c r="G789" s="1">
        <v>44569</v>
      </c>
      <c r="H789">
        <v>112444.08</v>
      </c>
      <c r="I789" t="s">
        <v>45</v>
      </c>
      <c r="J789">
        <v>-2975191022</v>
      </c>
      <c r="K789" t="s">
        <v>23</v>
      </c>
      <c r="L789" t="b">
        <v>1</v>
      </c>
      <c r="P789" t="str">
        <f>TRIM(Before_Tbl[[#This Row],[Employee_ID]])</f>
        <v>EMP1787</v>
      </c>
      <c r="Q789" t="str">
        <f>TRIM(PROPER(Before_Tbl[[#This Row],[First_Name]]))</f>
        <v>Alice</v>
      </c>
      <c r="R789" t="str">
        <f>TRIM(PROPER(Before_Tbl[[#This Row],[Last_Name]]))</f>
        <v>Garcia</v>
      </c>
      <c r="S789" s="25">
        <f t="shared" si="12"/>
        <v>30</v>
      </c>
      <c r="T789" t="str">
        <f>LEFT(Before_Tbl[[#This Row],[Department_Region]],FIND("-",Before_Tbl[[#This Row],[Department_Region]])-1)</f>
        <v>Finance</v>
      </c>
      <c r="U789" t="str">
        <f>RIGHT(Before_Tbl[[#This Row],[Department_Region]],LEN(Before_Tbl[[#This Row],[Department_Region]])-FIND("-",Before_Tbl[[#This Row],[Department_Region]]))</f>
        <v>New York</v>
      </c>
      <c r="V789" t="str">
        <f>TRIM(PROPER(Before_Tbl[[#This Row],[Status]]))</f>
        <v>Pending</v>
      </c>
      <c r="W789" s="26">
        <v>44569</v>
      </c>
      <c r="X789" s="4">
        <v>112444.08</v>
      </c>
      <c r="Y789" t="str">
        <f>TRIM(LOWER(Before_Tbl[[#This Row],[Email]]))</f>
        <v>alice.garcia@example.com</v>
      </c>
      <c r="Z789" s="2" t="str">
        <f>SUBSTITUTE(Before_Tbl[[#This Row],[Phone]],"-","")</f>
        <v>2975191022</v>
      </c>
      <c r="AA789" t="str">
        <f>TRIM(PROPER(Before_Tbl[[#This Row],[Performance_Score]]))</f>
        <v>Excellent</v>
      </c>
      <c r="AB789" s="2" t="str">
        <f>TRIM(UPPER(Before_Tbl[[#This Row],[Remote_Work]]))</f>
        <v>TRUE</v>
      </c>
    </row>
    <row r="790" spans="1:28" x14ac:dyDescent="0.35">
      <c r="A790" t="s">
        <v>1321</v>
      </c>
      <c r="B790" t="s">
        <v>37</v>
      </c>
      <c r="C790" t="s">
        <v>43</v>
      </c>
      <c r="D790">
        <v>40</v>
      </c>
      <c r="E790" t="s">
        <v>100</v>
      </c>
      <c r="F790" t="s">
        <v>16</v>
      </c>
      <c r="G790" s="1">
        <v>45452</v>
      </c>
      <c r="H790">
        <v>86475.13</v>
      </c>
      <c r="I790" t="s">
        <v>180</v>
      </c>
      <c r="J790">
        <v>-1211063300</v>
      </c>
      <c r="K790" t="s">
        <v>41</v>
      </c>
      <c r="L790" t="b">
        <v>1</v>
      </c>
      <c r="P790" t="str">
        <f>TRIM(Before_Tbl[[#This Row],[Employee_ID]])</f>
        <v>EMP1788</v>
      </c>
      <c r="Q790" t="str">
        <f>TRIM(PROPER(Before_Tbl[[#This Row],[First_Name]]))</f>
        <v>Frank</v>
      </c>
      <c r="R790" t="str">
        <f>TRIM(PROPER(Before_Tbl[[#This Row],[Last_Name]]))</f>
        <v>Garcia</v>
      </c>
      <c r="S790" s="25">
        <f t="shared" si="12"/>
        <v>40</v>
      </c>
      <c r="T790" t="str">
        <f>LEFT(Before_Tbl[[#This Row],[Department_Region]],FIND("-",Before_Tbl[[#This Row],[Department_Region]])-1)</f>
        <v>Finance</v>
      </c>
      <c r="U790" t="str">
        <f>RIGHT(Before_Tbl[[#This Row],[Department_Region]],LEN(Before_Tbl[[#This Row],[Department_Region]])-FIND("-",Before_Tbl[[#This Row],[Department_Region]]))</f>
        <v>Nevada</v>
      </c>
      <c r="V790" t="str">
        <f>TRIM(PROPER(Before_Tbl[[#This Row],[Status]]))</f>
        <v>Active</v>
      </c>
      <c r="W790" s="26">
        <v>45452</v>
      </c>
      <c r="X790" s="4">
        <v>86475.13</v>
      </c>
      <c r="Y790" t="str">
        <f>TRIM(LOWER(Before_Tbl[[#This Row],[Email]]))</f>
        <v>frank.garcia@example.com</v>
      </c>
      <c r="Z790" s="2" t="str">
        <f>SUBSTITUTE(Before_Tbl[[#This Row],[Phone]],"-","")</f>
        <v>1211063300</v>
      </c>
      <c r="AA790" t="str">
        <f>TRIM(PROPER(Before_Tbl[[#This Row],[Performance_Score]]))</f>
        <v>Poor</v>
      </c>
      <c r="AB790" s="2" t="str">
        <f>TRIM(UPPER(Before_Tbl[[#This Row],[Remote_Work]]))</f>
        <v>TRUE</v>
      </c>
    </row>
    <row r="791" spans="1:28" x14ac:dyDescent="0.35">
      <c r="A791" t="s">
        <v>1322</v>
      </c>
      <c r="B791" t="s">
        <v>37</v>
      </c>
      <c r="C791" t="s">
        <v>14</v>
      </c>
      <c r="E791" t="s">
        <v>44</v>
      </c>
      <c r="F791" t="s">
        <v>16</v>
      </c>
      <c r="G791" t="s">
        <v>1323</v>
      </c>
      <c r="H791">
        <v>97984.53</v>
      </c>
      <c r="I791" t="s">
        <v>52</v>
      </c>
      <c r="J791">
        <v>-6583737926</v>
      </c>
      <c r="K791" t="s">
        <v>30</v>
      </c>
      <c r="L791" t="b">
        <v>1</v>
      </c>
      <c r="P791" t="str">
        <f>TRIM(Before_Tbl[[#This Row],[Employee_ID]])</f>
        <v>EMP1789</v>
      </c>
      <c r="Q791" t="str">
        <f>TRIM(PROPER(Before_Tbl[[#This Row],[First_Name]]))</f>
        <v>Frank</v>
      </c>
      <c r="R791" t="str">
        <f>TRIM(PROPER(Before_Tbl[[#This Row],[Last_Name]]))</f>
        <v>Davis</v>
      </c>
      <c r="S791" s="25">
        <f t="shared" si="12"/>
        <v>30</v>
      </c>
      <c r="T791" t="str">
        <f>LEFT(Before_Tbl[[#This Row],[Department_Region]],FIND("-",Before_Tbl[[#This Row],[Department_Region]])-1)</f>
        <v>Sales</v>
      </c>
      <c r="U791" t="str">
        <f>RIGHT(Before_Tbl[[#This Row],[Department_Region]],LEN(Before_Tbl[[#This Row],[Department_Region]])-FIND("-",Before_Tbl[[#This Row],[Department_Region]]))</f>
        <v>Texas</v>
      </c>
      <c r="V791" t="str">
        <f>TRIM(PROPER(Before_Tbl[[#This Row],[Status]]))</f>
        <v>Active</v>
      </c>
      <c r="W791" s="26">
        <v>45013</v>
      </c>
      <c r="X791" s="4">
        <v>97984.53</v>
      </c>
      <c r="Y791" t="str">
        <f>TRIM(LOWER(Before_Tbl[[#This Row],[Email]]))</f>
        <v>frank.davis@example.com</v>
      </c>
      <c r="Z791" s="2" t="str">
        <f>SUBSTITUTE(Before_Tbl[[#This Row],[Phone]],"-","")</f>
        <v>6583737926</v>
      </c>
      <c r="AA791" t="str">
        <f>TRIM(PROPER(Before_Tbl[[#This Row],[Performance_Score]]))</f>
        <v>Good</v>
      </c>
      <c r="AB791" s="2" t="str">
        <f>TRIM(UPPER(Before_Tbl[[#This Row],[Remote_Work]]))</f>
        <v>TRUE</v>
      </c>
    </row>
    <row r="792" spans="1:28" x14ac:dyDescent="0.35">
      <c r="A792" t="s">
        <v>1324</v>
      </c>
      <c r="B792" t="s">
        <v>37</v>
      </c>
      <c r="C792" t="s">
        <v>92</v>
      </c>
      <c r="D792">
        <v>25</v>
      </c>
      <c r="E792" t="s">
        <v>118</v>
      </c>
      <c r="F792" t="s">
        <v>16</v>
      </c>
      <c r="G792" t="s">
        <v>1325</v>
      </c>
      <c r="H792">
        <v>118853.31</v>
      </c>
      <c r="I792" t="s">
        <v>110</v>
      </c>
      <c r="J792">
        <v>-4907280122</v>
      </c>
      <c r="K792" t="s">
        <v>30</v>
      </c>
      <c r="L792" t="b">
        <v>0</v>
      </c>
      <c r="P792" t="str">
        <f>TRIM(Before_Tbl[[#This Row],[Employee_ID]])</f>
        <v>EMP1790</v>
      </c>
      <c r="Q792" t="str">
        <f>TRIM(PROPER(Before_Tbl[[#This Row],[First_Name]]))</f>
        <v>Frank</v>
      </c>
      <c r="R792" t="str">
        <f>TRIM(PROPER(Before_Tbl[[#This Row],[Last_Name]]))</f>
        <v>Miller</v>
      </c>
      <c r="S792" s="25">
        <f t="shared" si="12"/>
        <v>25</v>
      </c>
      <c r="T792" t="str">
        <f>LEFT(Before_Tbl[[#This Row],[Department_Region]],FIND("-",Before_Tbl[[#This Row],[Department_Region]])-1)</f>
        <v>Admin</v>
      </c>
      <c r="U792" t="str">
        <f>RIGHT(Before_Tbl[[#This Row],[Department_Region]],LEN(Before_Tbl[[#This Row],[Department_Region]])-FIND("-",Before_Tbl[[#This Row],[Department_Region]]))</f>
        <v>California</v>
      </c>
      <c r="V792" t="str">
        <f>TRIM(PROPER(Before_Tbl[[#This Row],[Status]]))</f>
        <v>Active</v>
      </c>
      <c r="W792" s="26">
        <v>44525</v>
      </c>
      <c r="X792" s="4">
        <v>118853.31</v>
      </c>
      <c r="Y792" t="str">
        <f>TRIM(LOWER(Before_Tbl[[#This Row],[Email]]))</f>
        <v>frank.miller@example.com</v>
      </c>
      <c r="Z792" s="2" t="str">
        <f>SUBSTITUTE(Before_Tbl[[#This Row],[Phone]],"-","")</f>
        <v>4907280122</v>
      </c>
      <c r="AA792" t="str">
        <f>TRIM(PROPER(Before_Tbl[[#This Row],[Performance_Score]]))</f>
        <v>Good</v>
      </c>
      <c r="AB792" s="2" t="str">
        <f>TRIM(UPPER(Before_Tbl[[#This Row],[Remote_Work]]))</f>
        <v>FALSE</v>
      </c>
    </row>
    <row r="793" spans="1:28" x14ac:dyDescent="0.35">
      <c r="A793" t="s">
        <v>1326</v>
      </c>
      <c r="B793" t="s">
        <v>54</v>
      </c>
      <c r="C793" t="s">
        <v>43</v>
      </c>
      <c r="E793" t="s">
        <v>74</v>
      </c>
      <c r="F793" t="s">
        <v>16</v>
      </c>
      <c r="G793" s="1">
        <v>44990</v>
      </c>
      <c r="H793">
        <v>58179.12</v>
      </c>
      <c r="I793" t="s">
        <v>87</v>
      </c>
      <c r="J793">
        <v>-4289311324</v>
      </c>
      <c r="K793" t="s">
        <v>23</v>
      </c>
      <c r="L793" t="b">
        <v>0</v>
      </c>
      <c r="P793" t="str">
        <f>TRIM(Before_Tbl[[#This Row],[Employee_ID]])</f>
        <v>EMP1791</v>
      </c>
      <c r="Q793" t="str">
        <f>TRIM(PROPER(Before_Tbl[[#This Row],[First_Name]]))</f>
        <v>Charlie</v>
      </c>
      <c r="R793" t="str">
        <f>TRIM(PROPER(Before_Tbl[[#This Row],[Last_Name]]))</f>
        <v>Garcia</v>
      </c>
      <c r="S793" s="25">
        <f t="shared" si="12"/>
        <v>30</v>
      </c>
      <c r="T793" t="str">
        <f>LEFT(Before_Tbl[[#This Row],[Department_Region]],FIND("-",Before_Tbl[[#This Row],[Department_Region]])-1)</f>
        <v>Sales</v>
      </c>
      <c r="U793" t="str">
        <f>RIGHT(Before_Tbl[[#This Row],[Department_Region]],LEN(Before_Tbl[[#This Row],[Department_Region]])-FIND("-",Before_Tbl[[#This Row],[Department_Region]]))</f>
        <v>Florida</v>
      </c>
      <c r="V793" t="str">
        <f>TRIM(PROPER(Before_Tbl[[#This Row],[Status]]))</f>
        <v>Active</v>
      </c>
      <c r="W793" s="26">
        <v>44990</v>
      </c>
      <c r="X793" s="4">
        <v>58179.12</v>
      </c>
      <c r="Y793" t="str">
        <f>TRIM(LOWER(Before_Tbl[[#This Row],[Email]]))</f>
        <v>charlie.garcia@example.com</v>
      </c>
      <c r="Z793" s="2" t="str">
        <f>SUBSTITUTE(Before_Tbl[[#This Row],[Phone]],"-","")</f>
        <v>4289311324</v>
      </c>
      <c r="AA793" t="str">
        <f>TRIM(PROPER(Before_Tbl[[#This Row],[Performance_Score]]))</f>
        <v>Excellent</v>
      </c>
      <c r="AB793" s="2" t="str">
        <f>TRIM(UPPER(Before_Tbl[[#This Row],[Remote_Work]]))</f>
        <v>FALSE</v>
      </c>
    </row>
    <row r="794" spans="1:28" x14ac:dyDescent="0.35">
      <c r="A794" t="s">
        <v>1327</v>
      </c>
      <c r="B794" t="s">
        <v>32</v>
      </c>
      <c r="C794" t="s">
        <v>26</v>
      </c>
      <c r="D794">
        <v>35</v>
      </c>
      <c r="E794" t="s">
        <v>237</v>
      </c>
      <c r="F794" t="s">
        <v>33</v>
      </c>
      <c r="G794" t="s">
        <v>1328</v>
      </c>
      <c r="H794">
        <v>56075.839999999997</v>
      </c>
      <c r="I794" t="s">
        <v>278</v>
      </c>
      <c r="J794">
        <v>-3269496842</v>
      </c>
      <c r="K794" t="s">
        <v>18</v>
      </c>
      <c r="L794" t="b">
        <v>1</v>
      </c>
      <c r="P794" t="str">
        <f>TRIM(Before_Tbl[[#This Row],[Employee_ID]])</f>
        <v>EMP1792</v>
      </c>
      <c r="Q794" t="str">
        <f>TRIM(PROPER(Before_Tbl[[#This Row],[First_Name]]))</f>
        <v>Eva</v>
      </c>
      <c r="R794" t="str">
        <f>TRIM(PROPER(Before_Tbl[[#This Row],[Last_Name]]))</f>
        <v>Jones</v>
      </c>
      <c r="S794" s="25">
        <f t="shared" si="12"/>
        <v>35</v>
      </c>
      <c r="T794" t="str">
        <f>LEFT(Before_Tbl[[#This Row],[Department_Region]],FIND("-",Before_Tbl[[#This Row],[Department_Region]])-1)</f>
        <v>DevOps</v>
      </c>
      <c r="U794" t="str">
        <f>RIGHT(Before_Tbl[[#This Row],[Department_Region]],LEN(Before_Tbl[[#This Row],[Department_Region]])-FIND("-",Before_Tbl[[#This Row],[Department_Region]]))</f>
        <v>Texas</v>
      </c>
      <c r="V794" t="str">
        <f>TRIM(PROPER(Before_Tbl[[#This Row],[Status]]))</f>
        <v>Inactive</v>
      </c>
      <c r="W794" s="26">
        <v>44678</v>
      </c>
      <c r="X794" s="4">
        <v>56075.839999999997</v>
      </c>
      <c r="Y794" t="str">
        <f>TRIM(LOWER(Before_Tbl[[#This Row],[Email]]))</f>
        <v>eva.jones@example.com</v>
      </c>
      <c r="Z794" s="2" t="str">
        <f>SUBSTITUTE(Before_Tbl[[#This Row],[Phone]],"-","")</f>
        <v>3269496842</v>
      </c>
      <c r="AA794" t="str">
        <f>TRIM(PROPER(Before_Tbl[[#This Row],[Performance_Score]]))</f>
        <v>Average</v>
      </c>
      <c r="AB794" s="2" t="str">
        <f>TRIM(UPPER(Before_Tbl[[#This Row],[Remote_Work]]))</f>
        <v>TRUE</v>
      </c>
    </row>
    <row r="795" spans="1:28" x14ac:dyDescent="0.35">
      <c r="A795" t="s">
        <v>1329</v>
      </c>
      <c r="B795" t="s">
        <v>37</v>
      </c>
      <c r="C795" t="s">
        <v>20</v>
      </c>
      <c r="D795">
        <v>40</v>
      </c>
      <c r="E795" t="s">
        <v>66</v>
      </c>
      <c r="F795" t="s">
        <v>28</v>
      </c>
      <c r="G795" s="1">
        <v>44509</v>
      </c>
      <c r="H795">
        <v>62250.89</v>
      </c>
      <c r="I795" t="s">
        <v>239</v>
      </c>
      <c r="J795">
        <v>-6453804420</v>
      </c>
      <c r="K795" t="s">
        <v>23</v>
      </c>
      <c r="L795" t="b">
        <v>1</v>
      </c>
      <c r="P795" t="str">
        <f>TRIM(Before_Tbl[[#This Row],[Employee_ID]])</f>
        <v>EMP1793</v>
      </c>
      <c r="Q795" t="str">
        <f>TRIM(PROPER(Before_Tbl[[#This Row],[First_Name]]))</f>
        <v>Frank</v>
      </c>
      <c r="R795" t="str">
        <f>TRIM(PROPER(Before_Tbl[[#This Row],[Last_Name]]))</f>
        <v>Brown</v>
      </c>
      <c r="S795" s="25">
        <f t="shared" si="12"/>
        <v>40</v>
      </c>
      <c r="T795" t="str">
        <f>LEFT(Before_Tbl[[#This Row],[Department_Region]],FIND("-",Before_Tbl[[#This Row],[Department_Region]])-1)</f>
        <v>HR</v>
      </c>
      <c r="U795" t="str">
        <f>RIGHT(Before_Tbl[[#This Row],[Department_Region]],LEN(Before_Tbl[[#This Row],[Department_Region]])-FIND("-",Before_Tbl[[#This Row],[Department_Region]]))</f>
        <v>New York</v>
      </c>
      <c r="V795" t="str">
        <f>TRIM(PROPER(Before_Tbl[[#This Row],[Status]]))</f>
        <v>Pending</v>
      </c>
      <c r="W795" s="26">
        <v>44509</v>
      </c>
      <c r="X795" s="4">
        <v>62250.89</v>
      </c>
      <c r="Y795" t="str">
        <f>TRIM(LOWER(Before_Tbl[[#This Row],[Email]]))</f>
        <v>frank.brown@example.com</v>
      </c>
      <c r="Z795" s="2" t="str">
        <f>SUBSTITUTE(Before_Tbl[[#This Row],[Phone]],"-","")</f>
        <v>6453804420</v>
      </c>
      <c r="AA795" t="str">
        <f>TRIM(PROPER(Before_Tbl[[#This Row],[Performance_Score]]))</f>
        <v>Excellent</v>
      </c>
      <c r="AB795" s="2" t="str">
        <f>TRIM(UPPER(Before_Tbl[[#This Row],[Remote_Work]]))</f>
        <v>TRUE</v>
      </c>
    </row>
    <row r="796" spans="1:28" x14ac:dyDescent="0.35">
      <c r="A796" t="s">
        <v>1330</v>
      </c>
      <c r="B796" t="s">
        <v>25</v>
      </c>
      <c r="C796" t="s">
        <v>122</v>
      </c>
      <c r="D796">
        <v>30</v>
      </c>
      <c r="E796" t="s">
        <v>39</v>
      </c>
      <c r="F796" t="s">
        <v>28</v>
      </c>
      <c r="G796" t="s">
        <v>1291</v>
      </c>
      <c r="H796">
        <v>105931.77</v>
      </c>
      <c r="I796" t="s">
        <v>182</v>
      </c>
      <c r="J796">
        <v>-175096169</v>
      </c>
      <c r="K796" t="s">
        <v>41</v>
      </c>
      <c r="L796" t="b">
        <v>1</v>
      </c>
      <c r="P796" t="str">
        <f>TRIM(Before_Tbl[[#This Row],[Employee_ID]])</f>
        <v>EMP1794</v>
      </c>
      <c r="Q796" t="str">
        <f>TRIM(PROPER(Before_Tbl[[#This Row],[First_Name]]))</f>
        <v>Alice</v>
      </c>
      <c r="R796" t="str">
        <f>TRIM(PROPER(Before_Tbl[[#This Row],[Last_Name]]))</f>
        <v>Smith</v>
      </c>
      <c r="S796" s="25">
        <f t="shared" si="12"/>
        <v>30</v>
      </c>
      <c r="T796" t="str">
        <f>LEFT(Before_Tbl[[#This Row],[Department_Region]],FIND("-",Before_Tbl[[#This Row],[Department_Region]])-1)</f>
        <v>Cloud Tech</v>
      </c>
      <c r="U796" t="str">
        <f>RIGHT(Before_Tbl[[#This Row],[Department_Region]],LEN(Before_Tbl[[#This Row],[Department_Region]])-FIND("-",Before_Tbl[[#This Row],[Department_Region]]))</f>
        <v>Florida</v>
      </c>
      <c r="V796" t="str">
        <f>TRIM(PROPER(Before_Tbl[[#This Row],[Status]]))</f>
        <v>Pending</v>
      </c>
      <c r="W796" s="26">
        <v>43882</v>
      </c>
      <c r="X796" s="4">
        <v>105931.77</v>
      </c>
      <c r="Y796" t="str">
        <f>TRIM(LOWER(Before_Tbl[[#This Row],[Email]]))</f>
        <v>alice.smith@example.com</v>
      </c>
      <c r="Z796" s="2" t="str">
        <f>SUBSTITUTE(Before_Tbl[[#This Row],[Phone]],"-","")</f>
        <v>175096169</v>
      </c>
      <c r="AA796" t="str">
        <f>TRIM(PROPER(Before_Tbl[[#This Row],[Performance_Score]]))</f>
        <v>Poor</v>
      </c>
      <c r="AB796" s="2" t="str">
        <f>TRIM(UPPER(Before_Tbl[[#This Row],[Remote_Work]]))</f>
        <v>TRUE</v>
      </c>
    </row>
    <row r="797" spans="1:28" x14ac:dyDescent="0.35">
      <c r="A797" t="s">
        <v>1331</v>
      </c>
      <c r="B797" t="s">
        <v>54</v>
      </c>
      <c r="C797" t="s">
        <v>14</v>
      </c>
      <c r="D797">
        <v>30</v>
      </c>
      <c r="E797" t="s">
        <v>212</v>
      </c>
      <c r="F797" t="s">
        <v>28</v>
      </c>
      <c r="G797" t="s">
        <v>1332</v>
      </c>
      <c r="H797">
        <v>86653.96</v>
      </c>
      <c r="I797" t="s">
        <v>170</v>
      </c>
      <c r="J797">
        <v>-1595919456</v>
      </c>
      <c r="K797" t="s">
        <v>18</v>
      </c>
      <c r="L797" t="b">
        <v>1</v>
      </c>
      <c r="P797" t="str">
        <f>TRIM(Before_Tbl[[#This Row],[Employee_ID]])</f>
        <v>EMP1795</v>
      </c>
      <c r="Q797" t="str">
        <f>TRIM(PROPER(Before_Tbl[[#This Row],[First_Name]]))</f>
        <v>Charlie</v>
      </c>
      <c r="R797" t="str">
        <f>TRIM(PROPER(Before_Tbl[[#This Row],[Last_Name]]))</f>
        <v>Davis</v>
      </c>
      <c r="S797" s="25">
        <f t="shared" si="12"/>
        <v>30</v>
      </c>
      <c r="T797" t="str">
        <f>LEFT(Before_Tbl[[#This Row],[Department_Region]],FIND("-",Before_Tbl[[#This Row],[Department_Region]])-1)</f>
        <v>HR</v>
      </c>
      <c r="U797" t="str">
        <f>RIGHT(Before_Tbl[[#This Row],[Department_Region]],LEN(Before_Tbl[[#This Row],[Department_Region]])-FIND("-",Before_Tbl[[#This Row],[Department_Region]]))</f>
        <v>Florida</v>
      </c>
      <c r="V797" t="str">
        <f>TRIM(PROPER(Before_Tbl[[#This Row],[Status]]))</f>
        <v>Pending</v>
      </c>
      <c r="W797" s="26">
        <v>45620</v>
      </c>
      <c r="X797" s="4">
        <v>86653.96</v>
      </c>
      <c r="Y797" t="str">
        <f>TRIM(LOWER(Before_Tbl[[#This Row],[Email]]))</f>
        <v>charlie.davis@example.com</v>
      </c>
      <c r="Z797" s="2" t="str">
        <f>SUBSTITUTE(Before_Tbl[[#This Row],[Phone]],"-","")</f>
        <v>1595919456</v>
      </c>
      <c r="AA797" t="str">
        <f>TRIM(PROPER(Before_Tbl[[#This Row],[Performance_Score]]))</f>
        <v>Average</v>
      </c>
      <c r="AB797" s="2" t="str">
        <f>TRIM(UPPER(Before_Tbl[[#This Row],[Remote_Work]]))</f>
        <v>TRUE</v>
      </c>
    </row>
    <row r="798" spans="1:28" x14ac:dyDescent="0.35">
      <c r="A798" t="s">
        <v>1333</v>
      </c>
      <c r="B798" t="s">
        <v>54</v>
      </c>
      <c r="C798" t="s">
        <v>26</v>
      </c>
      <c r="D798">
        <v>25</v>
      </c>
      <c r="E798" t="s">
        <v>219</v>
      </c>
      <c r="F798" t="s">
        <v>16</v>
      </c>
      <c r="G798" t="s">
        <v>1085</v>
      </c>
      <c r="H798">
        <v>100719.94</v>
      </c>
      <c r="I798" t="s">
        <v>120</v>
      </c>
      <c r="J798">
        <v>-5757475832</v>
      </c>
      <c r="K798" t="s">
        <v>30</v>
      </c>
      <c r="L798" t="b">
        <v>0</v>
      </c>
      <c r="P798" t="str">
        <f>TRIM(Before_Tbl[[#This Row],[Employee_ID]])</f>
        <v>EMP1796</v>
      </c>
      <c r="Q798" t="str">
        <f>TRIM(PROPER(Before_Tbl[[#This Row],[First_Name]]))</f>
        <v>Charlie</v>
      </c>
      <c r="R798" t="str">
        <f>TRIM(PROPER(Before_Tbl[[#This Row],[Last_Name]]))</f>
        <v>Jones</v>
      </c>
      <c r="S798" s="25">
        <f t="shared" si="12"/>
        <v>25</v>
      </c>
      <c r="T798" t="str">
        <f>LEFT(Before_Tbl[[#This Row],[Department_Region]],FIND("-",Before_Tbl[[#This Row],[Department_Region]])-1)</f>
        <v>Sales</v>
      </c>
      <c r="U798" t="str">
        <f>RIGHT(Before_Tbl[[#This Row],[Department_Region]],LEN(Before_Tbl[[#This Row],[Department_Region]])-FIND("-",Before_Tbl[[#This Row],[Department_Region]]))</f>
        <v>Nevada</v>
      </c>
      <c r="V798" t="str">
        <f>TRIM(PROPER(Before_Tbl[[#This Row],[Status]]))</f>
        <v>Active</v>
      </c>
      <c r="W798" s="26">
        <v>44251</v>
      </c>
      <c r="X798" s="4">
        <v>100719.94</v>
      </c>
      <c r="Y798" t="str">
        <f>TRIM(LOWER(Before_Tbl[[#This Row],[Email]]))</f>
        <v>charlie.jones@example.com</v>
      </c>
      <c r="Z798" s="2" t="str">
        <f>SUBSTITUTE(Before_Tbl[[#This Row],[Phone]],"-","")</f>
        <v>5757475832</v>
      </c>
      <c r="AA798" t="str">
        <f>TRIM(PROPER(Before_Tbl[[#This Row],[Performance_Score]]))</f>
        <v>Good</v>
      </c>
      <c r="AB798" s="2" t="str">
        <f>TRIM(UPPER(Before_Tbl[[#This Row],[Remote_Work]]))</f>
        <v>FALSE</v>
      </c>
    </row>
    <row r="799" spans="1:28" x14ac:dyDescent="0.35">
      <c r="A799" t="s">
        <v>1334</v>
      </c>
      <c r="B799" t="s">
        <v>13</v>
      </c>
      <c r="C799" t="s">
        <v>14</v>
      </c>
      <c r="D799">
        <v>25</v>
      </c>
      <c r="E799" t="s">
        <v>139</v>
      </c>
      <c r="F799" t="s">
        <v>28</v>
      </c>
      <c r="G799" s="1">
        <v>45332</v>
      </c>
      <c r="H799">
        <v>91600.13</v>
      </c>
      <c r="I799" t="s">
        <v>17</v>
      </c>
      <c r="J799">
        <v>-9205677566</v>
      </c>
      <c r="K799" t="s">
        <v>18</v>
      </c>
      <c r="L799" t="b">
        <v>1</v>
      </c>
      <c r="P799" t="str">
        <f>TRIM(Before_Tbl[[#This Row],[Employee_ID]])</f>
        <v>EMP1797</v>
      </c>
      <c r="Q799" t="str">
        <f>TRIM(PROPER(Before_Tbl[[#This Row],[First_Name]]))</f>
        <v>Bob</v>
      </c>
      <c r="R799" t="str">
        <f>TRIM(PROPER(Before_Tbl[[#This Row],[Last_Name]]))</f>
        <v>Davis</v>
      </c>
      <c r="S799" s="25">
        <f t="shared" si="12"/>
        <v>25</v>
      </c>
      <c r="T799" t="str">
        <f>LEFT(Before_Tbl[[#This Row],[Department_Region]],FIND("-",Before_Tbl[[#This Row],[Department_Region]])-1)</f>
        <v>HR</v>
      </c>
      <c r="U799" t="str">
        <f>RIGHT(Before_Tbl[[#This Row],[Department_Region]],LEN(Before_Tbl[[#This Row],[Department_Region]])-FIND("-",Before_Tbl[[#This Row],[Department_Region]]))</f>
        <v>Texas</v>
      </c>
      <c r="V799" t="str">
        <f>TRIM(PROPER(Before_Tbl[[#This Row],[Status]]))</f>
        <v>Pending</v>
      </c>
      <c r="W799" s="26">
        <v>45332</v>
      </c>
      <c r="X799" s="4">
        <v>91600.13</v>
      </c>
      <c r="Y799" t="str">
        <f>TRIM(LOWER(Before_Tbl[[#This Row],[Email]]))</f>
        <v>bob.davis@example.com</v>
      </c>
      <c r="Z799" s="2" t="str">
        <f>SUBSTITUTE(Before_Tbl[[#This Row],[Phone]],"-","")</f>
        <v>9205677566</v>
      </c>
      <c r="AA799" t="str">
        <f>TRIM(PROPER(Before_Tbl[[#This Row],[Performance_Score]]))</f>
        <v>Average</v>
      </c>
      <c r="AB799" s="2" t="str">
        <f>TRIM(UPPER(Before_Tbl[[#This Row],[Remote_Work]]))</f>
        <v>TRUE</v>
      </c>
    </row>
    <row r="800" spans="1:28" x14ac:dyDescent="0.35">
      <c r="A800" t="s">
        <v>1335</v>
      </c>
      <c r="B800" t="s">
        <v>65</v>
      </c>
      <c r="C800" t="s">
        <v>122</v>
      </c>
      <c r="D800">
        <v>25</v>
      </c>
      <c r="E800" t="s">
        <v>95</v>
      </c>
      <c r="F800" t="s">
        <v>28</v>
      </c>
      <c r="G800" s="1">
        <v>45446</v>
      </c>
      <c r="H800">
        <v>71873.66</v>
      </c>
      <c r="I800" t="s">
        <v>367</v>
      </c>
      <c r="J800">
        <v>-7722660255</v>
      </c>
      <c r="K800" t="s">
        <v>30</v>
      </c>
      <c r="L800" t="b">
        <v>1</v>
      </c>
      <c r="P800" t="str">
        <f>TRIM(Before_Tbl[[#This Row],[Employee_ID]])</f>
        <v>EMP1798</v>
      </c>
      <c r="Q800" t="str">
        <f>TRIM(PROPER(Before_Tbl[[#This Row],[First_Name]]))</f>
        <v>Heidi</v>
      </c>
      <c r="R800" t="str">
        <f>TRIM(PROPER(Before_Tbl[[#This Row],[Last_Name]]))</f>
        <v>Smith</v>
      </c>
      <c r="S800" s="25">
        <f t="shared" si="12"/>
        <v>25</v>
      </c>
      <c r="T800" t="str">
        <f>LEFT(Before_Tbl[[#This Row],[Department_Region]],FIND("-",Before_Tbl[[#This Row],[Department_Region]])-1)</f>
        <v>Cloud Tech</v>
      </c>
      <c r="U800" t="str">
        <f>RIGHT(Before_Tbl[[#This Row],[Department_Region]],LEN(Before_Tbl[[#This Row],[Department_Region]])-FIND("-",Before_Tbl[[#This Row],[Department_Region]]))</f>
        <v>Illinois</v>
      </c>
      <c r="V800" t="str">
        <f>TRIM(PROPER(Before_Tbl[[#This Row],[Status]]))</f>
        <v>Pending</v>
      </c>
      <c r="W800" s="26">
        <v>45446</v>
      </c>
      <c r="X800" s="4">
        <v>71873.66</v>
      </c>
      <c r="Y800" t="str">
        <f>TRIM(LOWER(Before_Tbl[[#This Row],[Email]]))</f>
        <v>heidi.smith@example.com</v>
      </c>
      <c r="Z800" s="2" t="str">
        <f>SUBSTITUTE(Before_Tbl[[#This Row],[Phone]],"-","")</f>
        <v>7722660255</v>
      </c>
      <c r="AA800" t="str">
        <f>TRIM(PROPER(Before_Tbl[[#This Row],[Performance_Score]]))</f>
        <v>Good</v>
      </c>
      <c r="AB800" s="2" t="str">
        <f>TRIM(UPPER(Before_Tbl[[#This Row],[Remote_Work]]))</f>
        <v>TRUE</v>
      </c>
    </row>
    <row r="801" spans="1:28" x14ac:dyDescent="0.35">
      <c r="A801" t="s">
        <v>1336</v>
      </c>
      <c r="B801" t="s">
        <v>32</v>
      </c>
      <c r="C801" t="s">
        <v>38</v>
      </c>
      <c r="D801">
        <v>30</v>
      </c>
      <c r="E801" t="s">
        <v>66</v>
      </c>
      <c r="F801" t="s">
        <v>16</v>
      </c>
      <c r="G801" s="1">
        <v>44447</v>
      </c>
      <c r="H801">
        <v>69365.47</v>
      </c>
      <c r="I801" t="s">
        <v>141</v>
      </c>
      <c r="J801">
        <v>-2650622922</v>
      </c>
      <c r="K801" t="s">
        <v>18</v>
      </c>
      <c r="L801" t="b">
        <v>1</v>
      </c>
      <c r="P801" t="str">
        <f>TRIM(Before_Tbl[[#This Row],[Employee_ID]])</f>
        <v>EMP1799</v>
      </c>
      <c r="Q801" t="str">
        <f>TRIM(PROPER(Before_Tbl[[#This Row],[First_Name]]))</f>
        <v>Eva</v>
      </c>
      <c r="R801" t="str">
        <f>TRIM(PROPER(Before_Tbl[[#This Row],[Last_Name]]))</f>
        <v>Williams</v>
      </c>
      <c r="S801" s="25">
        <f t="shared" si="12"/>
        <v>30</v>
      </c>
      <c r="T801" t="str">
        <f>LEFT(Before_Tbl[[#This Row],[Department_Region]],FIND("-",Before_Tbl[[#This Row],[Department_Region]])-1)</f>
        <v>HR</v>
      </c>
      <c r="U801" t="str">
        <f>RIGHT(Before_Tbl[[#This Row],[Department_Region]],LEN(Before_Tbl[[#This Row],[Department_Region]])-FIND("-",Before_Tbl[[#This Row],[Department_Region]]))</f>
        <v>New York</v>
      </c>
      <c r="V801" t="str">
        <f>TRIM(PROPER(Before_Tbl[[#This Row],[Status]]))</f>
        <v>Active</v>
      </c>
      <c r="W801" s="26">
        <v>44447</v>
      </c>
      <c r="X801" s="4">
        <v>69365.47</v>
      </c>
      <c r="Y801" t="str">
        <f>TRIM(LOWER(Before_Tbl[[#This Row],[Email]]))</f>
        <v>eva.williams@example.com</v>
      </c>
      <c r="Z801" s="2" t="str">
        <f>SUBSTITUTE(Before_Tbl[[#This Row],[Phone]],"-","")</f>
        <v>2650622922</v>
      </c>
      <c r="AA801" t="str">
        <f>TRIM(PROPER(Before_Tbl[[#This Row],[Performance_Score]]))</f>
        <v>Average</v>
      </c>
      <c r="AB801" s="2" t="str">
        <f>TRIM(UPPER(Before_Tbl[[#This Row],[Remote_Work]]))</f>
        <v>TRUE</v>
      </c>
    </row>
    <row r="802" spans="1:28" x14ac:dyDescent="0.35">
      <c r="A802" t="s">
        <v>1337</v>
      </c>
      <c r="B802" t="s">
        <v>65</v>
      </c>
      <c r="C802" t="s">
        <v>122</v>
      </c>
      <c r="D802">
        <v>25</v>
      </c>
      <c r="E802" t="s">
        <v>66</v>
      </c>
      <c r="F802" t="s">
        <v>16</v>
      </c>
      <c r="G802" t="s">
        <v>984</v>
      </c>
      <c r="H802">
        <v>58012.23</v>
      </c>
      <c r="I802" t="s">
        <v>367</v>
      </c>
      <c r="J802">
        <v>-1067245306</v>
      </c>
      <c r="K802" t="s">
        <v>18</v>
      </c>
      <c r="L802" t="b">
        <v>1</v>
      </c>
      <c r="P802" t="str">
        <f>TRIM(Before_Tbl[[#This Row],[Employee_ID]])</f>
        <v>EMP1800</v>
      </c>
      <c r="Q802" t="str">
        <f>TRIM(PROPER(Before_Tbl[[#This Row],[First_Name]]))</f>
        <v>Heidi</v>
      </c>
      <c r="R802" t="str">
        <f>TRIM(PROPER(Before_Tbl[[#This Row],[Last_Name]]))</f>
        <v>Smith</v>
      </c>
      <c r="S802" s="25">
        <f t="shared" si="12"/>
        <v>25</v>
      </c>
      <c r="T802" t="str">
        <f>LEFT(Before_Tbl[[#This Row],[Department_Region]],FIND("-",Before_Tbl[[#This Row],[Department_Region]])-1)</f>
        <v>HR</v>
      </c>
      <c r="U802" t="str">
        <f>RIGHT(Before_Tbl[[#This Row],[Department_Region]],LEN(Before_Tbl[[#This Row],[Department_Region]])-FIND("-",Before_Tbl[[#This Row],[Department_Region]]))</f>
        <v>New York</v>
      </c>
      <c r="V802" t="str">
        <f>TRIM(PROPER(Before_Tbl[[#This Row],[Status]]))</f>
        <v>Active</v>
      </c>
      <c r="W802" s="26">
        <v>44391</v>
      </c>
      <c r="X802" s="4">
        <v>58012.23</v>
      </c>
      <c r="Y802" t="str">
        <f>TRIM(LOWER(Before_Tbl[[#This Row],[Email]]))</f>
        <v>heidi.smith@example.com</v>
      </c>
      <c r="Z802" s="2" t="str">
        <f>SUBSTITUTE(Before_Tbl[[#This Row],[Phone]],"-","")</f>
        <v>1067245306</v>
      </c>
      <c r="AA802" t="str">
        <f>TRIM(PROPER(Before_Tbl[[#This Row],[Performance_Score]]))</f>
        <v>Average</v>
      </c>
      <c r="AB802" s="2" t="str">
        <f>TRIM(UPPER(Before_Tbl[[#This Row],[Remote_Work]]))</f>
        <v>TRUE</v>
      </c>
    </row>
    <row r="803" spans="1:28" x14ac:dyDescent="0.35">
      <c r="A803" t="s">
        <v>1338</v>
      </c>
      <c r="B803" t="s">
        <v>13</v>
      </c>
      <c r="C803" t="s">
        <v>92</v>
      </c>
      <c r="D803">
        <v>30</v>
      </c>
      <c r="E803" t="s">
        <v>177</v>
      </c>
      <c r="F803" t="s">
        <v>28</v>
      </c>
      <c r="G803" t="s">
        <v>465</v>
      </c>
      <c r="H803">
        <v>68973.649999999994</v>
      </c>
      <c r="I803" t="s">
        <v>93</v>
      </c>
      <c r="J803">
        <v>-6248433796</v>
      </c>
      <c r="K803" t="s">
        <v>18</v>
      </c>
      <c r="L803" t="b">
        <v>1</v>
      </c>
      <c r="P803" t="str">
        <f>TRIM(Before_Tbl[[#This Row],[Employee_ID]])</f>
        <v>EMP1801</v>
      </c>
      <c r="Q803" t="str">
        <f>TRIM(PROPER(Before_Tbl[[#This Row],[First_Name]]))</f>
        <v>Bob</v>
      </c>
      <c r="R803" t="str">
        <f>TRIM(PROPER(Before_Tbl[[#This Row],[Last_Name]]))</f>
        <v>Miller</v>
      </c>
      <c r="S803" s="25">
        <f t="shared" si="12"/>
        <v>30</v>
      </c>
      <c r="T803" t="str">
        <f>LEFT(Before_Tbl[[#This Row],[Department_Region]],FIND("-",Before_Tbl[[#This Row],[Department_Region]])-1)</f>
        <v>Sales</v>
      </c>
      <c r="U803" t="str">
        <f>RIGHT(Before_Tbl[[#This Row],[Department_Region]],LEN(Before_Tbl[[#This Row],[Department_Region]])-FIND("-",Before_Tbl[[#This Row],[Department_Region]]))</f>
        <v>California</v>
      </c>
      <c r="V803" t="str">
        <f>TRIM(PROPER(Before_Tbl[[#This Row],[Status]]))</f>
        <v>Pending</v>
      </c>
      <c r="W803" s="26">
        <v>44483</v>
      </c>
      <c r="X803" s="4">
        <v>68973.649999999994</v>
      </c>
      <c r="Y803" t="str">
        <f>TRIM(LOWER(Before_Tbl[[#This Row],[Email]]))</f>
        <v>bob.miller@example.com</v>
      </c>
      <c r="Z803" s="2" t="str">
        <f>SUBSTITUTE(Before_Tbl[[#This Row],[Phone]],"-","")</f>
        <v>6248433796</v>
      </c>
      <c r="AA803" t="str">
        <f>TRIM(PROPER(Before_Tbl[[#This Row],[Performance_Score]]))</f>
        <v>Average</v>
      </c>
      <c r="AB803" s="2" t="str">
        <f>TRIM(UPPER(Before_Tbl[[#This Row],[Remote_Work]]))</f>
        <v>TRUE</v>
      </c>
    </row>
    <row r="804" spans="1:28" x14ac:dyDescent="0.35">
      <c r="A804" t="s">
        <v>1339</v>
      </c>
      <c r="B804" t="s">
        <v>32</v>
      </c>
      <c r="C804" t="s">
        <v>122</v>
      </c>
      <c r="E804" t="s">
        <v>196</v>
      </c>
      <c r="F804" t="s">
        <v>16</v>
      </c>
      <c r="G804" t="s">
        <v>885</v>
      </c>
      <c r="H804">
        <v>92928.4</v>
      </c>
      <c r="I804" t="s">
        <v>522</v>
      </c>
      <c r="J804">
        <v>-6627051156</v>
      </c>
      <c r="K804" t="s">
        <v>41</v>
      </c>
      <c r="L804" t="b">
        <v>1</v>
      </c>
      <c r="P804" t="str">
        <f>TRIM(Before_Tbl[[#This Row],[Employee_ID]])</f>
        <v>EMP1802</v>
      </c>
      <c r="Q804" t="str">
        <f>TRIM(PROPER(Before_Tbl[[#This Row],[First_Name]]))</f>
        <v>Eva</v>
      </c>
      <c r="R804" t="str">
        <f>TRIM(PROPER(Before_Tbl[[#This Row],[Last_Name]]))</f>
        <v>Smith</v>
      </c>
      <c r="S804" s="25">
        <f t="shared" si="12"/>
        <v>30</v>
      </c>
      <c r="T804" t="str">
        <f>LEFT(Before_Tbl[[#This Row],[Department_Region]],FIND("-",Before_Tbl[[#This Row],[Department_Region]])-1)</f>
        <v>Admin</v>
      </c>
      <c r="U804" t="str">
        <f>RIGHT(Before_Tbl[[#This Row],[Department_Region]],LEN(Before_Tbl[[#This Row],[Department_Region]])-FIND("-",Before_Tbl[[#This Row],[Department_Region]]))</f>
        <v>New York</v>
      </c>
      <c r="V804" t="str">
        <f>TRIM(PROPER(Before_Tbl[[#This Row],[Status]]))</f>
        <v>Active</v>
      </c>
      <c r="W804" s="26">
        <v>44468</v>
      </c>
      <c r="X804" s="4">
        <v>92928.4</v>
      </c>
      <c r="Y804" t="str">
        <f>TRIM(LOWER(Before_Tbl[[#This Row],[Email]]))</f>
        <v>eva.smith@example.com</v>
      </c>
      <c r="Z804" s="2" t="str">
        <f>SUBSTITUTE(Before_Tbl[[#This Row],[Phone]],"-","")</f>
        <v>6627051156</v>
      </c>
      <c r="AA804" t="str">
        <f>TRIM(PROPER(Before_Tbl[[#This Row],[Performance_Score]]))</f>
        <v>Poor</v>
      </c>
      <c r="AB804" s="2" t="str">
        <f>TRIM(UPPER(Before_Tbl[[#This Row],[Remote_Work]]))</f>
        <v>TRUE</v>
      </c>
    </row>
    <row r="805" spans="1:28" x14ac:dyDescent="0.35">
      <c r="A805" t="s">
        <v>1340</v>
      </c>
      <c r="B805" t="s">
        <v>65</v>
      </c>
      <c r="C805" t="s">
        <v>122</v>
      </c>
      <c r="D805">
        <v>25</v>
      </c>
      <c r="E805" t="s">
        <v>103</v>
      </c>
      <c r="F805" t="s">
        <v>33</v>
      </c>
      <c r="G805" t="s">
        <v>1341</v>
      </c>
      <c r="H805">
        <v>53531.92</v>
      </c>
      <c r="I805" t="s">
        <v>367</v>
      </c>
      <c r="J805">
        <v>-9423873669</v>
      </c>
      <c r="K805" t="s">
        <v>41</v>
      </c>
      <c r="L805" t="b">
        <v>1</v>
      </c>
      <c r="P805" t="str">
        <f>TRIM(Before_Tbl[[#This Row],[Employee_ID]])</f>
        <v>EMP1803</v>
      </c>
      <c r="Q805" t="str">
        <f>TRIM(PROPER(Before_Tbl[[#This Row],[First_Name]]))</f>
        <v>Heidi</v>
      </c>
      <c r="R805" t="str">
        <f>TRIM(PROPER(Before_Tbl[[#This Row],[Last_Name]]))</f>
        <v>Smith</v>
      </c>
      <c r="S805" s="25">
        <f t="shared" si="12"/>
        <v>25</v>
      </c>
      <c r="T805" t="str">
        <f>LEFT(Before_Tbl[[#This Row],[Department_Region]],FIND("-",Before_Tbl[[#This Row],[Department_Region]])-1)</f>
        <v>Admin</v>
      </c>
      <c r="U805" t="str">
        <f>RIGHT(Before_Tbl[[#This Row],[Department_Region]],LEN(Before_Tbl[[#This Row],[Department_Region]])-FIND("-",Before_Tbl[[#This Row],[Department_Region]]))</f>
        <v>Texas</v>
      </c>
      <c r="V805" t="str">
        <f>TRIM(PROPER(Before_Tbl[[#This Row],[Status]]))</f>
        <v>Inactive</v>
      </c>
      <c r="W805" s="26">
        <v>45214</v>
      </c>
      <c r="X805" s="4">
        <v>53531.92</v>
      </c>
      <c r="Y805" t="str">
        <f>TRIM(LOWER(Before_Tbl[[#This Row],[Email]]))</f>
        <v>heidi.smith@example.com</v>
      </c>
      <c r="Z805" s="2" t="str">
        <f>SUBSTITUTE(Before_Tbl[[#This Row],[Phone]],"-","")</f>
        <v>9423873669</v>
      </c>
      <c r="AA805" t="str">
        <f>TRIM(PROPER(Before_Tbl[[#This Row],[Performance_Score]]))</f>
        <v>Poor</v>
      </c>
      <c r="AB805" s="2" t="str">
        <f>TRIM(UPPER(Before_Tbl[[#This Row],[Remote_Work]]))</f>
        <v>TRUE</v>
      </c>
    </row>
    <row r="806" spans="1:28" x14ac:dyDescent="0.35">
      <c r="A806" t="s">
        <v>1342</v>
      </c>
      <c r="B806" t="s">
        <v>13</v>
      </c>
      <c r="C806" t="s">
        <v>92</v>
      </c>
      <c r="D806">
        <v>40</v>
      </c>
      <c r="E806" t="s">
        <v>227</v>
      </c>
      <c r="F806" t="s">
        <v>28</v>
      </c>
      <c r="G806" s="1">
        <v>45051</v>
      </c>
      <c r="H806">
        <v>112389.31</v>
      </c>
      <c r="I806" t="s">
        <v>93</v>
      </c>
      <c r="J806">
        <v>-4254969191</v>
      </c>
      <c r="K806" t="s">
        <v>23</v>
      </c>
      <c r="L806" t="b">
        <v>0</v>
      </c>
      <c r="P806" t="str">
        <f>TRIM(Before_Tbl[[#This Row],[Employee_ID]])</f>
        <v>EMP1804</v>
      </c>
      <c r="Q806" t="str">
        <f>TRIM(PROPER(Before_Tbl[[#This Row],[First_Name]]))</f>
        <v>Bob</v>
      </c>
      <c r="R806" t="str">
        <f>TRIM(PROPER(Before_Tbl[[#This Row],[Last_Name]]))</f>
        <v>Miller</v>
      </c>
      <c r="S806" s="25">
        <f t="shared" si="12"/>
        <v>40</v>
      </c>
      <c r="T806" t="str">
        <f>LEFT(Before_Tbl[[#This Row],[Department_Region]],FIND("-",Before_Tbl[[#This Row],[Department_Region]])-1)</f>
        <v>Finance</v>
      </c>
      <c r="U806" t="str">
        <f>RIGHT(Before_Tbl[[#This Row],[Department_Region]],LEN(Before_Tbl[[#This Row],[Department_Region]])-FIND("-",Before_Tbl[[#This Row],[Department_Region]]))</f>
        <v>New York</v>
      </c>
      <c r="V806" t="str">
        <f>TRIM(PROPER(Before_Tbl[[#This Row],[Status]]))</f>
        <v>Pending</v>
      </c>
      <c r="W806" s="26">
        <v>45051</v>
      </c>
      <c r="X806" s="4">
        <v>112389.31</v>
      </c>
      <c r="Y806" t="str">
        <f>TRIM(LOWER(Before_Tbl[[#This Row],[Email]]))</f>
        <v>bob.miller@example.com</v>
      </c>
      <c r="Z806" s="2" t="str">
        <f>SUBSTITUTE(Before_Tbl[[#This Row],[Phone]],"-","")</f>
        <v>4254969191</v>
      </c>
      <c r="AA806" t="str">
        <f>TRIM(PROPER(Before_Tbl[[#This Row],[Performance_Score]]))</f>
        <v>Excellent</v>
      </c>
      <c r="AB806" s="2" t="str">
        <f>TRIM(UPPER(Before_Tbl[[#This Row],[Remote_Work]]))</f>
        <v>FALSE</v>
      </c>
    </row>
    <row r="807" spans="1:28" x14ac:dyDescent="0.35">
      <c r="A807" t="s">
        <v>1343</v>
      </c>
      <c r="B807" t="s">
        <v>65</v>
      </c>
      <c r="C807" t="s">
        <v>20</v>
      </c>
      <c r="E807" t="s">
        <v>146</v>
      </c>
      <c r="F807" t="s">
        <v>33</v>
      </c>
      <c r="G807" s="1">
        <v>45299</v>
      </c>
      <c r="H807">
        <v>63870.3</v>
      </c>
      <c r="I807" t="s">
        <v>404</v>
      </c>
      <c r="J807">
        <v>-8455259709</v>
      </c>
      <c r="K807" t="s">
        <v>23</v>
      </c>
      <c r="L807" t="b">
        <v>0</v>
      </c>
      <c r="P807" t="str">
        <f>TRIM(Before_Tbl[[#This Row],[Employee_ID]])</f>
        <v>EMP1805</v>
      </c>
      <c r="Q807" t="str">
        <f>TRIM(PROPER(Before_Tbl[[#This Row],[First_Name]]))</f>
        <v>Heidi</v>
      </c>
      <c r="R807" t="str">
        <f>TRIM(PROPER(Before_Tbl[[#This Row],[Last_Name]]))</f>
        <v>Brown</v>
      </c>
      <c r="S807" s="25">
        <f t="shared" si="12"/>
        <v>30</v>
      </c>
      <c r="T807" t="str">
        <f>LEFT(Before_Tbl[[#This Row],[Department_Region]],FIND("-",Before_Tbl[[#This Row],[Department_Region]])-1)</f>
        <v>HR</v>
      </c>
      <c r="U807" t="str">
        <f>RIGHT(Before_Tbl[[#This Row],[Department_Region]],LEN(Before_Tbl[[#This Row],[Department_Region]])-FIND("-",Before_Tbl[[#This Row],[Department_Region]]))</f>
        <v>California</v>
      </c>
      <c r="V807" t="str">
        <f>TRIM(PROPER(Before_Tbl[[#This Row],[Status]]))</f>
        <v>Inactive</v>
      </c>
      <c r="W807" s="26">
        <v>45299</v>
      </c>
      <c r="X807" s="4">
        <v>63870.3</v>
      </c>
      <c r="Y807" t="str">
        <f>TRIM(LOWER(Before_Tbl[[#This Row],[Email]]))</f>
        <v>heidi.brown@example.com</v>
      </c>
      <c r="Z807" s="2" t="str">
        <f>SUBSTITUTE(Before_Tbl[[#This Row],[Phone]],"-","")</f>
        <v>8455259709</v>
      </c>
      <c r="AA807" t="str">
        <f>TRIM(PROPER(Before_Tbl[[#This Row],[Performance_Score]]))</f>
        <v>Excellent</v>
      </c>
      <c r="AB807" s="2" t="str">
        <f>TRIM(UPPER(Before_Tbl[[#This Row],[Remote_Work]]))</f>
        <v>FALSE</v>
      </c>
    </row>
    <row r="808" spans="1:28" x14ac:dyDescent="0.35">
      <c r="A808" t="s">
        <v>1344</v>
      </c>
      <c r="B808" t="s">
        <v>13</v>
      </c>
      <c r="C808" t="s">
        <v>43</v>
      </c>
      <c r="D808">
        <v>40</v>
      </c>
      <c r="E808" t="s">
        <v>109</v>
      </c>
      <c r="F808" t="s">
        <v>16</v>
      </c>
      <c r="G808" t="s">
        <v>1345</v>
      </c>
      <c r="H808">
        <v>106164.53</v>
      </c>
      <c r="I808" t="s">
        <v>153</v>
      </c>
      <c r="J808">
        <v>-7563353573</v>
      </c>
      <c r="K808" t="s">
        <v>30</v>
      </c>
      <c r="L808" t="b">
        <v>0</v>
      </c>
      <c r="P808" t="str">
        <f>TRIM(Before_Tbl[[#This Row],[Employee_ID]])</f>
        <v>EMP1806</v>
      </c>
      <c r="Q808" t="str">
        <f>TRIM(PROPER(Before_Tbl[[#This Row],[First_Name]]))</f>
        <v>Bob</v>
      </c>
      <c r="R808" t="str">
        <f>TRIM(PROPER(Before_Tbl[[#This Row],[Last_Name]]))</f>
        <v>Garcia</v>
      </c>
      <c r="S808" s="25">
        <f t="shared" si="12"/>
        <v>40</v>
      </c>
      <c r="T808" t="str">
        <f>LEFT(Before_Tbl[[#This Row],[Department_Region]],FIND("-",Before_Tbl[[#This Row],[Department_Region]])-1)</f>
        <v>Sales</v>
      </c>
      <c r="U808" t="str">
        <f>RIGHT(Before_Tbl[[#This Row],[Department_Region]],LEN(Before_Tbl[[#This Row],[Department_Region]])-FIND("-",Before_Tbl[[#This Row],[Department_Region]]))</f>
        <v>New York</v>
      </c>
      <c r="V808" t="str">
        <f>TRIM(PROPER(Before_Tbl[[#This Row],[Status]]))</f>
        <v>Active</v>
      </c>
      <c r="W808" s="26">
        <v>45495</v>
      </c>
      <c r="X808" s="4">
        <v>106164.53</v>
      </c>
      <c r="Y808" t="str">
        <f>TRIM(LOWER(Before_Tbl[[#This Row],[Email]]))</f>
        <v>bob.garcia@example.com</v>
      </c>
      <c r="Z808" s="2" t="str">
        <f>SUBSTITUTE(Before_Tbl[[#This Row],[Phone]],"-","")</f>
        <v>7563353573</v>
      </c>
      <c r="AA808" t="str">
        <f>TRIM(PROPER(Before_Tbl[[#This Row],[Performance_Score]]))</f>
        <v>Good</v>
      </c>
      <c r="AB808" s="2" t="str">
        <f>TRIM(UPPER(Before_Tbl[[#This Row],[Remote_Work]]))</f>
        <v>FALSE</v>
      </c>
    </row>
    <row r="809" spans="1:28" x14ac:dyDescent="0.35">
      <c r="A809" t="s">
        <v>1346</v>
      </c>
      <c r="B809" t="s">
        <v>13</v>
      </c>
      <c r="C809" t="s">
        <v>122</v>
      </c>
      <c r="D809">
        <v>40</v>
      </c>
      <c r="E809" t="s">
        <v>149</v>
      </c>
      <c r="F809" t="s">
        <v>28</v>
      </c>
      <c r="G809" t="s">
        <v>719</v>
      </c>
      <c r="H809">
        <v>103654.54</v>
      </c>
      <c r="I809" t="s">
        <v>123</v>
      </c>
      <c r="J809">
        <v>-8595325938</v>
      </c>
      <c r="K809" t="s">
        <v>41</v>
      </c>
      <c r="L809" t="b">
        <v>0</v>
      </c>
      <c r="P809" t="str">
        <f>TRIM(Before_Tbl[[#This Row],[Employee_ID]])</f>
        <v>EMP1807</v>
      </c>
      <c r="Q809" t="str">
        <f>TRIM(PROPER(Before_Tbl[[#This Row],[First_Name]]))</f>
        <v>Bob</v>
      </c>
      <c r="R809" t="str">
        <f>TRIM(PROPER(Before_Tbl[[#This Row],[Last_Name]]))</f>
        <v>Smith</v>
      </c>
      <c r="S809" s="25">
        <f t="shared" si="12"/>
        <v>40</v>
      </c>
      <c r="T809" t="str">
        <f>LEFT(Before_Tbl[[#This Row],[Department_Region]],FIND("-",Before_Tbl[[#This Row],[Department_Region]])-1)</f>
        <v>HR</v>
      </c>
      <c r="U809" t="str">
        <f>RIGHT(Before_Tbl[[#This Row],[Department_Region]],LEN(Before_Tbl[[#This Row],[Department_Region]])-FIND("-",Before_Tbl[[#This Row],[Department_Region]]))</f>
        <v>Nevada</v>
      </c>
      <c r="V809" t="str">
        <f>TRIM(PROPER(Before_Tbl[[#This Row],[Status]]))</f>
        <v>Pending</v>
      </c>
      <c r="W809" s="26">
        <v>45285</v>
      </c>
      <c r="X809" s="4">
        <v>103654.54</v>
      </c>
      <c r="Y809" t="str">
        <f>TRIM(LOWER(Before_Tbl[[#This Row],[Email]]))</f>
        <v>bob.smith@example.com</v>
      </c>
      <c r="Z809" s="2" t="str">
        <f>SUBSTITUTE(Before_Tbl[[#This Row],[Phone]],"-","")</f>
        <v>8595325938</v>
      </c>
      <c r="AA809" t="str">
        <f>TRIM(PROPER(Before_Tbl[[#This Row],[Performance_Score]]))</f>
        <v>Poor</v>
      </c>
      <c r="AB809" s="2" t="str">
        <f>TRIM(UPPER(Before_Tbl[[#This Row],[Remote_Work]]))</f>
        <v>FALSE</v>
      </c>
    </row>
    <row r="810" spans="1:28" x14ac:dyDescent="0.35">
      <c r="A810" t="s">
        <v>1347</v>
      </c>
      <c r="B810" t="s">
        <v>59</v>
      </c>
      <c r="C810" t="s">
        <v>92</v>
      </c>
      <c r="D810">
        <v>30</v>
      </c>
      <c r="E810" t="s">
        <v>177</v>
      </c>
      <c r="F810" t="s">
        <v>33</v>
      </c>
      <c r="G810" t="s">
        <v>1348</v>
      </c>
      <c r="H810">
        <v>62834.720000000001</v>
      </c>
      <c r="I810" t="s">
        <v>107</v>
      </c>
      <c r="J810">
        <v>-9337970580</v>
      </c>
      <c r="K810" t="s">
        <v>30</v>
      </c>
      <c r="L810" t="b">
        <v>1</v>
      </c>
      <c r="P810" t="str">
        <f>TRIM(Before_Tbl[[#This Row],[Employee_ID]])</f>
        <v>EMP1808</v>
      </c>
      <c r="Q810" t="str">
        <f>TRIM(PROPER(Before_Tbl[[#This Row],[First_Name]]))</f>
        <v>David</v>
      </c>
      <c r="R810" t="str">
        <f>TRIM(PROPER(Before_Tbl[[#This Row],[Last_Name]]))</f>
        <v>Miller</v>
      </c>
      <c r="S810" s="25">
        <f t="shared" si="12"/>
        <v>30</v>
      </c>
      <c r="T810" t="str">
        <f>LEFT(Before_Tbl[[#This Row],[Department_Region]],FIND("-",Before_Tbl[[#This Row],[Department_Region]])-1)</f>
        <v>Sales</v>
      </c>
      <c r="U810" t="str">
        <f>RIGHT(Before_Tbl[[#This Row],[Department_Region]],LEN(Before_Tbl[[#This Row],[Department_Region]])-FIND("-",Before_Tbl[[#This Row],[Department_Region]]))</f>
        <v>California</v>
      </c>
      <c r="V810" t="str">
        <f>TRIM(PROPER(Before_Tbl[[#This Row],[Status]]))</f>
        <v>Inactive</v>
      </c>
      <c r="W810" s="26">
        <v>44633</v>
      </c>
      <c r="X810" s="4">
        <v>62834.720000000001</v>
      </c>
      <c r="Y810" t="str">
        <f>TRIM(LOWER(Before_Tbl[[#This Row],[Email]]))</f>
        <v>david.miller@example.com</v>
      </c>
      <c r="Z810" s="2" t="str">
        <f>SUBSTITUTE(Before_Tbl[[#This Row],[Phone]],"-","")</f>
        <v>9337970580</v>
      </c>
      <c r="AA810" t="str">
        <f>TRIM(PROPER(Before_Tbl[[#This Row],[Performance_Score]]))</f>
        <v>Good</v>
      </c>
      <c r="AB810" s="2" t="str">
        <f>TRIM(UPPER(Before_Tbl[[#This Row],[Remote_Work]]))</f>
        <v>TRUE</v>
      </c>
    </row>
    <row r="811" spans="1:28" x14ac:dyDescent="0.35">
      <c r="A811" t="s">
        <v>1349</v>
      </c>
      <c r="B811" t="s">
        <v>37</v>
      </c>
      <c r="C811" t="s">
        <v>26</v>
      </c>
      <c r="D811">
        <v>35</v>
      </c>
      <c r="E811" t="s">
        <v>112</v>
      </c>
      <c r="F811" t="s">
        <v>16</v>
      </c>
      <c r="G811" t="s">
        <v>1350</v>
      </c>
      <c r="H811">
        <v>83273.41</v>
      </c>
      <c r="I811" t="s">
        <v>47</v>
      </c>
      <c r="J811">
        <v>-6295187793</v>
      </c>
      <c r="K811" t="s">
        <v>23</v>
      </c>
      <c r="L811" t="b">
        <v>0</v>
      </c>
      <c r="P811" t="str">
        <f>TRIM(Before_Tbl[[#This Row],[Employee_ID]])</f>
        <v>EMP1809</v>
      </c>
      <c r="Q811" t="str">
        <f>TRIM(PROPER(Before_Tbl[[#This Row],[First_Name]]))</f>
        <v>Frank</v>
      </c>
      <c r="R811" t="str">
        <f>TRIM(PROPER(Before_Tbl[[#This Row],[Last_Name]]))</f>
        <v>Jones</v>
      </c>
      <c r="S811" s="25">
        <f t="shared" si="12"/>
        <v>35</v>
      </c>
      <c r="T811" t="str">
        <f>LEFT(Before_Tbl[[#This Row],[Department_Region]],FIND("-",Before_Tbl[[#This Row],[Department_Region]])-1)</f>
        <v>Finance</v>
      </c>
      <c r="U811" t="str">
        <f>RIGHT(Before_Tbl[[#This Row],[Department_Region]],LEN(Before_Tbl[[#This Row],[Department_Region]])-FIND("-",Before_Tbl[[#This Row],[Department_Region]]))</f>
        <v>Florida</v>
      </c>
      <c r="V811" t="str">
        <f>TRIM(PROPER(Before_Tbl[[#This Row],[Status]]))</f>
        <v>Active</v>
      </c>
      <c r="W811" s="26">
        <v>43964</v>
      </c>
      <c r="X811" s="4">
        <v>83273.41</v>
      </c>
      <c r="Y811" t="str">
        <f>TRIM(LOWER(Before_Tbl[[#This Row],[Email]]))</f>
        <v>frank.jones@example.com</v>
      </c>
      <c r="Z811" s="2" t="str">
        <f>SUBSTITUTE(Before_Tbl[[#This Row],[Phone]],"-","")</f>
        <v>6295187793</v>
      </c>
      <c r="AA811" t="str">
        <f>TRIM(PROPER(Before_Tbl[[#This Row],[Performance_Score]]))</f>
        <v>Excellent</v>
      </c>
      <c r="AB811" s="2" t="str">
        <f>TRIM(UPPER(Before_Tbl[[#This Row],[Remote_Work]]))</f>
        <v>FALSE</v>
      </c>
    </row>
    <row r="812" spans="1:28" x14ac:dyDescent="0.35">
      <c r="A812" t="s">
        <v>1351</v>
      </c>
      <c r="B812" t="s">
        <v>65</v>
      </c>
      <c r="C812" t="s">
        <v>38</v>
      </c>
      <c r="D812">
        <v>30</v>
      </c>
      <c r="E812" t="s">
        <v>146</v>
      </c>
      <c r="F812" t="s">
        <v>28</v>
      </c>
      <c r="G812" t="s">
        <v>1352</v>
      </c>
      <c r="H812">
        <v>58917.58</v>
      </c>
      <c r="I812" t="s">
        <v>67</v>
      </c>
      <c r="J812">
        <v>-1763425072</v>
      </c>
      <c r="K812" t="s">
        <v>30</v>
      </c>
      <c r="L812" t="b">
        <v>0</v>
      </c>
      <c r="P812" t="str">
        <f>TRIM(Before_Tbl[[#This Row],[Employee_ID]])</f>
        <v>EMP1810</v>
      </c>
      <c r="Q812" t="str">
        <f>TRIM(PROPER(Before_Tbl[[#This Row],[First_Name]]))</f>
        <v>Heidi</v>
      </c>
      <c r="R812" t="str">
        <f>TRIM(PROPER(Before_Tbl[[#This Row],[Last_Name]]))</f>
        <v>Williams</v>
      </c>
      <c r="S812" s="25">
        <f t="shared" si="12"/>
        <v>30</v>
      </c>
      <c r="T812" t="str">
        <f>LEFT(Before_Tbl[[#This Row],[Department_Region]],FIND("-",Before_Tbl[[#This Row],[Department_Region]])-1)</f>
        <v>HR</v>
      </c>
      <c r="U812" t="str">
        <f>RIGHT(Before_Tbl[[#This Row],[Department_Region]],LEN(Before_Tbl[[#This Row],[Department_Region]])-FIND("-",Before_Tbl[[#This Row],[Department_Region]]))</f>
        <v>California</v>
      </c>
      <c r="V812" t="str">
        <f>TRIM(PROPER(Before_Tbl[[#This Row],[Status]]))</f>
        <v>Pending</v>
      </c>
      <c r="W812" s="26">
        <v>45007</v>
      </c>
      <c r="X812" s="4">
        <v>58917.58</v>
      </c>
      <c r="Y812" t="str">
        <f>TRIM(LOWER(Before_Tbl[[#This Row],[Email]]))</f>
        <v>heidi.williams@example.com</v>
      </c>
      <c r="Z812" s="2" t="str">
        <f>SUBSTITUTE(Before_Tbl[[#This Row],[Phone]],"-","")</f>
        <v>1763425072</v>
      </c>
      <c r="AA812" t="str">
        <f>TRIM(PROPER(Before_Tbl[[#This Row],[Performance_Score]]))</f>
        <v>Good</v>
      </c>
      <c r="AB812" s="2" t="str">
        <f>TRIM(UPPER(Before_Tbl[[#This Row],[Remote_Work]]))</f>
        <v>FALSE</v>
      </c>
    </row>
    <row r="813" spans="1:28" x14ac:dyDescent="0.35">
      <c r="A813" t="s">
        <v>1353</v>
      </c>
      <c r="B813" t="s">
        <v>13</v>
      </c>
      <c r="C813" t="s">
        <v>38</v>
      </c>
      <c r="D813">
        <v>35</v>
      </c>
      <c r="E813" t="s">
        <v>219</v>
      </c>
      <c r="F813" t="s">
        <v>16</v>
      </c>
      <c r="G813" s="1">
        <v>45571</v>
      </c>
      <c r="H813">
        <v>71148.27</v>
      </c>
      <c r="I813" t="s">
        <v>144</v>
      </c>
      <c r="J813">
        <v>-3055978244</v>
      </c>
      <c r="K813" t="s">
        <v>23</v>
      </c>
      <c r="L813" t="b">
        <v>1</v>
      </c>
      <c r="P813" t="str">
        <f>TRIM(Before_Tbl[[#This Row],[Employee_ID]])</f>
        <v>EMP1811</v>
      </c>
      <c r="Q813" t="str">
        <f>TRIM(PROPER(Before_Tbl[[#This Row],[First_Name]]))</f>
        <v>Bob</v>
      </c>
      <c r="R813" t="str">
        <f>TRIM(PROPER(Before_Tbl[[#This Row],[Last_Name]]))</f>
        <v>Williams</v>
      </c>
      <c r="S813" s="25">
        <f t="shared" si="12"/>
        <v>35</v>
      </c>
      <c r="T813" t="str">
        <f>LEFT(Before_Tbl[[#This Row],[Department_Region]],FIND("-",Before_Tbl[[#This Row],[Department_Region]])-1)</f>
        <v>Sales</v>
      </c>
      <c r="U813" t="str">
        <f>RIGHT(Before_Tbl[[#This Row],[Department_Region]],LEN(Before_Tbl[[#This Row],[Department_Region]])-FIND("-",Before_Tbl[[#This Row],[Department_Region]]))</f>
        <v>Nevada</v>
      </c>
      <c r="V813" t="str">
        <f>TRIM(PROPER(Before_Tbl[[#This Row],[Status]]))</f>
        <v>Active</v>
      </c>
      <c r="W813" s="26">
        <v>45571</v>
      </c>
      <c r="X813" s="4">
        <v>71148.27</v>
      </c>
      <c r="Y813" t="str">
        <f>TRIM(LOWER(Before_Tbl[[#This Row],[Email]]))</f>
        <v>bob.williams@example.com</v>
      </c>
      <c r="Z813" s="2" t="str">
        <f>SUBSTITUTE(Before_Tbl[[#This Row],[Phone]],"-","")</f>
        <v>3055978244</v>
      </c>
      <c r="AA813" t="str">
        <f>TRIM(PROPER(Before_Tbl[[#This Row],[Performance_Score]]))</f>
        <v>Excellent</v>
      </c>
      <c r="AB813" s="2" t="str">
        <f>TRIM(UPPER(Before_Tbl[[#This Row],[Remote_Work]]))</f>
        <v>TRUE</v>
      </c>
    </row>
    <row r="814" spans="1:28" x14ac:dyDescent="0.35">
      <c r="A814" t="s">
        <v>1354</v>
      </c>
      <c r="B814" t="s">
        <v>69</v>
      </c>
      <c r="C814" t="s">
        <v>122</v>
      </c>
      <c r="D814">
        <v>30</v>
      </c>
      <c r="E814" t="s">
        <v>109</v>
      </c>
      <c r="F814" t="s">
        <v>28</v>
      </c>
      <c r="G814" t="s">
        <v>1355</v>
      </c>
      <c r="H814">
        <v>118172.42</v>
      </c>
      <c r="I814" t="s">
        <v>135</v>
      </c>
      <c r="J814">
        <v>-7598339913</v>
      </c>
      <c r="K814" t="s">
        <v>41</v>
      </c>
      <c r="L814" t="b">
        <v>1</v>
      </c>
      <c r="P814" t="str">
        <f>TRIM(Before_Tbl[[#This Row],[Employee_ID]])</f>
        <v>EMP1812</v>
      </c>
      <c r="Q814" t="str">
        <f>TRIM(PROPER(Before_Tbl[[#This Row],[First_Name]]))</f>
        <v>Grace</v>
      </c>
      <c r="R814" t="str">
        <f>TRIM(PROPER(Before_Tbl[[#This Row],[Last_Name]]))</f>
        <v>Smith</v>
      </c>
      <c r="S814" s="25">
        <f t="shared" si="12"/>
        <v>30</v>
      </c>
      <c r="T814" t="str">
        <f>LEFT(Before_Tbl[[#This Row],[Department_Region]],FIND("-",Before_Tbl[[#This Row],[Department_Region]])-1)</f>
        <v>Sales</v>
      </c>
      <c r="U814" t="str">
        <f>RIGHT(Before_Tbl[[#This Row],[Department_Region]],LEN(Before_Tbl[[#This Row],[Department_Region]])-FIND("-",Before_Tbl[[#This Row],[Department_Region]]))</f>
        <v>New York</v>
      </c>
      <c r="V814" t="str">
        <f>TRIM(PROPER(Before_Tbl[[#This Row],[Status]]))</f>
        <v>Pending</v>
      </c>
      <c r="W814" s="26">
        <v>44156</v>
      </c>
      <c r="X814" s="4">
        <v>118172.42</v>
      </c>
      <c r="Y814" t="str">
        <f>TRIM(LOWER(Before_Tbl[[#This Row],[Email]]))</f>
        <v>grace.smith@example.com</v>
      </c>
      <c r="Z814" s="2" t="str">
        <f>SUBSTITUTE(Before_Tbl[[#This Row],[Phone]],"-","")</f>
        <v>7598339913</v>
      </c>
      <c r="AA814" t="str">
        <f>TRIM(PROPER(Before_Tbl[[#This Row],[Performance_Score]]))</f>
        <v>Poor</v>
      </c>
      <c r="AB814" s="2" t="str">
        <f>TRIM(UPPER(Before_Tbl[[#This Row],[Remote_Work]]))</f>
        <v>TRUE</v>
      </c>
    </row>
    <row r="815" spans="1:28" x14ac:dyDescent="0.35">
      <c r="A815" t="s">
        <v>1356</v>
      </c>
      <c r="B815" t="s">
        <v>37</v>
      </c>
      <c r="C815" t="s">
        <v>20</v>
      </c>
      <c r="D815">
        <v>30</v>
      </c>
      <c r="E815" t="s">
        <v>78</v>
      </c>
      <c r="F815" t="s">
        <v>33</v>
      </c>
      <c r="G815" t="s">
        <v>995</v>
      </c>
      <c r="H815">
        <v>118614.37</v>
      </c>
      <c r="I815" t="s">
        <v>239</v>
      </c>
      <c r="J815">
        <v>-388436603</v>
      </c>
      <c r="K815" t="s">
        <v>18</v>
      </c>
      <c r="L815" t="b">
        <v>0</v>
      </c>
      <c r="P815" t="str">
        <f>TRIM(Before_Tbl[[#This Row],[Employee_ID]])</f>
        <v>EMP1813</v>
      </c>
      <c r="Q815" t="str">
        <f>TRIM(PROPER(Before_Tbl[[#This Row],[First_Name]]))</f>
        <v>Frank</v>
      </c>
      <c r="R815" t="str">
        <f>TRIM(PROPER(Before_Tbl[[#This Row],[Last_Name]]))</f>
        <v>Brown</v>
      </c>
      <c r="S815" s="25">
        <f t="shared" si="12"/>
        <v>30</v>
      </c>
      <c r="T815" t="str">
        <f>LEFT(Before_Tbl[[#This Row],[Department_Region]],FIND("-",Before_Tbl[[#This Row],[Department_Region]])-1)</f>
        <v>DevOps</v>
      </c>
      <c r="U815" t="str">
        <f>RIGHT(Before_Tbl[[#This Row],[Department_Region]],LEN(Before_Tbl[[#This Row],[Department_Region]])-FIND("-",Before_Tbl[[#This Row],[Department_Region]]))</f>
        <v>Illinois</v>
      </c>
      <c r="V815" t="str">
        <f>TRIM(PROPER(Before_Tbl[[#This Row],[Status]]))</f>
        <v>Inactive</v>
      </c>
      <c r="W815" s="26">
        <v>45437</v>
      </c>
      <c r="X815" s="4">
        <v>118614.37</v>
      </c>
      <c r="Y815" t="str">
        <f>TRIM(LOWER(Before_Tbl[[#This Row],[Email]]))</f>
        <v>frank.brown@example.com</v>
      </c>
      <c r="Z815" s="2" t="str">
        <f>SUBSTITUTE(Before_Tbl[[#This Row],[Phone]],"-","")</f>
        <v>388436603</v>
      </c>
      <c r="AA815" t="str">
        <f>TRIM(PROPER(Before_Tbl[[#This Row],[Performance_Score]]))</f>
        <v>Average</v>
      </c>
      <c r="AB815" s="2" t="str">
        <f>TRIM(UPPER(Before_Tbl[[#This Row],[Remote_Work]]))</f>
        <v>FALSE</v>
      </c>
    </row>
    <row r="816" spans="1:28" x14ac:dyDescent="0.35">
      <c r="A816" t="s">
        <v>1357</v>
      </c>
      <c r="B816" t="s">
        <v>37</v>
      </c>
      <c r="C816" t="s">
        <v>20</v>
      </c>
      <c r="E816" t="s">
        <v>56</v>
      </c>
      <c r="F816" t="s">
        <v>16</v>
      </c>
      <c r="G816" t="s">
        <v>1358</v>
      </c>
      <c r="H816">
        <v>96872.36</v>
      </c>
      <c r="I816" t="s">
        <v>239</v>
      </c>
      <c r="J816">
        <v>-4324006156</v>
      </c>
      <c r="K816" t="s">
        <v>41</v>
      </c>
      <c r="L816" t="b">
        <v>0</v>
      </c>
      <c r="P816" t="str">
        <f>TRIM(Before_Tbl[[#This Row],[Employee_ID]])</f>
        <v>EMP1814</v>
      </c>
      <c r="Q816" t="str">
        <f>TRIM(PROPER(Before_Tbl[[#This Row],[First_Name]]))</f>
        <v>Frank</v>
      </c>
      <c r="R816" t="str">
        <f>TRIM(PROPER(Before_Tbl[[#This Row],[Last_Name]]))</f>
        <v>Brown</v>
      </c>
      <c r="S816" s="25">
        <f t="shared" si="12"/>
        <v>30</v>
      </c>
      <c r="T816" t="str">
        <f>LEFT(Before_Tbl[[#This Row],[Department_Region]],FIND("-",Before_Tbl[[#This Row],[Department_Region]])-1)</f>
        <v>DevOps</v>
      </c>
      <c r="U816" t="str">
        <f>RIGHT(Before_Tbl[[#This Row],[Department_Region]],LEN(Before_Tbl[[#This Row],[Department_Region]])-FIND("-",Before_Tbl[[#This Row],[Department_Region]]))</f>
        <v>New York</v>
      </c>
      <c r="V816" t="str">
        <f>TRIM(PROPER(Before_Tbl[[#This Row],[Status]]))</f>
        <v>Active</v>
      </c>
      <c r="W816" s="26">
        <v>45188</v>
      </c>
      <c r="X816" s="4">
        <v>96872.36</v>
      </c>
      <c r="Y816" t="str">
        <f>TRIM(LOWER(Before_Tbl[[#This Row],[Email]]))</f>
        <v>frank.brown@example.com</v>
      </c>
      <c r="Z816" s="2" t="str">
        <f>SUBSTITUTE(Before_Tbl[[#This Row],[Phone]],"-","")</f>
        <v>4324006156</v>
      </c>
      <c r="AA816" t="str">
        <f>TRIM(PROPER(Before_Tbl[[#This Row],[Performance_Score]]))</f>
        <v>Poor</v>
      </c>
      <c r="AB816" s="2" t="str">
        <f>TRIM(UPPER(Before_Tbl[[#This Row],[Remote_Work]]))</f>
        <v>FALSE</v>
      </c>
    </row>
    <row r="817" spans="1:28" x14ac:dyDescent="0.35">
      <c r="A817" t="s">
        <v>1359</v>
      </c>
      <c r="B817" t="s">
        <v>65</v>
      </c>
      <c r="C817" t="s">
        <v>26</v>
      </c>
      <c r="D817">
        <v>25</v>
      </c>
      <c r="E817" t="s">
        <v>98</v>
      </c>
      <c r="F817" t="s">
        <v>33</v>
      </c>
      <c r="G817" t="s">
        <v>1360</v>
      </c>
      <c r="H817">
        <v>88856.14</v>
      </c>
      <c r="I817" t="s">
        <v>320</v>
      </c>
      <c r="J817">
        <v>-2768297513</v>
      </c>
      <c r="K817" t="s">
        <v>30</v>
      </c>
      <c r="L817" t="b">
        <v>1</v>
      </c>
      <c r="P817" t="str">
        <f>TRIM(Before_Tbl[[#This Row],[Employee_ID]])</f>
        <v>EMP1815</v>
      </c>
      <c r="Q817" t="str">
        <f>TRIM(PROPER(Before_Tbl[[#This Row],[First_Name]]))</f>
        <v>Heidi</v>
      </c>
      <c r="R817" t="str">
        <f>TRIM(PROPER(Before_Tbl[[#This Row],[Last_Name]]))</f>
        <v>Jones</v>
      </c>
      <c r="S817" s="25">
        <f t="shared" si="12"/>
        <v>25</v>
      </c>
      <c r="T817" t="str">
        <f>LEFT(Before_Tbl[[#This Row],[Department_Region]],FIND("-",Before_Tbl[[#This Row],[Department_Region]])-1)</f>
        <v>Sales</v>
      </c>
      <c r="U817" t="str">
        <f>RIGHT(Before_Tbl[[#This Row],[Department_Region]],LEN(Before_Tbl[[#This Row],[Department_Region]])-FIND("-",Before_Tbl[[#This Row],[Department_Region]]))</f>
        <v>Illinois</v>
      </c>
      <c r="V817" t="str">
        <f>TRIM(PROPER(Before_Tbl[[#This Row],[Status]]))</f>
        <v>Inactive</v>
      </c>
      <c r="W817" s="26">
        <v>44497</v>
      </c>
      <c r="X817" s="4">
        <v>88856.14</v>
      </c>
      <c r="Y817" t="str">
        <f>TRIM(LOWER(Before_Tbl[[#This Row],[Email]]))</f>
        <v>heidi.jones@example.com</v>
      </c>
      <c r="Z817" s="2" t="str">
        <f>SUBSTITUTE(Before_Tbl[[#This Row],[Phone]],"-","")</f>
        <v>2768297513</v>
      </c>
      <c r="AA817" t="str">
        <f>TRIM(PROPER(Before_Tbl[[#This Row],[Performance_Score]]))</f>
        <v>Good</v>
      </c>
      <c r="AB817" s="2" t="str">
        <f>TRIM(UPPER(Before_Tbl[[#This Row],[Remote_Work]]))</f>
        <v>TRUE</v>
      </c>
    </row>
    <row r="818" spans="1:28" x14ac:dyDescent="0.35">
      <c r="A818" t="s">
        <v>1361</v>
      </c>
      <c r="B818" t="s">
        <v>54</v>
      </c>
      <c r="C818" t="s">
        <v>122</v>
      </c>
      <c r="D818">
        <v>35</v>
      </c>
      <c r="E818" t="s">
        <v>21</v>
      </c>
      <c r="F818" t="s">
        <v>28</v>
      </c>
      <c r="G818" s="1">
        <v>44112</v>
      </c>
      <c r="H818">
        <v>97985.61</v>
      </c>
      <c r="I818" t="s">
        <v>194</v>
      </c>
      <c r="J818">
        <v>-7439742924</v>
      </c>
      <c r="K818" t="s">
        <v>30</v>
      </c>
      <c r="L818" t="b">
        <v>0</v>
      </c>
      <c r="P818" t="str">
        <f>TRIM(Before_Tbl[[#This Row],[Employee_ID]])</f>
        <v>EMP1816</v>
      </c>
      <c r="Q818" t="str">
        <f>TRIM(PROPER(Before_Tbl[[#This Row],[First_Name]]))</f>
        <v>Charlie</v>
      </c>
      <c r="R818" t="str">
        <f>TRIM(PROPER(Before_Tbl[[#This Row],[Last_Name]]))</f>
        <v>Smith</v>
      </c>
      <c r="S818" s="25">
        <f t="shared" si="12"/>
        <v>35</v>
      </c>
      <c r="T818" t="str">
        <f>LEFT(Before_Tbl[[#This Row],[Department_Region]],FIND("-",Before_Tbl[[#This Row],[Department_Region]])-1)</f>
        <v>Finance</v>
      </c>
      <c r="U818" t="str">
        <f>RIGHT(Before_Tbl[[#This Row],[Department_Region]],LEN(Before_Tbl[[#This Row],[Department_Region]])-FIND("-",Before_Tbl[[#This Row],[Department_Region]]))</f>
        <v>Texas</v>
      </c>
      <c r="V818" t="str">
        <f>TRIM(PROPER(Before_Tbl[[#This Row],[Status]]))</f>
        <v>Pending</v>
      </c>
      <c r="W818" s="26">
        <v>44112</v>
      </c>
      <c r="X818" s="4">
        <v>97985.61</v>
      </c>
      <c r="Y818" t="str">
        <f>TRIM(LOWER(Before_Tbl[[#This Row],[Email]]))</f>
        <v>charlie.smith@example.com</v>
      </c>
      <c r="Z818" s="2" t="str">
        <f>SUBSTITUTE(Before_Tbl[[#This Row],[Phone]],"-","")</f>
        <v>7439742924</v>
      </c>
      <c r="AA818" t="str">
        <f>TRIM(PROPER(Before_Tbl[[#This Row],[Performance_Score]]))</f>
        <v>Good</v>
      </c>
      <c r="AB818" s="2" t="str">
        <f>TRIM(UPPER(Before_Tbl[[#This Row],[Remote_Work]]))</f>
        <v>FALSE</v>
      </c>
    </row>
    <row r="819" spans="1:28" x14ac:dyDescent="0.35">
      <c r="A819" t="s">
        <v>1362</v>
      </c>
      <c r="B819" t="s">
        <v>69</v>
      </c>
      <c r="C819" t="s">
        <v>38</v>
      </c>
      <c r="D819">
        <v>35</v>
      </c>
      <c r="E819" t="s">
        <v>100</v>
      </c>
      <c r="F819" t="s">
        <v>28</v>
      </c>
      <c r="G819" s="1">
        <v>43956</v>
      </c>
      <c r="H819">
        <v>56337.31</v>
      </c>
      <c r="I819" t="s">
        <v>71</v>
      </c>
      <c r="J819">
        <v>-105875255</v>
      </c>
      <c r="K819" t="s">
        <v>41</v>
      </c>
      <c r="L819" t="b">
        <v>1</v>
      </c>
      <c r="P819" t="str">
        <f>TRIM(Before_Tbl[[#This Row],[Employee_ID]])</f>
        <v>EMP1817</v>
      </c>
      <c r="Q819" t="str">
        <f>TRIM(PROPER(Before_Tbl[[#This Row],[First_Name]]))</f>
        <v>Grace</v>
      </c>
      <c r="R819" t="str">
        <f>TRIM(PROPER(Before_Tbl[[#This Row],[Last_Name]]))</f>
        <v>Williams</v>
      </c>
      <c r="S819" s="25">
        <f t="shared" si="12"/>
        <v>35</v>
      </c>
      <c r="T819" t="str">
        <f>LEFT(Before_Tbl[[#This Row],[Department_Region]],FIND("-",Before_Tbl[[#This Row],[Department_Region]])-1)</f>
        <v>Finance</v>
      </c>
      <c r="U819" t="str">
        <f>RIGHT(Before_Tbl[[#This Row],[Department_Region]],LEN(Before_Tbl[[#This Row],[Department_Region]])-FIND("-",Before_Tbl[[#This Row],[Department_Region]]))</f>
        <v>Nevada</v>
      </c>
      <c r="V819" t="str">
        <f>TRIM(PROPER(Before_Tbl[[#This Row],[Status]]))</f>
        <v>Pending</v>
      </c>
      <c r="W819" s="26">
        <v>43956</v>
      </c>
      <c r="X819" s="4">
        <v>56337.31</v>
      </c>
      <c r="Y819" t="str">
        <f>TRIM(LOWER(Before_Tbl[[#This Row],[Email]]))</f>
        <v>grace.williams@example.com</v>
      </c>
      <c r="Z819" s="2" t="str">
        <f>SUBSTITUTE(Before_Tbl[[#This Row],[Phone]],"-","")</f>
        <v>105875255</v>
      </c>
      <c r="AA819" t="str">
        <f>TRIM(PROPER(Before_Tbl[[#This Row],[Performance_Score]]))</f>
        <v>Poor</v>
      </c>
      <c r="AB819" s="2" t="str">
        <f>TRIM(UPPER(Before_Tbl[[#This Row],[Remote_Work]]))</f>
        <v>TRUE</v>
      </c>
    </row>
    <row r="820" spans="1:28" x14ac:dyDescent="0.35">
      <c r="A820" t="s">
        <v>1363</v>
      </c>
      <c r="B820" t="s">
        <v>25</v>
      </c>
      <c r="C820" t="s">
        <v>20</v>
      </c>
      <c r="D820">
        <v>30</v>
      </c>
      <c r="E820" t="s">
        <v>56</v>
      </c>
      <c r="F820" t="s">
        <v>33</v>
      </c>
      <c r="G820" t="s">
        <v>1364</v>
      </c>
      <c r="H820">
        <v>70405.23</v>
      </c>
      <c r="I820" t="s">
        <v>80</v>
      </c>
      <c r="J820">
        <v>-8065625903</v>
      </c>
      <c r="K820" t="s">
        <v>41</v>
      </c>
      <c r="L820" t="b">
        <v>1</v>
      </c>
      <c r="P820" t="str">
        <f>TRIM(Before_Tbl[[#This Row],[Employee_ID]])</f>
        <v>EMP1818</v>
      </c>
      <c r="Q820" t="str">
        <f>TRIM(PROPER(Before_Tbl[[#This Row],[First_Name]]))</f>
        <v>Alice</v>
      </c>
      <c r="R820" t="str">
        <f>TRIM(PROPER(Before_Tbl[[#This Row],[Last_Name]]))</f>
        <v>Brown</v>
      </c>
      <c r="S820" s="25">
        <f t="shared" si="12"/>
        <v>30</v>
      </c>
      <c r="T820" t="str">
        <f>LEFT(Before_Tbl[[#This Row],[Department_Region]],FIND("-",Before_Tbl[[#This Row],[Department_Region]])-1)</f>
        <v>DevOps</v>
      </c>
      <c r="U820" t="str">
        <f>RIGHT(Before_Tbl[[#This Row],[Department_Region]],LEN(Before_Tbl[[#This Row],[Department_Region]])-FIND("-",Before_Tbl[[#This Row],[Department_Region]]))</f>
        <v>New York</v>
      </c>
      <c r="V820" t="str">
        <f>TRIM(PROPER(Before_Tbl[[#This Row],[Status]]))</f>
        <v>Inactive</v>
      </c>
      <c r="W820" s="26">
        <v>44919</v>
      </c>
      <c r="X820" s="4">
        <v>70405.23</v>
      </c>
      <c r="Y820" t="str">
        <f>TRIM(LOWER(Before_Tbl[[#This Row],[Email]]))</f>
        <v>alice.brown@example.com</v>
      </c>
      <c r="Z820" s="2" t="str">
        <f>SUBSTITUTE(Before_Tbl[[#This Row],[Phone]],"-","")</f>
        <v>8065625903</v>
      </c>
      <c r="AA820" t="str">
        <f>TRIM(PROPER(Before_Tbl[[#This Row],[Performance_Score]]))</f>
        <v>Poor</v>
      </c>
      <c r="AB820" s="2" t="str">
        <f>TRIM(UPPER(Before_Tbl[[#This Row],[Remote_Work]]))</f>
        <v>TRUE</v>
      </c>
    </row>
    <row r="821" spans="1:28" x14ac:dyDescent="0.35">
      <c r="A821" t="s">
        <v>1365</v>
      </c>
      <c r="B821" t="s">
        <v>65</v>
      </c>
      <c r="C821" t="s">
        <v>122</v>
      </c>
      <c r="D821">
        <v>30</v>
      </c>
      <c r="E821" t="s">
        <v>27</v>
      </c>
      <c r="F821" t="s">
        <v>33</v>
      </c>
      <c r="G821" s="1">
        <v>44325</v>
      </c>
      <c r="H821">
        <v>89919.35</v>
      </c>
      <c r="I821" t="s">
        <v>367</v>
      </c>
      <c r="J821">
        <v>-5990802710</v>
      </c>
      <c r="K821" t="s">
        <v>23</v>
      </c>
      <c r="L821" t="b">
        <v>1</v>
      </c>
      <c r="P821" t="str">
        <f>TRIM(Before_Tbl[[#This Row],[Employee_ID]])</f>
        <v>EMP1819</v>
      </c>
      <c r="Q821" t="str">
        <f>TRIM(PROPER(Before_Tbl[[#This Row],[First_Name]]))</f>
        <v>Heidi</v>
      </c>
      <c r="R821" t="str">
        <f>TRIM(PROPER(Before_Tbl[[#This Row],[Last_Name]]))</f>
        <v>Smith</v>
      </c>
      <c r="S821" s="25">
        <f t="shared" si="12"/>
        <v>30</v>
      </c>
      <c r="T821" t="str">
        <f>LEFT(Before_Tbl[[#This Row],[Department_Region]],FIND("-",Before_Tbl[[#This Row],[Department_Region]])-1)</f>
        <v>Admin</v>
      </c>
      <c r="U821" t="str">
        <f>RIGHT(Before_Tbl[[#This Row],[Department_Region]],LEN(Before_Tbl[[#This Row],[Department_Region]])-FIND("-",Before_Tbl[[#This Row],[Department_Region]]))</f>
        <v>Nevada</v>
      </c>
      <c r="V821" t="str">
        <f>TRIM(PROPER(Before_Tbl[[#This Row],[Status]]))</f>
        <v>Inactive</v>
      </c>
      <c r="W821" s="26">
        <v>44325</v>
      </c>
      <c r="X821" s="4">
        <v>89919.35</v>
      </c>
      <c r="Y821" t="str">
        <f>TRIM(LOWER(Before_Tbl[[#This Row],[Email]]))</f>
        <v>heidi.smith@example.com</v>
      </c>
      <c r="Z821" s="2" t="str">
        <f>SUBSTITUTE(Before_Tbl[[#This Row],[Phone]],"-","")</f>
        <v>5990802710</v>
      </c>
      <c r="AA821" t="str">
        <f>TRIM(PROPER(Before_Tbl[[#This Row],[Performance_Score]]))</f>
        <v>Excellent</v>
      </c>
      <c r="AB821" s="2" t="str">
        <f>TRIM(UPPER(Before_Tbl[[#This Row],[Remote_Work]]))</f>
        <v>TRUE</v>
      </c>
    </row>
    <row r="822" spans="1:28" x14ac:dyDescent="0.35">
      <c r="A822" t="s">
        <v>1366</v>
      </c>
      <c r="B822" t="s">
        <v>32</v>
      </c>
      <c r="C822" t="s">
        <v>14</v>
      </c>
      <c r="D822">
        <v>40</v>
      </c>
      <c r="E822" t="s">
        <v>15</v>
      </c>
      <c r="F822" t="s">
        <v>16</v>
      </c>
      <c r="G822" s="1">
        <v>45142</v>
      </c>
      <c r="H822">
        <v>50568.35</v>
      </c>
      <c r="I822" t="s">
        <v>35</v>
      </c>
      <c r="J822">
        <v>-2218231554</v>
      </c>
      <c r="K822" t="s">
        <v>30</v>
      </c>
      <c r="L822" t="b">
        <v>1</v>
      </c>
      <c r="P822" t="str">
        <f>TRIM(Before_Tbl[[#This Row],[Employee_ID]])</f>
        <v>EMP1820</v>
      </c>
      <c r="Q822" t="str">
        <f>TRIM(PROPER(Before_Tbl[[#This Row],[First_Name]]))</f>
        <v>Eva</v>
      </c>
      <c r="R822" t="str">
        <f>TRIM(PROPER(Before_Tbl[[#This Row],[Last_Name]]))</f>
        <v>Davis</v>
      </c>
      <c r="S822" s="25">
        <f t="shared" si="12"/>
        <v>40</v>
      </c>
      <c r="T822" t="str">
        <f>LEFT(Before_Tbl[[#This Row],[Department_Region]],FIND("-",Before_Tbl[[#This Row],[Department_Region]])-1)</f>
        <v>DevOps</v>
      </c>
      <c r="U822" t="str">
        <f>RIGHT(Before_Tbl[[#This Row],[Department_Region]],LEN(Before_Tbl[[#This Row],[Department_Region]])-FIND("-",Before_Tbl[[#This Row],[Department_Region]]))</f>
        <v>California</v>
      </c>
      <c r="V822" t="str">
        <f>TRIM(PROPER(Before_Tbl[[#This Row],[Status]]))</f>
        <v>Active</v>
      </c>
      <c r="W822" s="26">
        <v>45142</v>
      </c>
      <c r="X822" s="4">
        <v>50568.35</v>
      </c>
      <c r="Y822" t="str">
        <f>TRIM(LOWER(Before_Tbl[[#This Row],[Email]]))</f>
        <v>eva.davis@example.com</v>
      </c>
      <c r="Z822" s="2" t="str">
        <f>SUBSTITUTE(Before_Tbl[[#This Row],[Phone]],"-","")</f>
        <v>2218231554</v>
      </c>
      <c r="AA822" t="str">
        <f>TRIM(PROPER(Before_Tbl[[#This Row],[Performance_Score]]))</f>
        <v>Good</v>
      </c>
      <c r="AB822" s="2" t="str">
        <f>TRIM(UPPER(Before_Tbl[[#This Row],[Remote_Work]]))</f>
        <v>TRUE</v>
      </c>
    </row>
    <row r="823" spans="1:28" x14ac:dyDescent="0.35">
      <c r="A823" t="s">
        <v>1367</v>
      </c>
      <c r="B823" t="s">
        <v>69</v>
      </c>
      <c r="C823" t="s">
        <v>20</v>
      </c>
      <c r="D823">
        <v>30</v>
      </c>
      <c r="E823" t="s">
        <v>139</v>
      </c>
      <c r="F823" t="s">
        <v>33</v>
      </c>
      <c r="G823" t="s">
        <v>1368</v>
      </c>
      <c r="H823" t="s">
        <v>277</v>
      </c>
      <c r="I823" t="s">
        <v>201</v>
      </c>
      <c r="J823">
        <v>-1651768085</v>
      </c>
      <c r="K823" t="s">
        <v>30</v>
      </c>
      <c r="L823" t="b">
        <v>0</v>
      </c>
      <c r="P823" t="str">
        <f>TRIM(Before_Tbl[[#This Row],[Employee_ID]])</f>
        <v>EMP1821</v>
      </c>
      <c r="Q823" t="str">
        <f>TRIM(PROPER(Before_Tbl[[#This Row],[First_Name]]))</f>
        <v>Grace</v>
      </c>
      <c r="R823" t="str">
        <f>TRIM(PROPER(Before_Tbl[[#This Row],[Last_Name]]))</f>
        <v>Brown</v>
      </c>
      <c r="S823" s="25">
        <f t="shared" si="12"/>
        <v>30</v>
      </c>
      <c r="T823" t="str">
        <f>LEFT(Before_Tbl[[#This Row],[Department_Region]],FIND("-",Before_Tbl[[#This Row],[Department_Region]])-1)</f>
        <v>HR</v>
      </c>
      <c r="U823" t="str">
        <f>RIGHT(Before_Tbl[[#This Row],[Department_Region]],LEN(Before_Tbl[[#This Row],[Department_Region]])-FIND("-",Before_Tbl[[#This Row],[Department_Region]]))</f>
        <v>Texas</v>
      </c>
      <c r="V823" t="str">
        <f>TRIM(PROPER(Before_Tbl[[#This Row],[Status]]))</f>
        <v>Inactive</v>
      </c>
      <c r="W823" s="26">
        <v>44955</v>
      </c>
      <c r="X823" s="4"/>
      <c r="Y823" t="str">
        <f>TRIM(LOWER(Before_Tbl[[#This Row],[Email]]))</f>
        <v>grace.brown@example.com</v>
      </c>
      <c r="Z823" s="2" t="str">
        <f>SUBSTITUTE(Before_Tbl[[#This Row],[Phone]],"-","")</f>
        <v>1651768085</v>
      </c>
      <c r="AA823" t="str">
        <f>TRIM(PROPER(Before_Tbl[[#This Row],[Performance_Score]]))</f>
        <v>Good</v>
      </c>
      <c r="AB823" s="2" t="str">
        <f>TRIM(UPPER(Before_Tbl[[#This Row],[Remote_Work]]))</f>
        <v>FALSE</v>
      </c>
    </row>
    <row r="824" spans="1:28" x14ac:dyDescent="0.35">
      <c r="A824" t="s">
        <v>1369</v>
      </c>
      <c r="B824" t="s">
        <v>37</v>
      </c>
      <c r="C824" t="s">
        <v>92</v>
      </c>
      <c r="D824">
        <v>25</v>
      </c>
      <c r="E824" t="s">
        <v>139</v>
      </c>
      <c r="F824" t="s">
        <v>16</v>
      </c>
      <c r="G824" s="1">
        <v>44626</v>
      </c>
      <c r="H824">
        <v>99155.53</v>
      </c>
      <c r="I824" t="s">
        <v>110</v>
      </c>
      <c r="J824">
        <v>-6281372142</v>
      </c>
      <c r="K824" t="s">
        <v>41</v>
      </c>
      <c r="L824" t="b">
        <v>1</v>
      </c>
      <c r="P824" t="str">
        <f>TRIM(Before_Tbl[[#This Row],[Employee_ID]])</f>
        <v>EMP1822</v>
      </c>
      <c r="Q824" t="str">
        <f>TRIM(PROPER(Before_Tbl[[#This Row],[First_Name]]))</f>
        <v>Frank</v>
      </c>
      <c r="R824" t="str">
        <f>TRIM(PROPER(Before_Tbl[[#This Row],[Last_Name]]))</f>
        <v>Miller</v>
      </c>
      <c r="S824" s="25">
        <f t="shared" si="12"/>
        <v>25</v>
      </c>
      <c r="T824" t="str">
        <f>LEFT(Before_Tbl[[#This Row],[Department_Region]],FIND("-",Before_Tbl[[#This Row],[Department_Region]])-1)</f>
        <v>HR</v>
      </c>
      <c r="U824" t="str">
        <f>RIGHT(Before_Tbl[[#This Row],[Department_Region]],LEN(Before_Tbl[[#This Row],[Department_Region]])-FIND("-",Before_Tbl[[#This Row],[Department_Region]]))</f>
        <v>Texas</v>
      </c>
      <c r="V824" t="str">
        <f>TRIM(PROPER(Before_Tbl[[#This Row],[Status]]))</f>
        <v>Active</v>
      </c>
      <c r="W824" s="26">
        <v>44626</v>
      </c>
      <c r="X824" s="4">
        <v>99155.53</v>
      </c>
      <c r="Y824" t="str">
        <f>TRIM(LOWER(Before_Tbl[[#This Row],[Email]]))</f>
        <v>frank.miller@example.com</v>
      </c>
      <c r="Z824" s="2" t="str">
        <f>SUBSTITUTE(Before_Tbl[[#This Row],[Phone]],"-","")</f>
        <v>6281372142</v>
      </c>
      <c r="AA824" t="str">
        <f>TRIM(PROPER(Before_Tbl[[#This Row],[Performance_Score]]))</f>
        <v>Poor</v>
      </c>
      <c r="AB824" s="2" t="str">
        <f>TRIM(UPPER(Before_Tbl[[#This Row],[Remote_Work]]))</f>
        <v>TRUE</v>
      </c>
    </row>
    <row r="825" spans="1:28" x14ac:dyDescent="0.35">
      <c r="A825" t="s">
        <v>1370</v>
      </c>
      <c r="B825" t="s">
        <v>37</v>
      </c>
      <c r="C825" t="s">
        <v>14</v>
      </c>
      <c r="D825">
        <v>40</v>
      </c>
      <c r="E825" t="s">
        <v>112</v>
      </c>
      <c r="F825" t="s">
        <v>33</v>
      </c>
      <c r="G825" t="s">
        <v>1371</v>
      </c>
      <c r="H825">
        <v>64785.13</v>
      </c>
      <c r="I825" t="s">
        <v>52</v>
      </c>
      <c r="J825">
        <v>-3080037002</v>
      </c>
      <c r="K825" t="s">
        <v>18</v>
      </c>
      <c r="L825" t="b">
        <v>1</v>
      </c>
      <c r="P825" t="str">
        <f>TRIM(Before_Tbl[[#This Row],[Employee_ID]])</f>
        <v>EMP1823</v>
      </c>
      <c r="Q825" t="str">
        <f>TRIM(PROPER(Before_Tbl[[#This Row],[First_Name]]))</f>
        <v>Frank</v>
      </c>
      <c r="R825" t="str">
        <f>TRIM(PROPER(Before_Tbl[[#This Row],[Last_Name]]))</f>
        <v>Davis</v>
      </c>
      <c r="S825" s="25">
        <f t="shared" si="12"/>
        <v>40</v>
      </c>
      <c r="T825" t="str">
        <f>LEFT(Before_Tbl[[#This Row],[Department_Region]],FIND("-",Before_Tbl[[#This Row],[Department_Region]])-1)</f>
        <v>Finance</v>
      </c>
      <c r="U825" t="str">
        <f>RIGHT(Before_Tbl[[#This Row],[Department_Region]],LEN(Before_Tbl[[#This Row],[Department_Region]])-FIND("-",Before_Tbl[[#This Row],[Department_Region]]))</f>
        <v>Florida</v>
      </c>
      <c r="V825" t="str">
        <f>TRIM(PROPER(Before_Tbl[[#This Row],[Status]]))</f>
        <v>Inactive</v>
      </c>
      <c r="W825" s="26">
        <v>44947</v>
      </c>
      <c r="X825" s="4">
        <v>64785.13</v>
      </c>
      <c r="Y825" t="str">
        <f>TRIM(LOWER(Before_Tbl[[#This Row],[Email]]))</f>
        <v>frank.davis@example.com</v>
      </c>
      <c r="Z825" s="2" t="str">
        <f>SUBSTITUTE(Before_Tbl[[#This Row],[Phone]],"-","")</f>
        <v>3080037002</v>
      </c>
      <c r="AA825" t="str">
        <f>TRIM(PROPER(Before_Tbl[[#This Row],[Performance_Score]]))</f>
        <v>Average</v>
      </c>
      <c r="AB825" s="2" t="str">
        <f>TRIM(UPPER(Before_Tbl[[#This Row],[Remote_Work]]))</f>
        <v>TRUE</v>
      </c>
    </row>
    <row r="826" spans="1:28" x14ac:dyDescent="0.35">
      <c r="A826" t="s">
        <v>1372</v>
      </c>
      <c r="B826" t="s">
        <v>54</v>
      </c>
      <c r="C826" t="s">
        <v>43</v>
      </c>
      <c r="D826">
        <v>30</v>
      </c>
      <c r="E826" t="s">
        <v>74</v>
      </c>
      <c r="F826" t="s">
        <v>33</v>
      </c>
      <c r="G826" t="s">
        <v>210</v>
      </c>
      <c r="H826">
        <v>79206.48</v>
      </c>
      <c r="I826" t="s">
        <v>87</v>
      </c>
      <c r="J826">
        <v>-3228556607</v>
      </c>
      <c r="K826" t="s">
        <v>30</v>
      </c>
      <c r="L826" t="b">
        <v>0</v>
      </c>
      <c r="P826" t="str">
        <f>TRIM(Before_Tbl[[#This Row],[Employee_ID]])</f>
        <v>EMP1824</v>
      </c>
      <c r="Q826" t="str">
        <f>TRIM(PROPER(Before_Tbl[[#This Row],[First_Name]]))</f>
        <v>Charlie</v>
      </c>
      <c r="R826" t="str">
        <f>TRIM(PROPER(Before_Tbl[[#This Row],[Last_Name]]))</f>
        <v>Garcia</v>
      </c>
      <c r="S826" s="25">
        <f t="shared" si="12"/>
        <v>30</v>
      </c>
      <c r="T826" t="str">
        <f>LEFT(Before_Tbl[[#This Row],[Department_Region]],FIND("-",Before_Tbl[[#This Row],[Department_Region]])-1)</f>
        <v>Sales</v>
      </c>
      <c r="U826" t="str">
        <f>RIGHT(Before_Tbl[[#This Row],[Department_Region]],LEN(Before_Tbl[[#This Row],[Department_Region]])-FIND("-",Before_Tbl[[#This Row],[Department_Region]]))</f>
        <v>Florida</v>
      </c>
      <c r="V826" t="str">
        <f>TRIM(PROPER(Before_Tbl[[#This Row],[Status]]))</f>
        <v>Inactive</v>
      </c>
      <c r="W826" s="26">
        <v>45551</v>
      </c>
      <c r="X826" s="4">
        <v>79206.48</v>
      </c>
      <c r="Y826" t="str">
        <f>TRIM(LOWER(Before_Tbl[[#This Row],[Email]]))</f>
        <v>charlie.garcia@example.com</v>
      </c>
      <c r="Z826" s="2" t="str">
        <f>SUBSTITUTE(Before_Tbl[[#This Row],[Phone]],"-","")</f>
        <v>3228556607</v>
      </c>
      <c r="AA826" t="str">
        <f>TRIM(PROPER(Before_Tbl[[#This Row],[Performance_Score]]))</f>
        <v>Good</v>
      </c>
      <c r="AB826" s="2" t="str">
        <f>TRIM(UPPER(Before_Tbl[[#This Row],[Remote_Work]]))</f>
        <v>FALSE</v>
      </c>
    </row>
    <row r="827" spans="1:28" x14ac:dyDescent="0.35">
      <c r="A827" t="s">
        <v>1373</v>
      </c>
      <c r="B827" t="s">
        <v>54</v>
      </c>
      <c r="C827" t="s">
        <v>20</v>
      </c>
      <c r="D827">
        <v>30</v>
      </c>
      <c r="E827" t="s">
        <v>159</v>
      </c>
      <c r="F827" t="s">
        <v>28</v>
      </c>
      <c r="G827" s="1">
        <v>43863</v>
      </c>
      <c r="H827">
        <v>60079.71</v>
      </c>
      <c r="I827" t="s">
        <v>125</v>
      </c>
      <c r="J827">
        <v>-4706810389</v>
      </c>
      <c r="K827" t="s">
        <v>18</v>
      </c>
      <c r="L827" t="b">
        <v>1</v>
      </c>
      <c r="P827" t="str">
        <f>TRIM(Before_Tbl[[#This Row],[Employee_ID]])</f>
        <v>EMP1825</v>
      </c>
      <c r="Q827" t="str">
        <f>TRIM(PROPER(Before_Tbl[[#This Row],[First_Name]]))</f>
        <v>Charlie</v>
      </c>
      <c r="R827" t="str">
        <f>TRIM(PROPER(Before_Tbl[[#This Row],[Last_Name]]))</f>
        <v>Brown</v>
      </c>
      <c r="S827" s="25">
        <f t="shared" si="12"/>
        <v>30</v>
      </c>
      <c r="T827" t="str">
        <f>LEFT(Before_Tbl[[#This Row],[Department_Region]],FIND("-",Before_Tbl[[#This Row],[Department_Region]])-1)</f>
        <v>Cloud Tech</v>
      </c>
      <c r="U827" t="str">
        <f>RIGHT(Before_Tbl[[#This Row],[Department_Region]],LEN(Before_Tbl[[#This Row],[Department_Region]])-FIND("-",Before_Tbl[[#This Row],[Department_Region]]))</f>
        <v>Texas</v>
      </c>
      <c r="V827" t="str">
        <f>TRIM(PROPER(Before_Tbl[[#This Row],[Status]]))</f>
        <v>Pending</v>
      </c>
      <c r="W827" s="26">
        <v>43863</v>
      </c>
      <c r="X827" s="4">
        <v>60079.71</v>
      </c>
      <c r="Y827" t="str">
        <f>TRIM(LOWER(Before_Tbl[[#This Row],[Email]]))</f>
        <v>charlie.brown@example.com</v>
      </c>
      <c r="Z827" s="2" t="str">
        <f>SUBSTITUTE(Before_Tbl[[#This Row],[Phone]],"-","")</f>
        <v>4706810389</v>
      </c>
      <c r="AA827" t="str">
        <f>TRIM(PROPER(Before_Tbl[[#This Row],[Performance_Score]]))</f>
        <v>Average</v>
      </c>
      <c r="AB827" s="2" t="str">
        <f>TRIM(UPPER(Before_Tbl[[#This Row],[Remote_Work]]))</f>
        <v>TRUE</v>
      </c>
    </row>
    <row r="828" spans="1:28" x14ac:dyDescent="0.35">
      <c r="A828" t="s">
        <v>1374</v>
      </c>
      <c r="B828" t="s">
        <v>69</v>
      </c>
      <c r="C828" t="s">
        <v>38</v>
      </c>
      <c r="D828">
        <v>30</v>
      </c>
      <c r="E828" t="s">
        <v>60</v>
      </c>
      <c r="F828" t="s">
        <v>28</v>
      </c>
      <c r="G828" s="1">
        <v>45511</v>
      </c>
      <c r="H828">
        <v>79109.88</v>
      </c>
      <c r="I828" t="s">
        <v>71</v>
      </c>
      <c r="J828">
        <v>-3397051957</v>
      </c>
      <c r="K828" t="s">
        <v>41</v>
      </c>
      <c r="L828" t="b">
        <v>0</v>
      </c>
      <c r="P828" t="str">
        <f>TRIM(Before_Tbl[[#This Row],[Employee_ID]])</f>
        <v>EMP1826</v>
      </c>
      <c r="Q828" t="str">
        <f>TRIM(PROPER(Before_Tbl[[#This Row],[First_Name]]))</f>
        <v>Grace</v>
      </c>
      <c r="R828" t="str">
        <f>TRIM(PROPER(Before_Tbl[[#This Row],[Last_Name]]))</f>
        <v>Williams</v>
      </c>
      <c r="S828" s="25">
        <f t="shared" si="12"/>
        <v>30</v>
      </c>
      <c r="T828" t="str">
        <f>LEFT(Before_Tbl[[#This Row],[Department_Region]],FIND("-",Before_Tbl[[#This Row],[Department_Region]])-1)</f>
        <v>Cloud Tech</v>
      </c>
      <c r="U828" t="str">
        <f>RIGHT(Before_Tbl[[#This Row],[Department_Region]],LEN(Before_Tbl[[#This Row],[Department_Region]])-FIND("-",Before_Tbl[[#This Row],[Department_Region]]))</f>
        <v>New York</v>
      </c>
      <c r="V828" t="str">
        <f>TRIM(PROPER(Before_Tbl[[#This Row],[Status]]))</f>
        <v>Pending</v>
      </c>
      <c r="W828" s="26">
        <v>45511</v>
      </c>
      <c r="X828" s="4">
        <v>79109.88</v>
      </c>
      <c r="Y828" t="str">
        <f>TRIM(LOWER(Before_Tbl[[#This Row],[Email]]))</f>
        <v>grace.williams@example.com</v>
      </c>
      <c r="Z828" s="2" t="str">
        <f>SUBSTITUTE(Before_Tbl[[#This Row],[Phone]],"-","")</f>
        <v>3397051957</v>
      </c>
      <c r="AA828" t="str">
        <f>TRIM(PROPER(Before_Tbl[[#This Row],[Performance_Score]]))</f>
        <v>Poor</v>
      </c>
      <c r="AB828" s="2" t="str">
        <f>TRIM(UPPER(Before_Tbl[[#This Row],[Remote_Work]]))</f>
        <v>FALSE</v>
      </c>
    </row>
    <row r="829" spans="1:28" x14ac:dyDescent="0.35">
      <c r="A829" t="s">
        <v>1375</v>
      </c>
      <c r="B829" t="s">
        <v>69</v>
      </c>
      <c r="C829" t="s">
        <v>55</v>
      </c>
      <c r="E829" t="s">
        <v>205</v>
      </c>
      <c r="F829" t="s">
        <v>28</v>
      </c>
      <c r="G829" t="s">
        <v>1376</v>
      </c>
      <c r="H829">
        <v>88643.5</v>
      </c>
      <c r="I829" t="s">
        <v>127</v>
      </c>
      <c r="J829">
        <v>-2632809447</v>
      </c>
      <c r="K829" t="s">
        <v>41</v>
      </c>
      <c r="L829" t="b">
        <v>0</v>
      </c>
      <c r="P829" t="str">
        <f>TRIM(Before_Tbl[[#This Row],[Employee_ID]])</f>
        <v>EMP1827</v>
      </c>
      <c r="Q829" t="str">
        <f>TRIM(PROPER(Before_Tbl[[#This Row],[First_Name]]))</f>
        <v>Grace</v>
      </c>
      <c r="R829" t="str">
        <f>TRIM(PROPER(Before_Tbl[[#This Row],[Last_Name]]))</f>
        <v>Johnson</v>
      </c>
      <c r="S829" s="25">
        <f t="shared" si="12"/>
        <v>30</v>
      </c>
      <c r="T829" t="str">
        <f>LEFT(Before_Tbl[[#This Row],[Department_Region]],FIND("-",Before_Tbl[[#This Row],[Department_Region]])-1)</f>
        <v>Admin</v>
      </c>
      <c r="U829" t="str">
        <f>RIGHT(Before_Tbl[[#This Row],[Department_Region]],LEN(Before_Tbl[[#This Row],[Department_Region]])-FIND("-",Before_Tbl[[#This Row],[Department_Region]]))</f>
        <v>Florida</v>
      </c>
      <c r="V829" t="str">
        <f>TRIM(PROPER(Before_Tbl[[#This Row],[Status]]))</f>
        <v>Pending</v>
      </c>
      <c r="W829" s="26">
        <v>44699</v>
      </c>
      <c r="X829" s="4">
        <v>88643.5</v>
      </c>
      <c r="Y829" t="str">
        <f>TRIM(LOWER(Before_Tbl[[#This Row],[Email]]))</f>
        <v>grace.johnson@example.com</v>
      </c>
      <c r="Z829" s="2" t="str">
        <f>SUBSTITUTE(Before_Tbl[[#This Row],[Phone]],"-","")</f>
        <v>2632809447</v>
      </c>
      <c r="AA829" t="str">
        <f>TRIM(PROPER(Before_Tbl[[#This Row],[Performance_Score]]))</f>
        <v>Poor</v>
      </c>
      <c r="AB829" s="2" t="str">
        <f>TRIM(UPPER(Before_Tbl[[#This Row],[Remote_Work]]))</f>
        <v>FALSE</v>
      </c>
    </row>
    <row r="830" spans="1:28" x14ac:dyDescent="0.35">
      <c r="A830" t="s">
        <v>1377</v>
      </c>
      <c r="B830" t="s">
        <v>37</v>
      </c>
      <c r="C830" t="s">
        <v>14</v>
      </c>
      <c r="D830">
        <v>30</v>
      </c>
      <c r="E830" t="s">
        <v>205</v>
      </c>
      <c r="F830" t="s">
        <v>28</v>
      </c>
      <c r="G830" t="s">
        <v>1378</v>
      </c>
      <c r="H830">
        <v>90455.7</v>
      </c>
      <c r="I830" t="s">
        <v>52</v>
      </c>
      <c r="J830">
        <v>-5862394534</v>
      </c>
      <c r="K830" t="s">
        <v>23</v>
      </c>
      <c r="L830" t="b">
        <v>0</v>
      </c>
      <c r="P830" t="str">
        <f>TRIM(Before_Tbl[[#This Row],[Employee_ID]])</f>
        <v>EMP1828</v>
      </c>
      <c r="Q830" t="str">
        <f>TRIM(PROPER(Before_Tbl[[#This Row],[First_Name]]))</f>
        <v>Frank</v>
      </c>
      <c r="R830" t="str">
        <f>TRIM(PROPER(Before_Tbl[[#This Row],[Last_Name]]))</f>
        <v>Davis</v>
      </c>
      <c r="S830" s="25">
        <f t="shared" si="12"/>
        <v>30</v>
      </c>
      <c r="T830" t="str">
        <f>LEFT(Before_Tbl[[#This Row],[Department_Region]],FIND("-",Before_Tbl[[#This Row],[Department_Region]])-1)</f>
        <v>Admin</v>
      </c>
      <c r="U830" t="str">
        <f>RIGHT(Before_Tbl[[#This Row],[Department_Region]],LEN(Before_Tbl[[#This Row],[Department_Region]])-FIND("-",Before_Tbl[[#This Row],[Department_Region]]))</f>
        <v>Florida</v>
      </c>
      <c r="V830" t="str">
        <f>TRIM(PROPER(Before_Tbl[[#This Row],[Status]]))</f>
        <v>Pending</v>
      </c>
      <c r="W830" s="26">
        <v>43846</v>
      </c>
      <c r="X830" s="4">
        <v>90455.7</v>
      </c>
      <c r="Y830" t="str">
        <f>TRIM(LOWER(Before_Tbl[[#This Row],[Email]]))</f>
        <v>frank.davis@example.com</v>
      </c>
      <c r="Z830" s="2" t="str">
        <f>SUBSTITUTE(Before_Tbl[[#This Row],[Phone]],"-","")</f>
        <v>5862394534</v>
      </c>
      <c r="AA830" t="str">
        <f>TRIM(PROPER(Before_Tbl[[#This Row],[Performance_Score]]))</f>
        <v>Excellent</v>
      </c>
      <c r="AB830" s="2" t="str">
        <f>TRIM(UPPER(Before_Tbl[[#This Row],[Remote_Work]]))</f>
        <v>FALSE</v>
      </c>
    </row>
    <row r="831" spans="1:28" x14ac:dyDescent="0.35">
      <c r="A831" t="s">
        <v>1379</v>
      </c>
      <c r="B831" t="s">
        <v>59</v>
      </c>
      <c r="C831" t="s">
        <v>43</v>
      </c>
      <c r="E831" t="s">
        <v>212</v>
      </c>
      <c r="F831" t="s">
        <v>28</v>
      </c>
      <c r="G831" t="s">
        <v>1380</v>
      </c>
      <c r="H831">
        <v>75687.899999999994</v>
      </c>
      <c r="I831" t="s">
        <v>101</v>
      </c>
      <c r="J831">
        <v>-4614707985</v>
      </c>
      <c r="K831" t="s">
        <v>30</v>
      </c>
      <c r="L831" t="b">
        <v>1</v>
      </c>
      <c r="P831" t="str">
        <f>TRIM(Before_Tbl[[#This Row],[Employee_ID]])</f>
        <v>EMP1829</v>
      </c>
      <c r="Q831" t="str">
        <f>TRIM(PROPER(Before_Tbl[[#This Row],[First_Name]]))</f>
        <v>David</v>
      </c>
      <c r="R831" t="str">
        <f>TRIM(PROPER(Before_Tbl[[#This Row],[Last_Name]]))</f>
        <v>Garcia</v>
      </c>
      <c r="S831" s="25">
        <f t="shared" si="12"/>
        <v>30</v>
      </c>
      <c r="T831" t="str">
        <f>LEFT(Before_Tbl[[#This Row],[Department_Region]],FIND("-",Before_Tbl[[#This Row],[Department_Region]])-1)</f>
        <v>HR</v>
      </c>
      <c r="U831" t="str">
        <f>RIGHT(Before_Tbl[[#This Row],[Department_Region]],LEN(Before_Tbl[[#This Row],[Department_Region]])-FIND("-",Before_Tbl[[#This Row],[Department_Region]]))</f>
        <v>Florida</v>
      </c>
      <c r="V831" t="str">
        <f>TRIM(PROPER(Before_Tbl[[#This Row],[Status]]))</f>
        <v>Pending</v>
      </c>
      <c r="W831" s="26">
        <v>45011</v>
      </c>
      <c r="X831" s="4">
        <v>75687.899999999994</v>
      </c>
      <c r="Y831" t="str">
        <f>TRIM(LOWER(Before_Tbl[[#This Row],[Email]]))</f>
        <v>david.garcia@example.com</v>
      </c>
      <c r="Z831" s="2" t="str">
        <f>SUBSTITUTE(Before_Tbl[[#This Row],[Phone]],"-","")</f>
        <v>4614707985</v>
      </c>
      <c r="AA831" t="str">
        <f>TRIM(PROPER(Before_Tbl[[#This Row],[Performance_Score]]))</f>
        <v>Good</v>
      </c>
      <c r="AB831" s="2" t="str">
        <f>TRIM(UPPER(Before_Tbl[[#This Row],[Remote_Work]]))</f>
        <v>TRUE</v>
      </c>
    </row>
    <row r="832" spans="1:28" x14ac:dyDescent="0.35">
      <c r="A832" t="s">
        <v>1381</v>
      </c>
      <c r="B832" t="s">
        <v>65</v>
      </c>
      <c r="C832" t="s">
        <v>26</v>
      </c>
      <c r="D832">
        <v>35</v>
      </c>
      <c r="E832" t="s">
        <v>95</v>
      </c>
      <c r="F832" t="s">
        <v>33</v>
      </c>
      <c r="G832" t="s">
        <v>266</v>
      </c>
      <c r="H832">
        <v>55604.42</v>
      </c>
      <c r="I832" t="s">
        <v>320</v>
      </c>
      <c r="J832">
        <v>-3210613393</v>
      </c>
      <c r="K832" t="s">
        <v>18</v>
      </c>
      <c r="L832" t="b">
        <v>0</v>
      </c>
      <c r="P832" t="str">
        <f>TRIM(Before_Tbl[[#This Row],[Employee_ID]])</f>
        <v>EMP1830</v>
      </c>
      <c r="Q832" t="str">
        <f>TRIM(PROPER(Before_Tbl[[#This Row],[First_Name]]))</f>
        <v>Heidi</v>
      </c>
      <c r="R832" t="str">
        <f>TRIM(PROPER(Before_Tbl[[#This Row],[Last_Name]]))</f>
        <v>Jones</v>
      </c>
      <c r="S832" s="25">
        <f t="shared" si="12"/>
        <v>35</v>
      </c>
      <c r="T832" t="str">
        <f>LEFT(Before_Tbl[[#This Row],[Department_Region]],FIND("-",Before_Tbl[[#This Row],[Department_Region]])-1)</f>
        <v>Cloud Tech</v>
      </c>
      <c r="U832" t="str">
        <f>RIGHT(Before_Tbl[[#This Row],[Department_Region]],LEN(Before_Tbl[[#This Row],[Department_Region]])-FIND("-",Before_Tbl[[#This Row],[Department_Region]]))</f>
        <v>Illinois</v>
      </c>
      <c r="V832" t="str">
        <f>TRIM(PROPER(Before_Tbl[[#This Row],[Status]]))</f>
        <v>Inactive</v>
      </c>
      <c r="W832" s="26">
        <v>45245</v>
      </c>
      <c r="X832" s="4">
        <v>55604.42</v>
      </c>
      <c r="Y832" t="str">
        <f>TRIM(LOWER(Before_Tbl[[#This Row],[Email]]))</f>
        <v>heidi.jones@example.com</v>
      </c>
      <c r="Z832" s="2" t="str">
        <f>SUBSTITUTE(Before_Tbl[[#This Row],[Phone]],"-","")</f>
        <v>3210613393</v>
      </c>
      <c r="AA832" t="str">
        <f>TRIM(PROPER(Before_Tbl[[#This Row],[Performance_Score]]))</f>
        <v>Average</v>
      </c>
      <c r="AB832" s="2" t="str">
        <f>TRIM(UPPER(Before_Tbl[[#This Row],[Remote_Work]]))</f>
        <v>FALSE</v>
      </c>
    </row>
    <row r="833" spans="1:28" x14ac:dyDescent="0.35">
      <c r="A833" t="s">
        <v>1382</v>
      </c>
      <c r="B833" t="s">
        <v>32</v>
      </c>
      <c r="C833" t="s">
        <v>26</v>
      </c>
      <c r="D833">
        <v>40</v>
      </c>
      <c r="E833" t="s">
        <v>44</v>
      </c>
      <c r="F833" t="s">
        <v>28</v>
      </c>
      <c r="G833" t="s">
        <v>1206</v>
      </c>
      <c r="H833">
        <v>92704.94</v>
      </c>
      <c r="I833" t="s">
        <v>278</v>
      </c>
      <c r="J833">
        <v>-3945703942</v>
      </c>
      <c r="K833" t="s">
        <v>23</v>
      </c>
      <c r="L833" t="b">
        <v>0</v>
      </c>
      <c r="P833" t="str">
        <f>TRIM(Before_Tbl[[#This Row],[Employee_ID]])</f>
        <v>EMP1831</v>
      </c>
      <c r="Q833" t="str">
        <f>TRIM(PROPER(Before_Tbl[[#This Row],[First_Name]]))</f>
        <v>Eva</v>
      </c>
      <c r="R833" t="str">
        <f>TRIM(PROPER(Before_Tbl[[#This Row],[Last_Name]]))</f>
        <v>Jones</v>
      </c>
      <c r="S833" s="25">
        <f t="shared" si="12"/>
        <v>40</v>
      </c>
      <c r="T833" t="str">
        <f>LEFT(Before_Tbl[[#This Row],[Department_Region]],FIND("-",Before_Tbl[[#This Row],[Department_Region]])-1)</f>
        <v>Sales</v>
      </c>
      <c r="U833" t="str">
        <f>RIGHT(Before_Tbl[[#This Row],[Department_Region]],LEN(Before_Tbl[[#This Row],[Department_Region]])-FIND("-",Before_Tbl[[#This Row],[Department_Region]]))</f>
        <v>Texas</v>
      </c>
      <c r="V833" t="str">
        <f>TRIM(PROPER(Before_Tbl[[#This Row],[Status]]))</f>
        <v>Pending</v>
      </c>
      <c r="W833" s="26">
        <v>45653</v>
      </c>
      <c r="X833" s="4">
        <v>92704.94</v>
      </c>
      <c r="Y833" t="str">
        <f>TRIM(LOWER(Before_Tbl[[#This Row],[Email]]))</f>
        <v>eva.jones@example.com</v>
      </c>
      <c r="Z833" s="2" t="str">
        <f>SUBSTITUTE(Before_Tbl[[#This Row],[Phone]],"-","")</f>
        <v>3945703942</v>
      </c>
      <c r="AA833" t="str">
        <f>TRIM(PROPER(Before_Tbl[[#This Row],[Performance_Score]]))</f>
        <v>Excellent</v>
      </c>
      <c r="AB833" s="2" t="str">
        <f>TRIM(UPPER(Before_Tbl[[#This Row],[Remote_Work]]))</f>
        <v>FALSE</v>
      </c>
    </row>
    <row r="834" spans="1:28" x14ac:dyDescent="0.35">
      <c r="A834" t="s">
        <v>1383</v>
      </c>
      <c r="B834" t="s">
        <v>13</v>
      </c>
      <c r="C834" t="s">
        <v>38</v>
      </c>
      <c r="E834" t="s">
        <v>177</v>
      </c>
      <c r="F834" t="s">
        <v>28</v>
      </c>
      <c r="G834" t="s">
        <v>1250</v>
      </c>
      <c r="H834">
        <v>113250.97</v>
      </c>
      <c r="I834" t="s">
        <v>144</v>
      </c>
      <c r="J834">
        <v>-8040325375</v>
      </c>
      <c r="K834" t="s">
        <v>30</v>
      </c>
      <c r="L834" t="b">
        <v>1</v>
      </c>
      <c r="P834" t="str">
        <f>TRIM(Before_Tbl[[#This Row],[Employee_ID]])</f>
        <v>EMP1832</v>
      </c>
      <c r="Q834" t="str">
        <f>TRIM(PROPER(Before_Tbl[[#This Row],[First_Name]]))</f>
        <v>Bob</v>
      </c>
      <c r="R834" t="str">
        <f>TRIM(PROPER(Before_Tbl[[#This Row],[Last_Name]]))</f>
        <v>Williams</v>
      </c>
      <c r="S834" s="25">
        <f t="shared" ref="S834:S897" si="13">IF(ISBLANK(D834),30,D834)</f>
        <v>30</v>
      </c>
      <c r="T834" t="str">
        <f>LEFT(Before_Tbl[[#This Row],[Department_Region]],FIND("-",Before_Tbl[[#This Row],[Department_Region]])-1)</f>
        <v>Sales</v>
      </c>
      <c r="U834" t="str">
        <f>RIGHT(Before_Tbl[[#This Row],[Department_Region]],LEN(Before_Tbl[[#This Row],[Department_Region]])-FIND("-",Before_Tbl[[#This Row],[Department_Region]]))</f>
        <v>California</v>
      </c>
      <c r="V834" t="str">
        <f>TRIM(PROPER(Before_Tbl[[#This Row],[Status]]))</f>
        <v>Pending</v>
      </c>
      <c r="W834" s="26">
        <v>43939</v>
      </c>
      <c r="X834" s="4">
        <v>113250.97</v>
      </c>
      <c r="Y834" t="str">
        <f>TRIM(LOWER(Before_Tbl[[#This Row],[Email]]))</f>
        <v>bob.williams@example.com</v>
      </c>
      <c r="Z834" s="2" t="str">
        <f>SUBSTITUTE(Before_Tbl[[#This Row],[Phone]],"-","")</f>
        <v>8040325375</v>
      </c>
      <c r="AA834" t="str">
        <f>TRIM(PROPER(Before_Tbl[[#This Row],[Performance_Score]]))</f>
        <v>Good</v>
      </c>
      <c r="AB834" s="2" t="str">
        <f>TRIM(UPPER(Before_Tbl[[#This Row],[Remote_Work]]))</f>
        <v>TRUE</v>
      </c>
    </row>
    <row r="835" spans="1:28" x14ac:dyDescent="0.35">
      <c r="A835" t="s">
        <v>1384</v>
      </c>
      <c r="B835" t="s">
        <v>25</v>
      </c>
      <c r="C835" t="s">
        <v>20</v>
      </c>
      <c r="D835">
        <v>40</v>
      </c>
      <c r="E835" t="s">
        <v>265</v>
      </c>
      <c r="F835" t="s">
        <v>33</v>
      </c>
      <c r="G835" t="s">
        <v>1385</v>
      </c>
      <c r="H835">
        <v>101367.02</v>
      </c>
      <c r="I835" t="s">
        <v>80</v>
      </c>
      <c r="J835">
        <v>-5769277893</v>
      </c>
      <c r="K835" t="s">
        <v>23</v>
      </c>
      <c r="L835" t="b">
        <v>0</v>
      </c>
      <c r="P835" t="str">
        <f>TRIM(Before_Tbl[[#This Row],[Employee_ID]])</f>
        <v>EMP1833</v>
      </c>
      <c r="Q835" t="str">
        <f>TRIM(PROPER(Before_Tbl[[#This Row],[First_Name]]))</f>
        <v>Alice</v>
      </c>
      <c r="R835" t="str">
        <f>TRIM(PROPER(Before_Tbl[[#This Row],[Last_Name]]))</f>
        <v>Brown</v>
      </c>
      <c r="S835" s="25">
        <f t="shared" si="13"/>
        <v>40</v>
      </c>
      <c r="T835" t="str">
        <f>LEFT(Before_Tbl[[#This Row],[Department_Region]],FIND("-",Before_Tbl[[#This Row],[Department_Region]])-1)</f>
        <v>Finance</v>
      </c>
      <c r="U835" t="str">
        <f>RIGHT(Before_Tbl[[#This Row],[Department_Region]],LEN(Before_Tbl[[#This Row],[Department_Region]])-FIND("-",Before_Tbl[[#This Row],[Department_Region]]))</f>
        <v>Illinois</v>
      </c>
      <c r="V835" t="str">
        <f>TRIM(PROPER(Before_Tbl[[#This Row],[Status]]))</f>
        <v>Inactive</v>
      </c>
      <c r="W835" s="26">
        <v>45006</v>
      </c>
      <c r="X835" s="4">
        <v>101367.02</v>
      </c>
      <c r="Y835" t="str">
        <f>TRIM(LOWER(Before_Tbl[[#This Row],[Email]]))</f>
        <v>alice.brown@example.com</v>
      </c>
      <c r="Z835" s="2" t="str">
        <f>SUBSTITUTE(Before_Tbl[[#This Row],[Phone]],"-","")</f>
        <v>5769277893</v>
      </c>
      <c r="AA835" t="str">
        <f>TRIM(PROPER(Before_Tbl[[#This Row],[Performance_Score]]))</f>
        <v>Excellent</v>
      </c>
      <c r="AB835" s="2" t="str">
        <f>TRIM(UPPER(Before_Tbl[[#This Row],[Remote_Work]]))</f>
        <v>FALSE</v>
      </c>
    </row>
    <row r="836" spans="1:28" x14ac:dyDescent="0.35">
      <c r="A836" t="s">
        <v>1386</v>
      </c>
      <c r="B836" t="s">
        <v>32</v>
      </c>
      <c r="C836" t="s">
        <v>122</v>
      </c>
      <c r="D836">
        <v>35</v>
      </c>
      <c r="E836" t="s">
        <v>103</v>
      </c>
      <c r="F836" t="s">
        <v>28</v>
      </c>
      <c r="G836" s="1">
        <v>45143</v>
      </c>
      <c r="H836">
        <v>102459.77</v>
      </c>
      <c r="I836" t="s">
        <v>522</v>
      </c>
      <c r="J836">
        <v>-3191009003</v>
      </c>
      <c r="K836" t="s">
        <v>41</v>
      </c>
      <c r="L836" t="b">
        <v>0</v>
      </c>
      <c r="P836" t="str">
        <f>TRIM(Before_Tbl[[#This Row],[Employee_ID]])</f>
        <v>EMP1834</v>
      </c>
      <c r="Q836" t="str">
        <f>TRIM(PROPER(Before_Tbl[[#This Row],[First_Name]]))</f>
        <v>Eva</v>
      </c>
      <c r="R836" t="str">
        <f>TRIM(PROPER(Before_Tbl[[#This Row],[Last_Name]]))</f>
        <v>Smith</v>
      </c>
      <c r="S836" s="25">
        <f t="shared" si="13"/>
        <v>35</v>
      </c>
      <c r="T836" t="str">
        <f>LEFT(Before_Tbl[[#This Row],[Department_Region]],FIND("-",Before_Tbl[[#This Row],[Department_Region]])-1)</f>
        <v>Admin</v>
      </c>
      <c r="U836" t="str">
        <f>RIGHT(Before_Tbl[[#This Row],[Department_Region]],LEN(Before_Tbl[[#This Row],[Department_Region]])-FIND("-",Before_Tbl[[#This Row],[Department_Region]]))</f>
        <v>Texas</v>
      </c>
      <c r="V836" t="str">
        <f>TRIM(PROPER(Before_Tbl[[#This Row],[Status]]))</f>
        <v>Pending</v>
      </c>
      <c r="W836" s="26">
        <v>45143</v>
      </c>
      <c r="X836" s="4">
        <v>102459.77</v>
      </c>
      <c r="Y836" t="str">
        <f>TRIM(LOWER(Before_Tbl[[#This Row],[Email]]))</f>
        <v>eva.smith@example.com</v>
      </c>
      <c r="Z836" s="2" t="str">
        <f>SUBSTITUTE(Before_Tbl[[#This Row],[Phone]],"-","")</f>
        <v>3191009003</v>
      </c>
      <c r="AA836" t="str">
        <f>TRIM(PROPER(Before_Tbl[[#This Row],[Performance_Score]]))</f>
        <v>Poor</v>
      </c>
      <c r="AB836" s="2" t="str">
        <f>TRIM(UPPER(Before_Tbl[[#This Row],[Remote_Work]]))</f>
        <v>FALSE</v>
      </c>
    </row>
    <row r="837" spans="1:28" x14ac:dyDescent="0.35">
      <c r="A837" t="s">
        <v>1387</v>
      </c>
      <c r="B837" t="s">
        <v>32</v>
      </c>
      <c r="C837" t="s">
        <v>20</v>
      </c>
      <c r="D837">
        <v>25</v>
      </c>
      <c r="E837" t="s">
        <v>230</v>
      </c>
      <c r="F837" t="s">
        <v>28</v>
      </c>
      <c r="G837" s="1">
        <v>44177</v>
      </c>
      <c r="H837">
        <v>90100.2</v>
      </c>
      <c r="I837" t="s">
        <v>155</v>
      </c>
      <c r="J837">
        <v>-476921052</v>
      </c>
      <c r="K837" t="s">
        <v>30</v>
      </c>
      <c r="L837" t="b">
        <v>0</v>
      </c>
      <c r="P837" t="str">
        <f>TRIM(Before_Tbl[[#This Row],[Employee_ID]])</f>
        <v>EMP1835</v>
      </c>
      <c r="Q837" t="str">
        <f>TRIM(PROPER(Before_Tbl[[#This Row],[First_Name]]))</f>
        <v>Eva</v>
      </c>
      <c r="R837" t="str">
        <f>TRIM(PROPER(Before_Tbl[[#This Row],[Last_Name]]))</f>
        <v>Brown</v>
      </c>
      <c r="S837" s="25">
        <f t="shared" si="13"/>
        <v>25</v>
      </c>
      <c r="T837" t="str">
        <f>LEFT(Before_Tbl[[#This Row],[Department_Region]],FIND("-",Before_Tbl[[#This Row],[Department_Region]])-1)</f>
        <v>DevOps</v>
      </c>
      <c r="U837" t="str">
        <f>RIGHT(Before_Tbl[[#This Row],[Department_Region]],LEN(Before_Tbl[[#This Row],[Department_Region]])-FIND("-",Before_Tbl[[#This Row],[Department_Region]]))</f>
        <v>Florida</v>
      </c>
      <c r="V837" t="str">
        <f>TRIM(PROPER(Before_Tbl[[#This Row],[Status]]))</f>
        <v>Pending</v>
      </c>
      <c r="W837" s="26">
        <v>44177</v>
      </c>
      <c r="X837" s="4">
        <v>90100.2</v>
      </c>
      <c r="Y837" t="str">
        <f>TRIM(LOWER(Before_Tbl[[#This Row],[Email]]))</f>
        <v>eva.brown@example.com</v>
      </c>
      <c r="Z837" s="2" t="str">
        <f>SUBSTITUTE(Before_Tbl[[#This Row],[Phone]],"-","")</f>
        <v>476921052</v>
      </c>
      <c r="AA837" t="str">
        <f>TRIM(PROPER(Before_Tbl[[#This Row],[Performance_Score]]))</f>
        <v>Good</v>
      </c>
      <c r="AB837" s="2" t="str">
        <f>TRIM(UPPER(Before_Tbl[[#This Row],[Remote_Work]]))</f>
        <v>FALSE</v>
      </c>
    </row>
    <row r="838" spans="1:28" x14ac:dyDescent="0.35">
      <c r="A838" t="s">
        <v>1388</v>
      </c>
      <c r="B838" t="s">
        <v>32</v>
      </c>
      <c r="C838" t="s">
        <v>38</v>
      </c>
      <c r="E838" t="s">
        <v>268</v>
      </c>
      <c r="F838" t="s">
        <v>33</v>
      </c>
      <c r="G838" t="s">
        <v>1389</v>
      </c>
      <c r="H838">
        <v>58877.49</v>
      </c>
      <c r="I838" t="s">
        <v>141</v>
      </c>
      <c r="J838">
        <v>-3651460400</v>
      </c>
      <c r="K838" t="s">
        <v>23</v>
      </c>
      <c r="L838" t="b">
        <v>0</v>
      </c>
      <c r="P838" t="str">
        <f>TRIM(Before_Tbl[[#This Row],[Employee_ID]])</f>
        <v>EMP1836</v>
      </c>
      <c r="Q838" t="str">
        <f>TRIM(PROPER(Before_Tbl[[#This Row],[First_Name]]))</f>
        <v>Eva</v>
      </c>
      <c r="R838" t="str">
        <f>TRIM(PROPER(Before_Tbl[[#This Row],[Last_Name]]))</f>
        <v>Williams</v>
      </c>
      <c r="S838" s="25">
        <f t="shared" si="13"/>
        <v>30</v>
      </c>
      <c r="T838" t="str">
        <f>LEFT(Before_Tbl[[#This Row],[Department_Region]],FIND("-",Before_Tbl[[#This Row],[Department_Region]])-1)</f>
        <v>Cloud Tech</v>
      </c>
      <c r="U838" t="str">
        <f>RIGHT(Before_Tbl[[#This Row],[Department_Region]],LEN(Before_Tbl[[#This Row],[Department_Region]])-FIND("-",Before_Tbl[[#This Row],[Department_Region]]))</f>
        <v>California</v>
      </c>
      <c r="V838" t="str">
        <f>TRIM(PROPER(Before_Tbl[[#This Row],[Status]]))</f>
        <v>Inactive</v>
      </c>
      <c r="W838" s="26">
        <v>43999</v>
      </c>
      <c r="X838" s="4">
        <v>58877.49</v>
      </c>
      <c r="Y838" t="str">
        <f>TRIM(LOWER(Before_Tbl[[#This Row],[Email]]))</f>
        <v>eva.williams@example.com</v>
      </c>
      <c r="Z838" s="2" t="str">
        <f>SUBSTITUTE(Before_Tbl[[#This Row],[Phone]],"-","")</f>
        <v>3651460400</v>
      </c>
      <c r="AA838" t="str">
        <f>TRIM(PROPER(Before_Tbl[[#This Row],[Performance_Score]]))</f>
        <v>Excellent</v>
      </c>
      <c r="AB838" s="2" t="str">
        <f>TRIM(UPPER(Before_Tbl[[#This Row],[Remote_Work]]))</f>
        <v>FALSE</v>
      </c>
    </row>
    <row r="839" spans="1:28" x14ac:dyDescent="0.35">
      <c r="A839" t="s">
        <v>1390</v>
      </c>
      <c r="B839" t="s">
        <v>32</v>
      </c>
      <c r="C839" t="s">
        <v>26</v>
      </c>
      <c r="D839">
        <v>35</v>
      </c>
      <c r="E839" t="s">
        <v>89</v>
      </c>
      <c r="F839" t="s">
        <v>33</v>
      </c>
      <c r="G839" t="s">
        <v>1391</v>
      </c>
      <c r="H839" t="s">
        <v>277</v>
      </c>
      <c r="I839" t="s">
        <v>278</v>
      </c>
      <c r="J839">
        <v>-4247310719</v>
      </c>
      <c r="K839" t="s">
        <v>23</v>
      </c>
      <c r="L839" t="b">
        <v>0</v>
      </c>
      <c r="P839" t="str">
        <f>TRIM(Before_Tbl[[#This Row],[Employee_ID]])</f>
        <v>EMP1837</v>
      </c>
      <c r="Q839" t="str">
        <f>TRIM(PROPER(Before_Tbl[[#This Row],[First_Name]]))</f>
        <v>Eva</v>
      </c>
      <c r="R839" t="str">
        <f>TRIM(PROPER(Before_Tbl[[#This Row],[Last_Name]]))</f>
        <v>Jones</v>
      </c>
      <c r="S839" s="25">
        <f t="shared" si="13"/>
        <v>35</v>
      </c>
      <c r="T839" t="str">
        <f>LEFT(Before_Tbl[[#This Row],[Department_Region]],FIND("-",Before_Tbl[[#This Row],[Department_Region]])-1)</f>
        <v>Admin</v>
      </c>
      <c r="U839" t="str">
        <f>RIGHT(Before_Tbl[[#This Row],[Department_Region]],LEN(Before_Tbl[[#This Row],[Department_Region]])-FIND("-",Before_Tbl[[#This Row],[Department_Region]]))</f>
        <v>Illinois</v>
      </c>
      <c r="V839" t="str">
        <f>TRIM(PROPER(Before_Tbl[[#This Row],[Status]]))</f>
        <v>Inactive</v>
      </c>
      <c r="W839" s="26">
        <v>44394</v>
      </c>
      <c r="X839" s="4"/>
      <c r="Y839" t="str">
        <f>TRIM(LOWER(Before_Tbl[[#This Row],[Email]]))</f>
        <v>eva.jones@example.com</v>
      </c>
      <c r="Z839" s="2" t="str">
        <f>SUBSTITUTE(Before_Tbl[[#This Row],[Phone]],"-","")</f>
        <v>4247310719</v>
      </c>
      <c r="AA839" t="str">
        <f>TRIM(PROPER(Before_Tbl[[#This Row],[Performance_Score]]))</f>
        <v>Excellent</v>
      </c>
      <c r="AB839" s="2" t="str">
        <f>TRIM(UPPER(Before_Tbl[[#This Row],[Remote_Work]]))</f>
        <v>FALSE</v>
      </c>
    </row>
    <row r="840" spans="1:28" x14ac:dyDescent="0.35">
      <c r="A840" t="s">
        <v>1392</v>
      </c>
      <c r="B840" t="s">
        <v>13</v>
      </c>
      <c r="C840" t="s">
        <v>20</v>
      </c>
      <c r="E840" t="s">
        <v>89</v>
      </c>
      <c r="F840" t="s">
        <v>28</v>
      </c>
      <c r="G840" s="1">
        <v>43962</v>
      </c>
      <c r="H840">
        <v>96140.89</v>
      </c>
      <c r="I840" t="s">
        <v>22</v>
      </c>
      <c r="J840">
        <v>-1137984408</v>
      </c>
      <c r="K840" t="s">
        <v>18</v>
      </c>
      <c r="L840" t="b">
        <v>1</v>
      </c>
      <c r="P840" t="str">
        <f>TRIM(Before_Tbl[[#This Row],[Employee_ID]])</f>
        <v>EMP1838</v>
      </c>
      <c r="Q840" t="str">
        <f>TRIM(PROPER(Before_Tbl[[#This Row],[First_Name]]))</f>
        <v>Bob</v>
      </c>
      <c r="R840" t="str">
        <f>TRIM(PROPER(Before_Tbl[[#This Row],[Last_Name]]))</f>
        <v>Brown</v>
      </c>
      <c r="S840" s="25">
        <f t="shared" si="13"/>
        <v>30</v>
      </c>
      <c r="T840" t="str">
        <f>LEFT(Before_Tbl[[#This Row],[Department_Region]],FIND("-",Before_Tbl[[#This Row],[Department_Region]])-1)</f>
        <v>Admin</v>
      </c>
      <c r="U840" t="str">
        <f>RIGHT(Before_Tbl[[#This Row],[Department_Region]],LEN(Before_Tbl[[#This Row],[Department_Region]])-FIND("-",Before_Tbl[[#This Row],[Department_Region]]))</f>
        <v>Illinois</v>
      </c>
      <c r="V840" t="str">
        <f>TRIM(PROPER(Before_Tbl[[#This Row],[Status]]))</f>
        <v>Pending</v>
      </c>
      <c r="W840" s="26">
        <v>43962</v>
      </c>
      <c r="X840" s="4">
        <v>96140.89</v>
      </c>
      <c r="Y840" t="str">
        <f>TRIM(LOWER(Before_Tbl[[#This Row],[Email]]))</f>
        <v>bob.brown@example.com</v>
      </c>
      <c r="Z840" s="2" t="str">
        <f>SUBSTITUTE(Before_Tbl[[#This Row],[Phone]],"-","")</f>
        <v>1137984408</v>
      </c>
      <c r="AA840" t="str">
        <f>TRIM(PROPER(Before_Tbl[[#This Row],[Performance_Score]]))</f>
        <v>Average</v>
      </c>
      <c r="AB840" s="2" t="str">
        <f>TRIM(UPPER(Before_Tbl[[#This Row],[Remote_Work]]))</f>
        <v>TRUE</v>
      </c>
    </row>
    <row r="841" spans="1:28" x14ac:dyDescent="0.35">
      <c r="A841" t="s">
        <v>1393</v>
      </c>
      <c r="B841" t="s">
        <v>54</v>
      </c>
      <c r="C841" t="s">
        <v>26</v>
      </c>
      <c r="D841">
        <v>35</v>
      </c>
      <c r="E841" t="s">
        <v>56</v>
      </c>
      <c r="F841" t="s">
        <v>33</v>
      </c>
      <c r="G841" s="1">
        <v>44317</v>
      </c>
      <c r="H841">
        <v>105956.04</v>
      </c>
      <c r="I841" t="s">
        <v>120</v>
      </c>
      <c r="J841">
        <v>-7123166006</v>
      </c>
      <c r="K841" t="s">
        <v>23</v>
      </c>
      <c r="L841" t="b">
        <v>0</v>
      </c>
      <c r="P841" t="str">
        <f>TRIM(Before_Tbl[[#This Row],[Employee_ID]])</f>
        <v>EMP1839</v>
      </c>
      <c r="Q841" t="str">
        <f>TRIM(PROPER(Before_Tbl[[#This Row],[First_Name]]))</f>
        <v>Charlie</v>
      </c>
      <c r="R841" t="str">
        <f>TRIM(PROPER(Before_Tbl[[#This Row],[Last_Name]]))</f>
        <v>Jones</v>
      </c>
      <c r="S841" s="25">
        <f t="shared" si="13"/>
        <v>35</v>
      </c>
      <c r="T841" t="str">
        <f>LEFT(Before_Tbl[[#This Row],[Department_Region]],FIND("-",Before_Tbl[[#This Row],[Department_Region]])-1)</f>
        <v>DevOps</v>
      </c>
      <c r="U841" t="str">
        <f>RIGHT(Before_Tbl[[#This Row],[Department_Region]],LEN(Before_Tbl[[#This Row],[Department_Region]])-FIND("-",Before_Tbl[[#This Row],[Department_Region]]))</f>
        <v>New York</v>
      </c>
      <c r="V841" t="str">
        <f>TRIM(PROPER(Before_Tbl[[#This Row],[Status]]))</f>
        <v>Inactive</v>
      </c>
      <c r="W841" s="26">
        <v>44317</v>
      </c>
      <c r="X841" s="4">
        <v>105956.04</v>
      </c>
      <c r="Y841" t="str">
        <f>TRIM(LOWER(Before_Tbl[[#This Row],[Email]]))</f>
        <v>charlie.jones@example.com</v>
      </c>
      <c r="Z841" s="2" t="str">
        <f>SUBSTITUTE(Before_Tbl[[#This Row],[Phone]],"-","")</f>
        <v>7123166006</v>
      </c>
      <c r="AA841" t="str">
        <f>TRIM(PROPER(Before_Tbl[[#This Row],[Performance_Score]]))</f>
        <v>Excellent</v>
      </c>
      <c r="AB841" s="2" t="str">
        <f>TRIM(UPPER(Before_Tbl[[#This Row],[Remote_Work]]))</f>
        <v>FALSE</v>
      </c>
    </row>
    <row r="842" spans="1:28" x14ac:dyDescent="0.35">
      <c r="A842" t="s">
        <v>1394</v>
      </c>
      <c r="B842" t="s">
        <v>37</v>
      </c>
      <c r="C842" t="s">
        <v>14</v>
      </c>
      <c r="D842">
        <v>25</v>
      </c>
      <c r="E842" t="s">
        <v>89</v>
      </c>
      <c r="F842" t="s">
        <v>16</v>
      </c>
      <c r="G842" s="1">
        <v>45605</v>
      </c>
      <c r="H842">
        <v>84716.38</v>
      </c>
      <c r="I842" t="s">
        <v>52</v>
      </c>
      <c r="J842">
        <v>-6762090143</v>
      </c>
      <c r="K842" t="s">
        <v>30</v>
      </c>
      <c r="L842" t="b">
        <v>0</v>
      </c>
      <c r="P842" t="str">
        <f>TRIM(Before_Tbl[[#This Row],[Employee_ID]])</f>
        <v>EMP1840</v>
      </c>
      <c r="Q842" t="str">
        <f>TRIM(PROPER(Before_Tbl[[#This Row],[First_Name]]))</f>
        <v>Frank</v>
      </c>
      <c r="R842" t="str">
        <f>TRIM(PROPER(Before_Tbl[[#This Row],[Last_Name]]))</f>
        <v>Davis</v>
      </c>
      <c r="S842" s="25">
        <f t="shared" si="13"/>
        <v>25</v>
      </c>
      <c r="T842" t="str">
        <f>LEFT(Before_Tbl[[#This Row],[Department_Region]],FIND("-",Before_Tbl[[#This Row],[Department_Region]])-1)</f>
        <v>Admin</v>
      </c>
      <c r="U842" t="str">
        <f>RIGHT(Before_Tbl[[#This Row],[Department_Region]],LEN(Before_Tbl[[#This Row],[Department_Region]])-FIND("-",Before_Tbl[[#This Row],[Department_Region]]))</f>
        <v>Illinois</v>
      </c>
      <c r="V842" t="str">
        <f>TRIM(PROPER(Before_Tbl[[#This Row],[Status]]))</f>
        <v>Active</v>
      </c>
      <c r="W842" s="26">
        <v>45605</v>
      </c>
      <c r="X842" s="4">
        <v>84716.38</v>
      </c>
      <c r="Y842" t="str">
        <f>TRIM(LOWER(Before_Tbl[[#This Row],[Email]]))</f>
        <v>frank.davis@example.com</v>
      </c>
      <c r="Z842" s="2" t="str">
        <f>SUBSTITUTE(Before_Tbl[[#This Row],[Phone]],"-","")</f>
        <v>6762090143</v>
      </c>
      <c r="AA842" t="str">
        <f>TRIM(PROPER(Before_Tbl[[#This Row],[Performance_Score]]))</f>
        <v>Good</v>
      </c>
      <c r="AB842" s="2" t="str">
        <f>TRIM(UPPER(Before_Tbl[[#This Row],[Remote_Work]]))</f>
        <v>FALSE</v>
      </c>
    </row>
    <row r="843" spans="1:28" x14ac:dyDescent="0.35">
      <c r="A843" t="s">
        <v>1395</v>
      </c>
      <c r="B843" t="s">
        <v>69</v>
      </c>
      <c r="C843" t="s">
        <v>43</v>
      </c>
      <c r="D843">
        <v>30</v>
      </c>
      <c r="E843" t="s">
        <v>230</v>
      </c>
      <c r="F843" t="s">
        <v>28</v>
      </c>
      <c r="G843" t="s">
        <v>793</v>
      </c>
      <c r="H843">
        <v>61709.83</v>
      </c>
      <c r="I843" t="s">
        <v>83</v>
      </c>
      <c r="J843">
        <v>-7340433699</v>
      </c>
      <c r="K843" t="s">
        <v>30</v>
      </c>
      <c r="L843" t="b">
        <v>1</v>
      </c>
      <c r="P843" t="str">
        <f>TRIM(Before_Tbl[[#This Row],[Employee_ID]])</f>
        <v>EMP1841</v>
      </c>
      <c r="Q843" t="str">
        <f>TRIM(PROPER(Before_Tbl[[#This Row],[First_Name]]))</f>
        <v>Grace</v>
      </c>
      <c r="R843" t="str">
        <f>TRIM(PROPER(Before_Tbl[[#This Row],[Last_Name]]))</f>
        <v>Garcia</v>
      </c>
      <c r="S843" s="25">
        <f t="shared" si="13"/>
        <v>30</v>
      </c>
      <c r="T843" t="str">
        <f>LEFT(Before_Tbl[[#This Row],[Department_Region]],FIND("-",Before_Tbl[[#This Row],[Department_Region]])-1)</f>
        <v>DevOps</v>
      </c>
      <c r="U843" t="str">
        <f>RIGHT(Before_Tbl[[#This Row],[Department_Region]],LEN(Before_Tbl[[#This Row],[Department_Region]])-FIND("-",Before_Tbl[[#This Row],[Department_Region]]))</f>
        <v>Florida</v>
      </c>
      <c r="V843" t="str">
        <f>TRIM(PROPER(Before_Tbl[[#This Row],[Status]]))</f>
        <v>Pending</v>
      </c>
      <c r="W843" s="26">
        <v>45136</v>
      </c>
      <c r="X843" s="4">
        <v>61709.83</v>
      </c>
      <c r="Y843" t="str">
        <f>TRIM(LOWER(Before_Tbl[[#This Row],[Email]]))</f>
        <v>grace.garcia@example.com</v>
      </c>
      <c r="Z843" s="2" t="str">
        <f>SUBSTITUTE(Before_Tbl[[#This Row],[Phone]],"-","")</f>
        <v>7340433699</v>
      </c>
      <c r="AA843" t="str">
        <f>TRIM(PROPER(Before_Tbl[[#This Row],[Performance_Score]]))</f>
        <v>Good</v>
      </c>
      <c r="AB843" s="2" t="str">
        <f>TRIM(UPPER(Before_Tbl[[#This Row],[Remote_Work]]))</f>
        <v>TRUE</v>
      </c>
    </row>
    <row r="844" spans="1:28" x14ac:dyDescent="0.35">
      <c r="A844" t="s">
        <v>1396</v>
      </c>
      <c r="B844" t="s">
        <v>37</v>
      </c>
      <c r="C844" t="s">
        <v>122</v>
      </c>
      <c r="D844">
        <v>25</v>
      </c>
      <c r="E844" t="s">
        <v>15</v>
      </c>
      <c r="F844" t="s">
        <v>16</v>
      </c>
      <c r="G844" t="s">
        <v>1397</v>
      </c>
      <c r="H844">
        <v>61732.03</v>
      </c>
      <c r="I844" t="s">
        <v>137</v>
      </c>
      <c r="J844">
        <v>-9687304518</v>
      </c>
      <c r="K844" t="s">
        <v>18</v>
      </c>
      <c r="L844" t="b">
        <v>1</v>
      </c>
      <c r="P844" t="str">
        <f>TRIM(Before_Tbl[[#This Row],[Employee_ID]])</f>
        <v>EMP1842</v>
      </c>
      <c r="Q844" t="str">
        <f>TRIM(PROPER(Before_Tbl[[#This Row],[First_Name]]))</f>
        <v>Frank</v>
      </c>
      <c r="R844" t="str">
        <f>TRIM(PROPER(Before_Tbl[[#This Row],[Last_Name]]))</f>
        <v>Smith</v>
      </c>
      <c r="S844" s="25">
        <f t="shared" si="13"/>
        <v>25</v>
      </c>
      <c r="T844" t="str">
        <f>LEFT(Before_Tbl[[#This Row],[Department_Region]],FIND("-",Before_Tbl[[#This Row],[Department_Region]])-1)</f>
        <v>DevOps</v>
      </c>
      <c r="U844" t="str">
        <f>RIGHT(Before_Tbl[[#This Row],[Department_Region]],LEN(Before_Tbl[[#This Row],[Department_Region]])-FIND("-",Before_Tbl[[#This Row],[Department_Region]]))</f>
        <v>California</v>
      </c>
      <c r="V844" t="str">
        <f>TRIM(PROPER(Before_Tbl[[#This Row],[Status]]))</f>
        <v>Active</v>
      </c>
      <c r="W844" s="26">
        <v>43938</v>
      </c>
      <c r="X844" s="4">
        <v>61732.03</v>
      </c>
      <c r="Y844" t="str">
        <f>TRIM(LOWER(Before_Tbl[[#This Row],[Email]]))</f>
        <v>frank.smith@example.com</v>
      </c>
      <c r="Z844" s="2" t="str">
        <f>SUBSTITUTE(Before_Tbl[[#This Row],[Phone]],"-","")</f>
        <v>9687304518</v>
      </c>
      <c r="AA844" t="str">
        <f>TRIM(PROPER(Before_Tbl[[#This Row],[Performance_Score]]))</f>
        <v>Average</v>
      </c>
      <c r="AB844" s="2" t="str">
        <f>TRIM(UPPER(Before_Tbl[[#This Row],[Remote_Work]]))</f>
        <v>TRUE</v>
      </c>
    </row>
    <row r="845" spans="1:28" x14ac:dyDescent="0.35">
      <c r="A845" t="s">
        <v>1398</v>
      </c>
      <c r="B845" t="s">
        <v>32</v>
      </c>
      <c r="C845" t="s">
        <v>14</v>
      </c>
      <c r="D845">
        <v>40</v>
      </c>
      <c r="E845" t="s">
        <v>78</v>
      </c>
      <c r="F845" t="s">
        <v>16</v>
      </c>
      <c r="G845" t="s">
        <v>1399</v>
      </c>
      <c r="H845">
        <v>97845.7</v>
      </c>
      <c r="I845" t="s">
        <v>35</v>
      </c>
      <c r="J845">
        <v>-5778255881</v>
      </c>
      <c r="K845" t="s">
        <v>30</v>
      </c>
      <c r="L845" t="b">
        <v>1</v>
      </c>
      <c r="P845" t="str">
        <f>TRIM(Before_Tbl[[#This Row],[Employee_ID]])</f>
        <v>EMP1843</v>
      </c>
      <c r="Q845" t="str">
        <f>TRIM(PROPER(Before_Tbl[[#This Row],[First_Name]]))</f>
        <v>Eva</v>
      </c>
      <c r="R845" t="str">
        <f>TRIM(PROPER(Before_Tbl[[#This Row],[Last_Name]]))</f>
        <v>Davis</v>
      </c>
      <c r="S845" s="25">
        <f t="shared" si="13"/>
        <v>40</v>
      </c>
      <c r="T845" t="str">
        <f>LEFT(Before_Tbl[[#This Row],[Department_Region]],FIND("-",Before_Tbl[[#This Row],[Department_Region]])-1)</f>
        <v>DevOps</v>
      </c>
      <c r="U845" t="str">
        <f>RIGHT(Before_Tbl[[#This Row],[Department_Region]],LEN(Before_Tbl[[#This Row],[Department_Region]])-FIND("-",Before_Tbl[[#This Row],[Department_Region]]))</f>
        <v>Illinois</v>
      </c>
      <c r="V845" t="str">
        <f>TRIM(PROPER(Before_Tbl[[#This Row],[Status]]))</f>
        <v>Active</v>
      </c>
      <c r="W845" s="26">
        <v>44608</v>
      </c>
      <c r="X845" s="4">
        <v>97845.7</v>
      </c>
      <c r="Y845" t="str">
        <f>TRIM(LOWER(Before_Tbl[[#This Row],[Email]]))</f>
        <v>eva.davis@example.com</v>
      </c>
      <c r="Z845" s="2" t="str">
        <f>SUBSTITUTE(Before_Tbl[[#This Row],[Phone]],"-","")</f>
        <v>5778255881</v>
      </c>
      <c r="AA845" t="str">
        <f>TRIM(PROPER(Before_Tbl[[#This Row],[Performance_Score]]))</f>
        <v>Good</v>
      </c>
      <c r="AB845" s="2" t="str">
        <f>TRIM(UPPER(Before_Tbl[[#This Row],[Remote_Work]]))</f>
        <v>TRUE</v>
      </c>
    </row>
    <row r="846" spans="1:28" x14ac:dyDescent="0.35">
      <c r="A846" t="s">
        <v>1400</v>
      </c>
      <c r="B846" t="s">
        <v>32</v>
      </c>
      <c r="C846" t="s">
        <v>26</v>
      </c>
      <c r="D846">
        <v>30</v>
      </c>
      <c r="E846" t="s">
        <v>74</v>
      </c>
      <c r="F846" t="s">
        <v>16</v>
      </c>
      <c r="G846" t="s">
        <v>1401</v>
      </c>
      <c r="H846">
        <v>114905.58</v>
      </c>
      <c r="I846" t="s">
        <v>278</v>
      </c>
      <c r="J846">
        <v>-5562965753</v>
      </c>
      <c r="K846" t="s">
        <v>41</v>
      </c>
      <c r="L846" t="b">
        <v>0</v>
      </c>
      <c r="P846" t="str">
        <f>TRIM(Before_Tbl[[#This Row],[Employee_ID]])</f>
        <v>EMP1844</v>
      </c>
      <c r="Q846" t="str">
        <f>TRIM(PROPER(Before_Tbl[[#This Row],[First_Name]]))</f>
        <v>Eva</v>
      </c>
      <c r="R846" t="str">
        <f>TRIM(PROPER(Before_Tbl[[#This Row],[Last_Name]]))</f>
        <v>Jones</v>
      </c>
      <c r="S846" s="25">
        <f t="shared" si="13"/>
        <v>30</v>
      </c>
      <c r="T846" t="str">
        <f>LEFT(Before_Tbl[[#This Row],[Department_Region]],FIND("-",Before_Tbl[[#This Row],[Department_Region]])-1)</f>
        <v>Sales</v>
      </c>
      <c r="U846" t="str">
        <f>RIGHT(Before_Tbl[[#This Row],[Department_Region]],LEN(Before_Tbl[[#This Row],[Department_Region]])-FIND("-",Before_Tbl[[#This Row],[Department_Region]]))</f>
        <v>Florida</v>
      </c>
      <c r="V846" t="str">
        <f>TRIM(PROPER(Before_Tbl[[#This Row],[Status]]))</f>
        <v>Active</v>
      </c>
      <c r="W846" s="26">
        <v>44422</v>
      </c>
      <c r="X846" s="4">
        <v>114905.58</v>
      </c>
      <c r="Y846" t="str">
        <f>TRIM(LOWER(Before_Tbl[[#This Row],[Email]]))</f>
        <v>eva.jones@example.com</v>
      </c>
      <c r="Z846" s="2" t="str">
        <f>SUBSTITUTE(Before_Tbl[[#This Row],[Phone]],"-","")</f>
        <v>5562965753</v>
      </c>
      <c r="AA846" t="str">
        <f>TRIM(PROPER(Before_Tbl[[#This Row],[Performance_Score]]))</f>
        <v>Poor</v>
      </c>
      <c r="AB846" s="2" t="str">
        <f>TRIM(UPPER(Before_Tbl[[#This Row],[Remote_Work]]))</f>
        <v>FALSE</v>
      </c>
    </row>
    <row r="847" spans="1:28" x14ac:dyDescent="0.35">
      <c r="A847" t="s">
        <v>1402</v>
      </c>
      <c r="B847" t="s">
        <v>37</v>
      </c>
      <c r="C847" t="s">
        <v>26</v>
      </c>
      <c r="E847" t="s">
        <v>237</v>
      </c>
      <c r="F847" t="s">
        <v>16</v>
      </c>
      <c r="G847" t="s">
        <v>1364</v>
      </c>
      <c r="H847">
        <v>94619.69</v>
      </c>
      <c r="I847" t="s">
        <v>47</v>
      </c>
      <c r="J847">
        <v>-2786561941</v>
      </c>
      <c r="K847" t="s">
        <v>30</v>
      </c>
      <c r="L847" t="b">
        <v>1</v>
      </c>
      <c r="P847" t="str">
        <f>TRIM(Before_Tbl[[#This Row],[Employee_ID]])</f>
        <v>EMP1845</v>
      </c>
      <c r="Q847" t="str">
        <f>TRIM(PROPER(Before_Tbl[[#This Row],[First_Name]]))</f>
        <v>Frank</v>
      </c>
      <c r="R847" t="str">
        <f>TRIM(PROPER(Before_Tbl[[#This Row],[Last_Name]]))</f>
        <v>Jones</v>
      </c>
      <c r="S847" s="25">
        <f t="shared" si="13"/>
        <v>30</v>
      </c>
      <c r="T847" t="str">
        <f>LEFT(Before_Tbl[[#This Row],[Department_Region]],FIND("-",Before_Tbl[[#This Row],[Department_Region]])-1)</f>
        <v>DevOps</v>
      </c>
      <c r="U847" t="str">
        <f>RIGHT(Before_Tbl[[#This Row],[Department_Region]],LEN(Before_Tbl[[#This Row],[Department_Region]])-FIND("-",Before_Tbl[[#This Row],[Department_Region]]))</f>
        <v>Texas</v>
      </c>
      <c r="V847" t="str">
        <f>TRIM(PROPER(Before_Tbl[[#This Row],[Status]]))</f>
        <v>Active</v>
      </c>
      <c r="W847" s="26">
        <v>44919</v>
      </c>
      <c r="X847" s="4">
        <v>94619.69</v>
      </c>
      <c r="Y847" t="str">
        <f>TRIM(LOWER(Before_Tbl[[#This Row],[Email]]))</f>
        <v>frank.jones@example.com</v>
      </c>
      <c r="Z847" s="2" t="str">
        <f>SUBSTITUTE(Before_Tbl[[#This Row],[Phone]],"-","")</f>
        <v>2786561941</v>
      </c>
      <c r="AA847" t="str">
        <f>TRIM(PROPER(Before_Tbl[[#This Row],[Performance_Score]]))</f>
        <v>Good</v>
      </c>
      <c r="AB847" s="2" t="str">
        <f>TRIM(UPPER(Before_Tbl[[#This Row],[Remote_Work]]))</f>
        <v>TRUE</v>
      </c>
    </row>
    <row r="848" spans="1:28" x14ac:dyDescent="0.35">
      <c r="A848" t="s">
        <v>1403</v>
      </c>
      <c r="B848" t="s">
        <v>69</v>
      </c>
      <c r="C848" t="s">
        <v>55</v>
      </c>
      <c r="E848" t="s">
        <v>15</v>
      </c>
      <c r="F848" t="s">
        <v>33</v>
      </c>
      <c r="G848" s="1">
        <v>44384</v>
      </c>
      <c r="H848">
        <v>68696.149999999994</v>
      </c>
      <c r="I848" t="s">
        <v>127</v>
      </c>
      <c r="J848">
        <v>-5577820581</v>
      </c>
      <c r="K848" t="s">
        <v>30</v>
      </c>
      <c r="L848" t="b">
        <v>0</v>
      </c>
      <c r="P848" t="str">
        <f>TRIM(Before_Tbl[[#This Row],[Employee_ID]])</f>
        <v>EMP1846</v>
      </c>
      <c r="Q848" t="str">
        <f>TRIM(PROPER(Before_Tbl[[#This Row],[First_Name]]))</f>
        <v>Grace</v>
      </c>
      <c r="R848" t="str">
        <f>TRIM(PROPER(Before_Tbl[[#This Row],[Last_Name]]))</f>
        <v>Johnson</v>
      </c>
      <c r="S848" s="25">
        <f t="shared" si="13"/>
        <v>30</v>
      </c>
      <c r="T848" t="str">
        <f>LEFT(Before_Tbl[[#This Row],[Department_Region]],FIND("-",Before_Tbl[[#This Row],[Department_Region]])-1)</f>
        <v>DevOps</v>
      </c>
      <c r="U848" t="str">
        <f>RIGHT(Before_Tbl[[#This Row],[Department_Region]],LEN(Before_Tbl[[#This Row],[Department_Region]])-FIND("-",Before_Tbl[[#This Row],[Department_Region]]))</f>
        <v>California</v>
      </c>
      <c r="V848" t="str">
        <f>TRIM(PROPER(Before_Tbl[[#This Row],[Status]]))</f>
        <v>Inactive</v>
      </c>
      <c r="W848" s="26">
        <v>44384</v>
      </c>
      <c r="X848" s="4">
        <v>68696.149999999994</v>
      </c>
      <c r="Y848" t="str">
        <f>TRIM(LOWER(Before_Tbl[[#This Row],[Email]]))</f>
        <v>grace.johnson@example.com</v>
      </c>
      <c r="Z848" s="2" t="str">
        <f>SUBSTITUTE(Before_Tbl[[#This Row],[Phone]],"-","")</f>
        <v>5577820581</v>
      </c>
      <c r="AA848" t="str">
        <f>TRIM(PROPER(Before_Tbl[[#This Row],[Performance_Score]]))</f>
        <v>Good</v>
      </c>
      <c r="AB848" s="2" t="str">
        <f>TRIM(UPPER(Before_Tbl[[#This Row],[Remote_Work]]))</f>
        <v>FALSE</v>
      </c>
    </row>
    <row r="849" spans="1:28" x14ac:dyDescent="0.35">
      <c r="A849" t="s">
        <v>1404</v>
      </c>
      <c r="B849" t="s">
        <v>69</v>
      </c>
      <c r="C849" t="s">
        <v>55</v>
      </c>
      <c r="D849">
        <v>40</v>
      </c>
      <c r="E849" t="s">
        <v>329</v>
      </c>
      <c r="F849" t="s">
        <v>16</v>
      </c>
      <c r="G849" s="1">
        <v>45628</v>
      </c>
      <c r="H849">
        <v>97032.29</v>
      </c>
      <c r="I849" t="s">
        <v>127</v>
      </c>
      <c r="J849">
        <v>-9582923615</v>
      </c>
      <c r="K849" t="s">
        <v>23</v>
      </c>
      <c r="L849" t="b">
        <v>0</v>
      </c>
      <c r="P849" t="str">
        <f>TRIM(Before_Tbl[[#This Row],[Employee_ID]])</f>
        <v>EMP1847</v>
      </c>
      <c r="Q849" t="str">
        <f>TRIM(PROPER(Before_Tbl[[#This Row],[First_Name]]))</f>
        <v>Grace</v>
      </c>
      <c r="R849" t="str">
        <f>TRIM(PROPER(Before_Tbl[[#This Row],[Last_Name]]))</f>
        <v>Johnson</v>
      </c>
      <c r="S849" s="25">
        <f t="shared" si="13"/>
        <v>40</v>
      </c>
      <c r="T849" t="str">
        <f>LEFT(Before_Tbl[[#This Row],[Department_Region]],FIND("-",Before_Tbl[[#This Row],[Department_Region]])-1)</f>
        <v>DevOps</v>
      </c>
      <c r="U849" t="str">
        <f>RIGHT(Before_Tbl[[#This Row],[Department_Region]],LEN(Before_Tbl[[#This Row],[Department_Region]])-FIND("-",Before_Tbl[[#This Row],[Department_Region]]))</f>
        <v>Nevada</v>
      </c>
      <c r="V849" t="str">
        <f>TRIM(PROPER(Before_Tbl[[#This Row],[Status]]))</f>
        <v>Active</v>
      </c>
      <c r="W849" s="26">
        <v>45628</v>
      </c>
      <c r="X849" s="4">
        <v>97032.29</v>
      </c>
      <c r="Y849" t="str">
        <f>TRIM(LOWER(Before_Tbl[[#This Row],[Email]]))</f>
        <v>grace.johnson@example.com</v>
      </c>
      <c r="Z849" s="2" t="str">
        <f>SUBSTITUTE(Before_Tbl[[#This Row],[Phone]],"-","")</f>
        <v>9582923615</v>
      </c>
      <c r="AA849" t="str">
        <f>TRIM(PROPER(Before_Tbl[[#This Row],[Performance_Score]]))</f>
        <v>Excellent</v>
      </c>
      <c r="AB849" s="2" t="str">
        <f>TRIM(UPPER(Before_Tbl[[#This Row],[Remote_Work]]))</f>
        <v>FALSE</v>
      </c>
    </row>
    <row r="850" spans="1:28" x14ac:dyDescent="0.35">
      <c r="A850" t="s">
        <v>1405</v>
      </c>
      <c r="B850" t="s">
        <v>37</v>
      </c>
      <c r="C850" t="s">
        <v>14</v>
      </c>
      <c r="D850">
        <v>30</v>
      </c>
      <c r="E850" t="s">
        <v>192</v>
      </c>
      <c r="F850" t="s">
        <v>16</v>
      </c>
      <c r="G850" s="1">
        <v>45179</v>
      </c>
      <c r="H850">
        <v>50593.33</v>
      </c>
      <c r="I850" t="s">
        <v>52</v>
      </c>
      <c r="J850">
        <v>-1880819047</v>
      </c>
      <c r="K850" t="s">
        <v>23</v>
      </c>
      <c r="L850" t="b">
        <v>1</v>
      </c>
      <c r="P850" t="str">
        <f>TRIM(Before_Tbl[[#This Row],[Employee_ID]])</f>
        <v>EMP1848</v>
      </c>
      <c r="Q850" t="str">
        <f>TRIM(PROPER(Before_Tbl[[#This Row],[First_Name]]))</f>
        <v>Frank</v>
      </c>
      <c r="R850" t="str">
        <f>TRIM(PROPER(Before_Tbl[[#This Row],[Last_Name]]))</f>
        <v>Davis</v>
      </c>
      <c r="S850" s="25">
        <f t="shared" si="13"/>
        <v>30</v>
      </c>
      <c r="T850" t="str">
        <f>LEFT(Before_Tbl[[#This Row],[Department_Region]],FIND("-",Before_Tbl[[#This Row],[Department_Region]])-1)</f>
        <v>HR</v>
      </c>
      <c r="U850" t="str">
        <f>RIGHT(Before_Tbl[[#This Row],[Department_Region]],LEN(Before_Tbl[[#This Row],[Department_Region]])-FIND("-",Before_Tbl[[#This Row],[Department_Region]]))</f>
        <v>Illinois</v>
      </c>
      <c r="V850" t="str">
        <f>TRIM(PROPER(Before_Tbl[[#This Row],[Status]]))</f>
        <v>Active</v>
      </c>
      <c r="W850" s="26">
        <v>45179</v>
      </c>
      <c r="X850" s="4">
        <v>50593.33</v>
      </c>
      <c r="Y850" t="str">
        <f>TRIM(LOWER(Before_Tbl[[#This Row],[Email]]))</f>
        <v>frank.davis@example.com</v>
      </c>
      <c r="Z850" s="2" t="str">
        <f>SUBSTITUTE(Before_Tbl[[#This Row],[Phone]],"-","")</f>
        <v>1880819047</v>
      </c>
      <c r="AA850" t="str">
        <f>TRIM(PROPER(Before_Tbl[[#This Row],[Performance_Score]]))</f>
        <v>Excellent</v>
      </c>
      <c r="AB850" s="2" t="str">
        <f>TRIM(UPPER(Before_Tbl[[#This Row],[Remote_Work]]))</f>
        <v>TRUE</v>
      </c>
    </row>
    <row r="851" spans="1:28" x14ac:dyDescent="0.35">
      <c r="A851" t="s">
        <v>1406</v>
      </c>
      <c r="B851" t="s">
        <v>69</v>
      </c>
      <c r="C851" t="s">
        <v>92</v>
      </c>
      <c r="D851">
        <v>25</v>
      </c>
      <c r="E851" t="s">
        <v>44</v>
      </c>
      <c r="F851" t="s">
        <v>28</v>
      </c>
      <c r="G851" s="1">
        <v>44599</v>
      </c>
      <c r="H851">
        <v>74606.149999999994</v>
      </c>
      <c r="I851" t="s">
        <v>168</v>
      </c>
      <c r="J851">
        <v>-2357155867</v>
      </c>
      <c r="K851" t="s">
        <v>30</v>
      </c>
      <c r="L851" t="b">
        <v>1</v>
      </c>
      <c r="P851" t="str">
        <f>TRIM(Before_Tbl[[#This Row],[Employee_ID]])</f>
        <v>EMP1849</v>
      </c>
      <c r="Q851" t="str">
        <f>TRIM(PROPER(Before_Tbl[[#This Row],[First_Name]]))</f>
        <v>Grace</v>
      </c>
      <c r="R851" t="str">
        <f>TRIM(PROPER(Before_Tbl[[#This Row],[Last_Name]]))</f>
        <v>Miller</v>
      </c>
      <c r="S851" s="25">
        <f t="shared" si="13"/>
        <v>25</v>
      </c>
      <c r="T851" t="str">
        <f>LEFT(Before_Tbl[[#This Row],[Department_Region]],FIND("-",Before_Tbl[[#This Row],[Department_Region]])-1)</f>
        <v>Sales</v>
      </c>
      <c r="U851" t="str">
        <f>RIGHT(Before_Tbl[[#This Row],[Department_Region]],LEN(Before_Tbl[[#This Row],[Department_Region]])-FIND("-",Before_Tbl[[#This Row],[Department_Region]]))</f>
        <v>Texas</v>
      </c>
      <c r="V851" t="str">
        <f>TRIM(PROPER(Before_Tbl[[#This Row],[Status]]))</f>
        <v>Pending</v>
      </c>
      <c r="W851" s="26">
        <v>44599</v>
      </c>
      <c r="X851" s="4">
        <v>74606.149999999994</v>
      </c>
      <c r="Y851" t="str">
        <f>TRIM(LOWER(Before_Tbl[[#This Row],[Email]]))</f>
        <v>grace.miller@example.com</v>
      </c>
      <c r="Z851" s="2" t="str">
        <f>SUBSTITUTE(Before_Tbl[[#This Row],[Phone]],"-","")</f>
        <v>2357155867</v>
      </c>
      <c r="AA851" t="str">
        <f>TRIM(PROPER(Before_Tbl[[#This Row],[Performance_Score]]))</f>
        <v>Good</v>
      </c>
      <c r="AB851" s="2" t="str">
        <f>TRIM(UPPER(Before_Tbl[[#This Row],[Remote_Work]]))</f>
        <v>TRUE</v>
      </c>
    </row>
    <row r="852" spans="1:28" x14ac:dyDescent="0.35">
      <c r="A852" t="s">
        <v>1407</v>
      </c>
      <c r="B852" t="s">
        <v>32</v>
      </c>
      <c r="C852" t="s">
        <v>14</v>
      </c>
      <c r="D852">
        <v>30</v>
      </c>
      <c r="E852" t="s">
        <v>159</v>
      </c>
      <c r="F852" t="s">
        <v>28</v>
      </c>
      <c r="G852" s="1">
        <v>44019</v>
      </c>
      <c r="H852">
        <v>53981.73</v>
      </c>
      <c r="I852" t="s">
        <v>35</v>
      </c>
      <c r="J852">
        <v>-6395613722</v>
      </c>
      <c r="K852" t="s">
        <v>18</v>
      </c>
      <c r="L852" t="b">
        <v>0</v>
      </c>
      <c r="P852" t="str">
        <f>TRIM(Before_Tbl[[#This Row],[Employee_ID]])</f>
        <v>EMP1850</v>
      </c>
      <c r="Q852" t="str">
        <f>TRIM(PROPER(Before_Tbl[[#This Row],[First_Name]]))</f>
        <v>Eva</v>
      </c>
      <c r="R852" t="str">
        <f>TRIM(PROPER(Before_Tbl[[#This Row],[Last_Name]]))</f>
        <v>Davis</v>
      </c>
      <c r="S852" s="25">
        <f t="shared" si="13"/>
        <v>30</v>
      </c>
      <c r="T852" t="str">
        <f>LEFT(Before_Tbl[[#This Row],[Department_Region]],FIND("-",Before_Tbl[[#This Row],[Department_Region]])-1)</f>
        <v>Cloud Tech</v>
      </c>
      <c r="U852" t="str">
        <f>RIGHT(Before_Tbl[[#This Row],[Department_Region]],LEN(Before_Tbl[[#This Row],[Department_Region]])-FIND("-",Before_Tbl[[#This Row],[Department_Region]]))</f>
        <v>Texas</v>
      </c>
      <c r="V852" t="str">
        <f>TRIM(PROPER(Before_Tbl[[#This Row],[Status]]))</f>
        <v>Pending</v>
      </c>
      <c r="W852" s="26">
        <v>44019</v>
      </c>
      <c r="X852" s="4">
        <v>53981.73</v>
      </c>
      <c r="Y852" t="str">
        <f>TRIM(LOWER(Before_Tbl[[#This Row],[Email]]))</f>
        <v>eva.davis@example.com</v>
      </c>
      <c r="Z852" s="2" t="str">
        <f>SUBSTITUTE(Before_Tbl[[#This Row],[Phone]],"-","")</f>
        <v>6395613722</v>
      </c>
      <c r="AA852" t="str">
        <f>TRIM(PROPER(Before_Tbl[[#This Row],[Performance_Score]]))</f>
        <v>Average</v>
      </c>
      <c r="AB852" s="2" t="str">
        <f>TRIM(UPPER(Before_Tbl[[#This Row],[Remote_Work]]))</f>
        <v>FALSE</v>
      </c>
    </row>
    <row r="853" spans="1:28" x14ac:dyDescent="0.35">
      <c r="A853" t="s">
        <v>1408</v>
      </c>
      <c r="B853" t="s">
        <v>59</v>
      </c>
      <c r="C853" t="s">
        <v>55</v>
      </c>
      <c r="E853" t="s">
        <v>237</v>
      </c>
      <c r="F853" t="s">
        <v>28</v>
      </c>
      <c r="G853" s="1">
        <v>43870</v>
      </c>
      <c r="H853">
        <v>56047.05</v>
      </c>
      <c r="I853" t="s">
        <v>217</v>
      </c>
      <c r="J853">
        <v>-817214363</v>
      </c>
      <c r="K853" t="s">
        <v>23</v>
      </c>
      <c r="L853" t="b">
        <v>1</v>
      </c>
      <c r="P853" t="str">
        <f>TRIM(Before_Tbl[[#This Row],[Employee_ID]])</f>
        <v>EMP1851</v>
      </c>
      <c r="Q853" t="str">
        <f>TRIM(PROPER(Before_Tbl[[#This Row],[First_Name]]))</f>
        <v>David</v>
      </c>
      <c r="R853" t="str">
        <f>TRIM(PROPER(Before_Tbl[[#This Row],[Last_Name]]))</f>
        <v>Johnson</v>
      </c>
      <c r="S853" s="25">
        <f t="shared" si="13"/>
        <v>30</v>
      </c>
      <c r="T853" t="str">
        <f>LEFT(Before_Tbl[[#This Row],[Department_Region]],FIND("-",Before_Tbl[[#This Row],[Department_Region]])-1)</f>
        <v>DevOps</v>
      </c>
      <c r="U853" t="str">
        <f>RIGHT(Before_Tbl[[#This Row],[Department_Region]],LEN(Before_Tbl[[#This Row],[Department_Region]])-FIND("-",Before_Tbl[[#This Row],[Department_Region]]))</f>
        <v>Texas</v>
      </c>
      <c r="V853" t="str">
        <f>TRIM(PROPER(Before_Tbl[[#This Row],[Status]]))</f>
        <v>Pending</v>
      </c>
      <c r="W853" s="26">
        <v>43870</v>
      </c>
      <c r="X853" s="4">
        <v>56047.05</v>
      </c>
      <c r="Y853" t="str">
        <f>TRIM(LOWER(Before_Tbl[[#This Row],[Email]]))</f>
        <v>david.johnson@example.com</v>
      </c>
      <c r="Z853" s="2" t="str">
        <f>SUBSTITUTE(Before_Tbl[[#This Row],[Phone]],"-","")</f>
        <v>817214363</v>
      </c>
      <c r="AA853" t="str">
        <f>TRIM(PROPER(Before_Tbl[[#This Row],[Performance_Score]]))</f>
        <v>Excellent</v>
      </c>
      <c r="AB853" s="2" t="str">
        <f>TRIM(UPPER(Before_Tbl[[#This Row],[Remote_Work]]))</f>
        <v>TRUE</v>
      </c>
    </row>
    <row r="854" spans="1:28" x14ac:dyDescent="0.35">
      <c r="A854" t="s">
        <v>1409</v>
      </c>
      <c r="B854" t="s">
        <v>69</v>
      </c>
      <c r="C854" t="s">
        <v>26</v>
      </c>
      <c r="E854" t="s">
        <v>103</v>
      </c>
      <c r="F854" t="s">
        <v>28</v>
      </c>
      <c r="G854" s="1">
        <v>44531</v>
      </c>
      <c r="H854">
        <v>67733.5</v>
      </c>
      <c r="I854" t="s">
        <v>76</v>
      </c>
      <c r="J854">
        <v>-3813000412</v>
      </c>
      <c r="K854" t="s">
        <v>18</v>
      </c>
      <c r="L854" t="b">
        <v>0</v>
      </c>
      <c r="P854" t="str">
        <f>TRIM(Before_Tbl[[#This Row],[Employee_ID]])</f>
        <v>EMP1852</v>
      </c>
      <c r="Q854" t="str">
        <f>TRIM(PROPER(Before_Tbl[[#This Row],[First_Name]]))</f>
        <v>Grace</v>
      </c>
      <c r="R854" t="str">
        <f>TRIM(PROPER(Before_Tbl[[#This Row],[Last_Name]]))</f>
        <v>Jones</v>
      </c>
      <c r="S854" s="25">
        <f t="shared" si="13"/>
        <v>30</v>
      </c>
      <c r="T854" t="str">
        <f>LEFT(Before_Tbl[[#This Row],[Department_Region]],FIND("-",Before_Tbl[[#This Row],[Department_Region]])-1)</f>
        <v>Admin</v>
      </c>
      <c r="U854" t="str">
        <f>RIGHT(Before_Tbl[[#This Row],[Department_Region]],LEN(Before_Tbl[[#This Row],[Department_Region]])-FIND("-",Before_Tbl[[#This Row],[Department_Region]]))</f>
        <v>Texas</v>
      </c>
      <c r="V854" t="str">
        <f>TRIM(PROPER(Before_Tbl[[#This Row],[Status]]))</f>
        <v>Pending</v>
      </c>
      <c r="W854" s="26">
        <v>44531</v>
      </c>
      <c r="X854" s="4">
        <v>67733.5</v>
      </c>
      <c r="Y854" t="str">
        <f>TRIM(LOWER(Before_Tbl[[#This Row],[Email]]))</f>
        <v>grace.jones@example.com</v>
      </c>
      <c r="Z854" s="2" t="str">
        <f>SUBSTITUTE(Before_Tbl[[#This Row],[Phone]],"-","")</f>
        <v>3813000412</v>
      </c>
      <c r="AA854" t="str">
        <f>TRIM(PROPER(Before_Tbl[[#This Row],[Performance_Score]]))</f>
        <v>Average</v>
      </c>
      <c r="AB854" s="2" t="str">
        <f>TRIM(UPPER(Before_Tbl[[#This Row],[Remote_Work]]))</f>
        <v>FALSE</v>
      </c>
    </row>
    <row r="855" spans="1:28" x14ac:dyDescent="0.35">
      <c r="A855" t="s">
        <v>1410</v>
      </c>
      <c r="B855" t="s">
        <v>13</v>
      </c>
      <c r="C855" t="s">
        <v>38</v>
      </c>
      <c r="D855">
        <v>40</v>
      </c>
      <c r="E855" t="s">
        <v>212</v>
      </c>
      <c r="F855" t="s">
        <v>28</v>
      </c>
      <c r="G855" t="s">
        <v>592</v>
      </c>
      <c r="H855">
        <v>103891.64</v>
      </c>
      <c r="I855" t="s">
        <v>144</v>
      </c>
      <c r="J855">
        <v>-2114716559</v>
      </c>
      <c r="K855" t="s">
        <v>30</v>
      </c>
      <c r="L855" t="b">
        <v>1</v>
      </c>
      <c r="P855" t="str">
        <f>TRIM(Before_Tbl[[#This Row],[Employee_ID]])</f>
        <v>EMP1853</v>
      </c>
      <c r="Q855" t="str">
        <f>TRIM(PROPER(Before_Tbl[[#This Row],[First_Name]]))</f>
        <v>Bob</v>
      </c>
      <c r="R855" t="str">
        <f>TRIM(PROPER(Before_Tbl[[#This Row],[Last_Name]]))</f>
        <v>Williams</v>
      </c>
      <c r="S855" s="25">
        <f t="shared" si="13"/>
        <v>40</v>
      </c>
      <c r="T855" t="str">
        <f>LEFT(Before_Tbl[[#This Row],[Department_Region]],FIND("-",Before_Tbl[[#This Row],[Department_Region]])-1)</f>
        <v>HR</v>
      </c>
      <c r="U855" t="str">
        <f>RIGHT(Before_Tbl[[#This Row],[Department_Region]],LEN(Before_Tbl[[#This Row],[Department_Region]])-FIND("-",Before_Tbl[[#This Row],[Department_Region]]))</f>
        <v>Florida</v>
      </c>
      <c r="V855" t="str">
        <f>TRIM(PROPER(Before_Tbl[[#This Row],[Status]]))</f>
        <v>Pending</v>
      </c>
      <c r="W855" s="26">
        <v>45198</v>
      </c>
      <c r="X855" s="4">
        <v>103891.64</v>
      </c>
      <c r="Y855" t="str">
        <f>TRIM(LOWER(Before_Tbl[[#This Row],[Email]]))</f>
        <v>bob.williams@example.com</v>
      </c>
      <c r="Z855" s="2" t="str">
        <f>SUBSTITUTE(Before_Tbl[[#This Row],[Phone]],"-","")</f>
        <v>2114716559</v>
      </c>
      <c r="AA855" t="str">
        <f>TRIM(PROPER(Before_Tbl[[#This Row],[Performance_Score]]))</f>
        <v>Good</v>
      </c>
      <c r="AB855" s="2" t="str">
        <f>TRIM(UPPER(Before_Tbl[[#This Row],[Remote_Work]]))</f>
        <v>TRUE</v>
      </c>
    </row>
    <row r="856" spans="1:28" x14ac:dyDescent="0.35">
      <c r="A856" t="s">
        <v>1411</v>
      </c>
      <c r="B856" t="s">
        <v>54</v>
      </c>
      <c r="C856" t="s">
        <v>14</v>
      </c>
      <c r="D856">
        <v>25</v>
      </c>
      <c r="E856" t="s">
        <v>139</v>
      </c>
      <c r="F856" t="s">
        <v>33</v>
      </c>
      <c r="G856" s="1">
        <v>44715</v>
      </c>
      <c r="H856">
        <v>73285.83</v>
      </c>
      <c r="I856" t="s">
        <v>170</v>
      </c>
      <c r="J856">
        <v>-9456534698</v>
      </c>
      <c r="K856" t="s">
        <v>30</v>
      </c>
      <c r="L856" t="b">
        <v>1</v>
      </c>
      <c r="P856" t="str">
        <f>TRIM(Before_Tbl[[#This Row],[Employee_ID]])</f>
        <v>EMP1854</v>
      </c>
      <c r="Q856" t="str">
        <f>TRIM(PROPER(Before_Tbl[[#This Row],[First_Name]]))</f>
        <v>Charlie</v>
      </c>
      <c r="R856" t="str">
        <f>TRIM(PROPER(Before_Tbl[[#This Row],[Last_Name]]))</f>
        <v>Davis</v>
      </c>
      <c r="S856" s="25">
        <f t="shared" si="13"/>
        <v>25</v>
      </c>
      <c r="T856" t="str">
        <f>LEFT(Before_Tbl[[#This Row],[Department_Region]],FIND("-",Before_Tbl[[#This Row],[Department_Region]])-1)</f>
        <v>HR</v>
      </c>
      <c r="U856" t="str">
        <f>RIGHT(Before_Tbl[[#This Row],[Department_Region]],LEN(Before_Tbl[[#This Row],[Department_Region]])-FIND("-",Before_Tbl[[#This Row],[Department_Region]]))</f>
        <v>Texas</v>
      </c>
      <c r="V856" t="str">
        <f>TRIM(PROPER(Before_Tbl[[#This Row],[Status]]))</f>
        <v>Inactive</v>
      </c>
      <c r="W856" s="26">
        <v>44715</v>
      </c>
      <c r="X856" s="4">
        <v>73285.83</v>
      </c>
      <c r="Y856" t="str">
        <f>TRIM(LOWER(Before_Tbl[[#This Row],[Email]]))</f>
        <v>charlie.davis@example.com</v>
      </c>
      <c r="Z856" s="2" t="str">
        <f>SUBSTITUTE(Before_Tbl[[#This Row],[Phone]],"-","")</f>
        <v>9456534698</v>
      </c>
      <c r="AA856" t="str">
        <f>TRIM(PROPER(Before_Tbl[[#This Row],[Performance_Score]]))</f>
        <v>Good</v>
      </c>
      <c r="AB856" s="2" t="str">
        <f>TRIM(UPPER(Before_Tbl[[#This Row],[Remote_Work]]))</f>
        <v>TRUE</v>
      </c>
    </row>
    <row r="857" spans="1:28" x14ac:dyDescent="0.35">
      <c r="A857" t="s">
        <v>1412</v>
      </c>
      <c r="B857" t="s">
        <v>32</v>
      </c>
      <c r="C857" t="s">
        <v>26</v>
      </c>
      <c r="D857">
        <v>30</v>
      </c>
      <c r="E857" t="s">
        <v>21</v>
      </c>
      <c r="F857" t="s">
        <v>33</v>
      </c>
      <c r="G857" t="s">
        <v>1413</v>
      </c>
      <c r="H857">
        <v>92721.13</v>
      </c>
      <c r="I857" t="s">
        <v>278</v>
      </c>
      <c r="J857">
        <v>-7990707549</v>
      </c>
      <c r="K857" t="s">
        <v>41</v>
      </c>
      <c r="L857" t="b">
        <v>1</v>
      </c>
      <c r="P857" t="str">
        <f>TRIM(Before_Tbl[[#This Row],[Employee_ID]])</f>
        <v>EMP1855</v>
      </c>
      <c r="Q857" t="str">
        <f>TRIM(PROPER(Before_Tbl[[#This Row],[First_Name]]))</f>
        <v>Eva</v>
      </c>
      <c r="R857" t="str">
        <f>TRIM(PROPER(Before_Tbl[[#This Row],[Last_Name]]))</f>
        <v>Jones</v>
      </c>
      <c r="S857" s="25">
        <f t="shared" si="13"/>
        <v>30</v>
      </c>
      <c r="T857" t="str">
        <f>LEFT(Before_Tbl[[#This Row],[Department_Region]],FIND("-",Before_Tbl[[#This Row],[Department_Region]])-1)</f>
        <v>Finance</v>
      </c>
      <c r="U857" t="str">
        <f>RIGHT(Before_Tbl[[#This Row],[Department_Region]],LEN(Before_Tbl[[#This Row],[Department_Region]])-FIND("-",Before_Tbl[[#This Row],[Department_Region]]))</f>
        <v>Texas</v>
      </c>
      <c r="V857" t="str">
        <f>TRIM(PROPER(Before_Tbl[[#This Row],[Status]]))</f>
        <v>Inactive</v>
      </c>
      <c r="W857" s="26">
        <v>44241</v>
      </c>
      <c r="X857" s="4">
        <v>92721.13</v>
      </c>
      <c r="Y857" t="str">
        <f>TRIM(LOWER(Before_Tbl[[#This Row],[Email]]))</f>
        <v>eva.jones@example.com</v>
      </c>
      <c r="Z857" s="2" t="str">
        <f>SUBSTITUTE(Before_Tbl[[#This Row],[Phone]],"-","")</f>
        <v>7990707549</v>
      </c>
      <c r="AA857" t="str">
        <f>TRIM(PROPER(Before_Tbl[[#This Row],[Performance_Score]]))</f>
        <v>Poor</v>
      </c>
      <c r="AB857" s="2" t="str">
        <f>TRIM(UPPER(Before_Tbl[[#This Row],[Remote_Work]]))</f>
        <v>TRUE</v>
      </c>
    </row>
    <row r="858" spans="1:28" x14ac:dyDescent="0.35">
      <c r="A858" t="s">
        <v>1414</v>
      </c>
      <c r="B858" t="s">
        <v>65</v>
      </c>
      <c r="C858" t="s">
        <v>38</v>
      </c>
      <c r="D858">
        <v>25</v>
      </c>
      <c r="E858" t="s">
        <v>89</v>
      </c>
      <c r="F858" t="s">
        <v>33</v>
      </c>
      <c r="G858" t="s">
        <v>649</v>
      </c>
      <c r="H858">
        <v>92977.64</v>
      </c>
      <c r="I858" t="s">
        <v>67</v>
      </c>
      <c r="J858">
        <v>-4768169956</v>
      </c>
      <c r="K858" t="s">
        <v>23</v>
      </c>
      <c r="L858" t="b">
        <v>0</v>
      </c>
      <c r="P858" t="str">
        <f>TRIM(Before_Tbl[[#This Row],[Employee_ID]])</f>
        <v>EMP1856</v>
      </c>
      <c r="Q858" t="str">
        <f>TRIM(PROPER(Before_Tbl[[#This Row],[First_Name]]))</f>
        <v>Heidi</v>
      </c>
      <c r="R858" t="str">
        <f>TRIM(PROPER(Before_Tbl[[#This Row],[Last_Name]]))</f>
        <v>Williams</v>
      </c>
      <c r="S858" s="25">
        <f t="shared" si="13"/>
        <v>25</v>
      </c>
      <c r="T858" t="str">
        <f>LEFT(Before_Tbl[[#This Row],[Department_Region]],FIND("-",Before_Tbl[[#This Row],[Department_Region]])-1)</f>
        <v>Admin</v>
      </c>
      <c r="U858" t="str">
        <f>RIGHT(Before_Tbl[[#This Row],[Department_Region]],LEN(Before_Tbl[[#This Row],[Department_Region]])-FIND("-",Before_Tbl[[#This Row],[Department_Region]]))</f>
        <v>Illinois</v>
      </c>
      <c r="V858" t="str">
        <f>TRIM(PROPER(Before_Tbl[[#This Row],[Status]]))</f>
        <v>Inactive</v>
      </c>
      <c r="W858" s="26">
        <v>44278</v>
      </c>
      <c r="X858" s="4">
        <v>92977.64</v>
      </c>
      <c r="Y858" t="str">
        <f>TRIM(LOWER(Before_Tbl[[#This Row],[Email]]))</f>
        <v>heidi.williams@example.com</v>
      </c>
      <c r="Z858" s="2" t="str">
        <f>SUBSTITUTE(Before_Tbl[[#This Row],[Phone]],"-","")</f>
        <v>4768169956</v>
      </c>
      <c r="AA858" t="str">
        <f>TRIM(PROPER(Before_Tbl[[#This Row],[Performance_Score]]))</f>
        <v>Excellent</v>
      </c>
      <c r="AB858" s="2" t="str">
        <f>TRIM(UPPER(Before_Tbl[[#This Row],[Remote_Work]]))</f>
        <v>FALSE</v>
      </c>
    </row>
    <row r="859" spans="1:28" x14ac:dyDescent="0.35">
      <c r="A859" t="s">
        <v>1415</v>
      </c>
      <c r="B859" t="s">
        <v>65</v>
      </c>
      <c r="C859" t="s">
        <v>38</v>
      </c>
      <c r="D859">
        <v>35</v>
      </c>
      <c r="E859" t="s">
        <v>159</v>
      </c>
      <c r="F859" t="s">
        <v>16</v>
      </c>
      <c r="G859" t="s">
        <v>1416</v>
      </c>
      <c r="H859">
        <v>89994.12</v>
      </c>
      <c r="I859" t="s">
        <v>67</v>
      </c>
      <c r="J859">
        <v>-607174810</v>
      </c>
      <c r="K859" t="s">
        <v>30</v>
      </c>
      <c r="L859" t="b">
        <v>1</v>
      </c>
      <c r="P859" t="str">
        <f>TRIM(Before_Tbl[[#This Row],[Employee_ID]])</f>
        <v>EMP1857</v>
      </c>
      <c r="Q859" t="str">
        <f>TRIM(PROPER(Before_Tbl[[#This Row],[First_Name]]))</f>
        <v>Heidi</v>
      </c>
      <c r="R859" t="str">
        <f>TRIM(PROPER(Before_Tbl[[#This Row],[Last_Name]]))</f>
        <v>Williams</v>
      </c>
      <c r="S859" s="25">
        <f t="shared" si="13"/>
        <v>35</v>
      </c>
      <c r="T859" t="str">
        <f>LEFT(Before_Tbl[[#This Row],[Department_Region]],FIND("-",Before_Tbl[[#This Row],[Department_Region]])-1)</f>
        <v>Cloud Tech</v>
      </c>
      <c r="U859" t="str">
        <f>RIGHT(Before_Tbl[[#This Row],[Department_Region]],LEN(Before_Tbl[[#This Row],[Department_Region]])-FIND("-",Before_Tbl[[#This Row],[Department_Region]]))</f>
        <v>Texas</v>
      </c>
      <c r="V859" t="str">
        <f>TRIM(PROPER(Before_Tbl[[#This Row],[Status]]))</f>
        <v>Active</v>
      </c>
      <c r="W859" s="26">
        <v>43975</v>
      </c>
      <c r="X859" s="4">
        <v>89994.12</v>
      </c>
      <c r="Y859" t="str">
        <f>TRIM(LOWER(Before_Tbl[[#This Row],[Email]]))</f>
        <v>heidi.williams@example.com</v>
      </c>
      <c r="Z859" s="2" t="str">
        <f>SUBSTITUTE(Before_Tbl[[#This Row],[Phone]],"-","")</f>
        <v>607174810</v>
      </c>
      <c r="AA859" t="str">
        <f>TRIM(PROPER(Before_Tbl[[#This Row],[Performance_Score]]))</f>
        <v>Good</v>
      </c>
      <c r="AB859" s="2" t="str">
        <f>TRIM(UPPER(Before_Tbl[[#This Row],[Remote_Work]]))</f>
        <v>TRUE</v>
      </c>
    </row>
    <row r="860" spans="1:28" x14ac:dyDescent="0.35">
      <c r="A860" t="s">
        <v>1417</v>
      </c>
      <c r="B860" t="s">
        <v>65</v>
      </c>
      <c r="C860" t="s">
        <v>55</v>
      </c>
      <c r="D860">
        <v>25</v>
      </c>
      <c r="E860" t="s">
        <v>227</v>
      </c>
      <c r="F860" t="s">
        <v>28</v>
      </c>
      <c r="G860" s="1">
        <v>45024</v>
      </c>
      <c r="H860">
        <v>50060.73</v>
      </c>
      <c r="I860" t="s">
        <v>113</v>
      </c>
      <c r="J860">
        <v>-3176539704</v>
      </c>
      <c r="K860" t="s">
        <v>41</v>
      </c>
      <c r="L860" t="b">
        <v>0</v>
      </c>
      <c r="P860" t="str">
        <f>TRIM(Before_Tbl[[#This Row],[Employee_ID]])</f>
        <v>EMP1858</v>
      </c>
      <c r="Q860" t="str">
        <f>TRIM(PROPER(Before_Tbl[[#This Row],[First_Name]]))</f>
        <v>Heidi</v>
      </c>
      <c r="R860" t="str">
        <f>TRIM(PROPER(Before_Tbl[[#This Row],[Last_Name]]))</f>
        <v>Johnson</v>
      </c>
      <c r="S860" s="25">
        <f t="shared" si="13"/>
        <v>25</v>
      </c>
      <c r="T860" t="str">
        <f>LEFT(Before_Tbl[[#This Row],[Department_Region]],FIND("-",Before_Tbl[[#This Row],[Department_Region]])-1)</f>
        <v>Finance</v>
      </c>
      <c r="U860" t="str">
        <f>RIGHT(Before_Tbl[[#This Row],[Department_Region]],LEN(Before_Tbl[[#This Row],[Department_Region]])-FIND("-",Before_Tbl[[#This Row],[Department_Region]]))</f>
        <v>New York</v>
      </c>
      <c r="V860" t="str">
        <f>TRIM(PROPER(Before_Tbl[[#This Row],[Status]]))</f>
        <v>Pending</v>
      </c>
      <c r="W860" s="26">
        <v>45024</v>
      </c>
      <c r="X860" s="4">
        <v>50060.73</v>
      </c>
      <c r="Y860" t="str">
        <f>TRIM(LOWER(Before_Tbl[[#This Row],[Email]]))</f>
        <v>heidi.johnson@example.com</v>
      </c>
      <c r="Z860" s="2" t="str">
        <f>SUBSTITUTE(Before_Tbl[[#This Row],[Phone]],"-","")</f>
        <v>3176539704</v>
      </c>
      <c r="AA860" t="str">
        <f>TRIM(PROPER(Before_Tbl[[#This Row],[Performance_Score]]))</f>
        <v>Poor</v>
      </c>
      <c r="AB860" s="2" t="str">
        <f>TRIM(UPPER(Before_Tbl[[#This Row],[Remote_Work]]))</f>
        <v>FALSE</v>
      </c>
    </row>
    <row r="861" spans="1:28" x14ac:dyDescent="0.35">
      <c r="A861" t="s">
        <v>1418</v>
      </c>
      <c r="B861" t="s">
        <v>69</v>
      </c>
      <c r="C861" t="s">
        <v>14</v>
      </c>
      <c r="D861">
        <v>35</v>
      </c>
      <c r="E861" t="s">
        <v>27</v>
      </c>
      <c r="F861" t="s">
        <v>33</v>
      </c>
      <c r="G861" s="1">
        <v>44898</v>
      </c>
      <c r="H861">
        <v>90224.82</v>
      </c>
      <c r="I861" t="s">
        <v>235</v>
      </c>
      <c r="J861">
        <v>-4873961028</v>
      </c>
      <c r="K861" t="s">
        <v>23</v>
      </c>
      <c r="L861" t="b">
        <v>0</v>
      </c>
      <c r="P861" t="str">
        <f>TRIM(Before_Tbl[[#This Row],[Employee_ID]])</f>
        <v>EMP1859</v>
      </c>
      <c r="Q861" t="str">
        <f>TRIM(PROPER(Before_Tbl[[#This Row],[First_Name]]))</f>
        <v>Grace</v>
      </c>
      <c r="R861" t="str">
        <f>TRIM(PROPER(Before_Tbl[[#This Row],[Last_Name]]))</f>
        <v>Davis</v>
      </c>
      <c r="S861" s="25">
        <f t="shared" si="13"/>
        <v>35</v>
      </c>
      <c r="T861" t="str">
        <f>LEFT(Before_Tbl[[#This Row],[Department_Region]],FIND("-",Before_Tbl[[#This Row],[Department_Region]])-1)</f>
        <v>Admin</v>
      </c>
      <c r="U861" t="str">
        <f>RIGHT(Before_Tbl[[#This Row],[Department_Region]],LEN(Before_Tbl[[#This Row],[Department_Region]])-FIND("-",Before_Tbl[[#This Row],[Department_Region]]))</f>
        <v>Nevada</v>
      </c>
      <c r="V861" t="str">
        <f>TRIM(PROPER(Before_Tbl[[#This Row],[Status]]))</f>
        <v>Inactive</v>
      </c>
      <c r="W861" s="26">
        <v>44898</v>
      </c>
      <c r="X861" s="4">
        <v>90224.82</v>
      </c>
      <c r="Y861" t="str">
        <f>TRIM(LOWER(Before_Tbl[[#This Row],[Email]]))</f>
        <v>grace.davis@example.com</v>
      </c>
      <c r="Z861" s="2" t="str">
        <f>SUBSTITUTE(Before_Tbl[[#This Row],[Phone]],"-","")</f>
        <v>4873961028</v>
      </c>
      <c r="AA861" t="str">
        <f>TRIM(PROPER(Before_Tbl[[#This Row],[Performance_Score]]))</f>
        <v>Excellent</v>
      </c>
      <c r="AB861" s="2" t="str">
        <f>TRIM(UPPER(Before_Tbl[[#This Row],[Remote_Work]]))</f>
        <v>FALSE</v>
      </c>
    </row>
    <row r="862" spans="1:28" x14ac:dyDescent="0.35">
      <c r="A862" t="s">
        <v>1419</v>
      </c>
      <c r="B862" t="s">
        <v>65</v>
      </c>
      <c r="C862" t="s">
        <v>20</v>
      </c>
      <c r="D862">
        <v>40</v>
      </c>
      <c r="E862" t="s">
        <v>112</v>
      </c>
      <c r="F862" t="s">
        <v>28</v>
      </c>
      <c r="G862" t="s">
        <v>1420</v>
      </c>
      <c r="H862">
        <v>106859.3</v>
      </c>
      <c r="I862" t="s">
        <v>404</v>
      </c>
      <c r="J862">
        <v>-871827495</v>
      </c>
      <c r="K862" t="s">
        <v>30</v>
      </c>
      <c r="L862" t="b">
        <v>0</v>
      </c>
      <c r="P862" t="str">
        <f>TRIM(Before_Tbl[[#This Row],[Employee_ID]])</f>
        <v>EMP1860</v>
      </c>
      <c r="Q862" t="str">
        <f>TRIM(PROPER(Before_Tbl[[#This Row],[First_Name]]))</f>
        <v>Heidi</v>
      </c>
      <c r="R862" t="str">
        <f>TRIM(PROPER(Before_Tbl[[#This Row],[Last_Name]]))</f>
        <v>Brown</v>
      </c>
      <c r="S862" s="25">
        <f t="shared" si="13"/>
        <v>40</v>
      </c>
      <c r="T862" t="str">
        <f>LEFT(Before_Tbl[[#This Row],[Department_Region]],FIND("-",Before_Tbl[[#This Row],[Department_Region]])-1)</f>
        <v>Finance</v>
      </c>
      <c r="U862" t="str">
        <f>RIGHT(Before_Tbl[[#This Row],[Department_Region]],LEN(Before_Tbl[[#This Row],[Department_Region]])-FIND("-",Before_Tbl[[#This Row],[Department_Region]]))</f>
        <v>Florida</v>
      </c>
      <c r="V862" t="str">
        <f>TRIM(PROPER(Before_Tbl[[#This Row],[Status]]))</f>
        <v>Pending</v>
      </c>
      <c r="W862" s="26">
        <v>45430</v>
      </c>
      <c r="X862" s="4">
        <v>106859.3</v>
      </c>
      <c r="Y862" t="str">
        <f>TRIM(LOWER(Before_Tbl[[#This Row],[Email]]))</f>
        <v>heidi.brown@example.com</v>
      </c>
      <c r="Z862" s="2" t="str">
        <f>SUBSTITUTE(Before_Tbl[[#This Row],[Phone]],"-","")</f>
        <v>871827495</v>
      </c>
      <c r="AA862" t="str">
        <f>TRIM(PROPER(Before_Tbl[[#This Row],[Performance_Score]]))</f>
        <v>Good</v>
      </c>
      <c r="AB862" s="2" t="str">
        <f>TRIM(UPPER(Before_Tbl[[#This Row],[Remote_Work]]))</f>
        <v>FALSE</v>
      </c>
    </row>
    <row r="863" spans="1:28" x14ac:dyDescent="0.35">
      <c r="A863" t="s">
        <v>1421</v>
      </c>
      <c r="B863" t="s">
        <v>59</v>
      </c>
      <c r="C863" t="s">
        <v>122</v>
      </c>
      <c r="D863">
        <v>25</v>
      </c>
      <c r="E863" t="s">
        <v>100</v>
      </c>
      <c r="F863" t="s">
        <v>33</v>
      </c>
      <c r="G863" s="1">
        <v>43960</v>
      </c>
      <c r="H863">
        <v>89707.07</v>
      </c>
      <c r="I863" t="s">
        <v>341</v>
      </c>
      <c r="J863">
        <v>-8049187273</v>
      </c>
      <c r="K863" t="s">
        <v>30</v>
      </c>
      <c r="L863" t="b">
        <v>0</v>
      </c>
      <c r="P863" t="str">
        <f>TRIM(Before_Tbl[[#This Row],[Employee_ID]])</f>
        <v>EMP1861</v>
      </c>
      <c r="Q863" t="str">
        <f>TRIM(PROPER(Before_Tbl[[#This Row],[First_Name]]))</f>
        <v>David</v>
      </c>
      <c r="R863" t="str">
        <f>TRIM(PROPER(Before_Tbl[[#This Row],[Last_Name]]))</f>
        <v>Smith</v>
      </c>
      <c r="S863" s="25">
        <f t="shared" si="13"/>
        <v>25</v>
      </c>
      <c r="T863" t="str">
        <f>LEFT(Before_Tbl[[#This Row],[Department_Region]],FIND("-",Before_Tbl[[#This Row],[Department_Region]])-1)</f>
        <v>Finance</v>
      </c>
      <c r="U863" t="str">
        <f>RIGHT(Before_Tbl[[#This Row],[Department_Region]],LEN(Before_Tbl[[#This Row],[Department_Region]])-FIND("-",Before_Tbl[[#This Row],[Department_Region]]))</f>
        <v>Nevada</v>
      </c>
      <c r="V863" t="str">
        <f>TRIM(PROPER(Before_Tbl[[#This Row],[Status]]))</f>
        <v>Inactive</v>
      </c>
      <c r="W863" s="26">
        <v>43960</v>
      </c>
      <c r="X863" s="4">
        <v>89707.07</v>
      </c>
      <c r="Y863" t="str">
        <f>TRIM(LOWER(Before_Tbl[[#This Row],[Email]]))</f>
        <v>david.smith@example.com</v>
      </c>
      <c r="Z863" s="2" t="str">
        <f>SUBSTITUTE(Before_Tbl[[#This Row],[Phone]],"-","")</f>
        <v>8049187273</v>
      </c>
      <c r="AA863" t="str">
        <f>TRIM(PROPER(Before_Tbl[[#This Row],[Performance_Score]]))</f>
        <v>Good</v>
      </c>
      <c r="AB863" s="2" t="str">
        <f>TRIM(UPPER(Before_Tbl[[#This Row],[Remote_Work]]))</f>
        <v>FALSE</v>
      </c>
    </row>
    <row r="864" spans="1:28" x14ac:dyDescent="0.35">
      <c r="A864" t="s">
        <v>1422</v>
      </c>
      <c r="B864" t="s">
        <v>37</v>
      </c>
      <c r="C864" t="s">
        <v>55</v>
      </c>
      <c r="D864">
        <v>35</v>
      </c>
      <c r="E864" t="s">
        <v>15</v>
      </c>
      <c r="F864" t="s">
        <v>33</v>
      </c>
      <c r="G864" t="s">
        <v>777</v>
      </c>
      <c r="H864">
        <v>94259.08</v>
      </c>
      <c r="I864" t="s">
        <v>271</v>
      </c>
      <c r="J864">
        <v>-2049561212</v>
      </c>
      <c r="K864" t="s">
        <v>23</v>
      </c>
      <c r="L864" t="b">
        <v>1</v>
      </c>
      <c r="P864" t="str">
        <f>TRIM(Before_Tbl[[#This Row],[Employee_ID]])</f>
        <v>EMP1862</v>
      </c>
      <c r="Q864" t="str">
        <f>TRIM(PROPER(Before_Tbl[[#This Row],[First_Name]]))</f>
        <v>Frank</v>
      </c>
      <c r="R864" t="str">
        <f>TRIM(PROPER(Before_Tbl[[#This Row],[Last_Name]]))</f>
        <v>Johnson</v>
      </c>
      <c r="S864" s="25">
        <f t="shared" si="13"/>
        <v>35</v>
      </c>
      <c r="T864" t="str">
        <f>LEFT(Before_Tbl[[#This Row],[Department_Region]],FIND("-",Before_Tbl[[#This Row],[Department_Region]])-1)</f>
        <v>DevOps</v>
      </c>
      <c r="U864" t="str">
        <f>RIGHT(Before_Tbl[[#This Row],[Department_Region]],LEN(Before_Tbl[[#This Row],[Department_Region]])-FIND("-",Before_Tbl[[#This Row],[Department_Region]]))</f>
        <v>California</v>
      </c>
      <c r="V864" t="str">
        <f>TRIM(PROPER(Before_Tbl[[#This Row],[Status]]))</f>
        <v>Inactive</v>
      </c>
      <c r="W864" s="26">
        <v>43944</v>
      </c>
      <c r="X864" s="4">
        <v>94259.08</v>
      </c>
      <c r="Y864" t="str">
        <f>TRIM(LOWER(Before_Tbl[[#This Row],[Email]]))</f>
        <v>frank.johnson@example.com</v>
      </c>
      <c r="Z864" s="2" t="str">
        <f>SUBSTITUTE(Before_Tbl[[#This Row],[Phone]],"-","")</f>
        <v>2049561212</v>
      </c>
      <c r="AA864" t="str">
        <f>TRIM(PROPER(Before_Tbl[[#This Row],[Performance_Score]]))</f>
        <v>Excellent</v>
      </c>
      <c r="AB864" s="2" t="str">
        <f>TRIM(UPPER(Before_Tbl[[#This Row],[Remote_Work]]))</f>
        <v>TRUE</v>
      </c>
    </row>
    <row r="865" spans="1:28" x14ac:dyDescent="0.35">
      <c r="A865" t="s">
        <v>1423</v>
      </c>
      <c r="B865" t="s">
        <v>13</v>
      </c>
      <c r="C865" t="s">
        <v>55</v>
      </c>
      <c r="D865">
        <v>35</v>
      </c>
      <c r="E865" t="s">
        <v>177</v>
      </c>
      <c r="F865" t="s">
        <v>16</v>
      </c>
      <c r="G865" t="s">
        <v>1424</v>
      </c>
      <c r="H865">
        <v>82174.75</v>
      </c>
      <c r="I865" t="s">
        <v>199</v>
      </c>
      <c r="J865">
        <v>-7730626041</v>
      </c>
      <c r="K865" t="s">
        <v>23</v>
      </c>
      <c r="L865" t="b">
        <v>0</v>
      </c>
      <c r="P865" t="str">
        <f>TRIM(Before_Tbl[[#This Row],[Employee_ID]])</f>
        <v>EMP1863</v>
      </c>
      <c r="Q865" t="str">
        <f>TRIM(PROPER(Before_Tbl[[#This Row],[First_Name]]))</f>
        <v>Bob</v>
      </c>
      <c r="R865" t="str">
        <f>TRIM(PROPER(Before_Tbl[[#This Row],[Last_Name]]))</f>
        <v>Johnson</v>
      </c>
      <c r="S865" s="25">
        <f t="shared" si="13"/>
        <v>35</v>
      </c>
      <c r="T865" t="str">
        <f>LEFT(Before_Tbl[[#This Row],[Department_Region]],FIND("-",Before_Tbl[[#This Row],[Department_Region]])-1)</f>
        <v>Sales</v>
      </c>
      <c r="U865" t="str">
        <f>RIGHT(Before_Tbl[[#This Row],[Department_Region]],LEN(Before_Tbl[[#This Row],[Department_Region]])-FIND("-",Before_Tbl[[#This Row],[Department_Region]]))</f>
        <v>California</v>
      </c>
      <c r="V865" t="str">
        <f>TRIM(PROPER(Before_Tbl[[#This Row],[Status]]))</f>
        <v>Active</v>
      </c>
      <c r="W865" s="26">
        <v>45553</v>
      </c>
      <c r="X865" s="4">
        <v>82174.75</v>
      </c>
      <c r="Y865" t="str">
        <f>TRIM(LOWER(Before_Tbl[[#This Row],[Email]]))</f>
        <v>bob.johnson@example.com</v>
      </c>
      <c r="Z865" s="2" t="str">
        <f>SUBSTITUTE(Before_Tbl[[#This Row],[Phone]],"-","")</f>
        <v>7730626041</v>
      </c>
      <c r="AA865" t="str">
        <f>TRIM(PROPER(Before_Tbl[[#This Row],[Performance_Score]]))</f>
        <v>Excellent</v>
      </c>
      <c r="AB865" s="2" t="str">
        <f>TRIM(UPPER(Before_Tbl[[#This Row],[Remote_Work]]))</f>
        <v>FALSE</v>
      </c>
    </row>
    <row r="866" spans="1:28" x14ac:dyDescent="0.35">
      <c r="A866" t="s">
        <v>1425</v>
      </c>
      <c r="B866" t="s">
        <v>59</v>
      </c>
      <c r="C866" t="s">
        <v>20</v>
      </c>
      <c r="D866">
        <v>30</v>
      </c>
      <c r="E866" t="s">
        <v>44</v>
      </c>
      <c r="F866" t="s">
        <v>33</v>
      </c>
      <c r="G866" t="s">
        <v>491</v>
      </c>
      <c r="H866">
        <v>63370.22</v>
      </c>
      <c r="I866" t="s">
        <v>225</v>
      </c>
      <c r="J866">
        <v>-3597371121</v>
      </c>
      <c r="K866" t="s">
        <v>23</v>
      </c>
      <c r="L866" t="b">
        <v>0</v>
      </c>
      <c r="P866" t="str">
        <f>TRIM(Before_Tbl[[#This Row],[Employee_ID]])</f>
        <v>EMP1864</v>
      </c>
      <c r="Q866" t="str">
        <f>TRIM(PROPER(Before_Tbl[[#This Row],[First_Name]]))</f>
        <v>David</v>
      </c>
      <c r="R866" t="str">
        <f>TRIM(PROPER(Before_Tbl[[#This Row],[Last_Name]]))</f>
        <v>Brown</v>
      </c>
      <c r="S866" s="25">
        <f t="shared" si="13"/>
        <v>30</v>
      </c>
      <c r="T866" t="str">
        <f>LEFT(Before_Tbl[[#This Row],[Department_Region]],FIND("-",Before_Tbl[[#This Row],[Department_Region]])-1)</f>
        <v>Sales</v>
      </c>
      <c r="U866" t="str">
        <f>RIGHT(Before_Tbl[[#This Row],[Department_Region]],LEN(Before_Tbl[[#This Row],[Department_Region]])-FIND("-",Before_Tbl[[#This Row],[Department_Region]]))</f>
        <v>Texas</v>
      </c>
      <c r="V866" t="str">
        <f>TRIM(PROPER(Before_Tbl[[#This Row],[Status]]))</f>
        <v>Inactive</v>
      </c>
      <c r="W866" s="26">
        <v>45184</v>
      </c>
      <c r="X866" s="4">
        <v>63370.22</v>
      </c>
      <c r="Y866" t="str">
        <f>TRIM(LOWER(Before_Tbl[[#This Row],[Email]]))</f>
        <v>david.brown@example.com</v>
      </c>
      <c r="Z866" s="2" t="str">
        <f>SUBSTITUTE(Before_Tbl[[#This Row],[Phone]],"-","")</f>
        <v>3597371121</v>
      </c>
      <c r="AA866" t="str">
        <f>TRIM(PROPER(Before_Tbl[[#This Row],[Performance_Score]]))</f>
        <v>Excellent</v>
      </c>
      <c r="AB866" s="2" t="str">
        <f>TRIM(UPPER(Before_Tbl[[#This Row],[Remote_Work]]))</f>
        <v>FALSE</v>
      </c>
    </row>
    <row r="867" spans="1:28" x14ac:dyDescent="0.35">
      <c r="A867" t="s">
        <v>1426</v>
      </c>
      <c r="B867" t="s">
        <v>13</v>
      </c>
      <c r="C867" t="s">
        <v>122</v>
      </c>
      <c r="D867">
        <v>35</v>
      </c>
      <c r="E867" t="s">
        <v>21</v>
      </c>
      <c r="F867" t="s">
        <v>28</v>
      </c>
      <c r="G867" t="s">
        <v>1427</v>
      </c>
      <c r="H867">
        <v>101472.69</v>
      </c>
      <c r="I867" t="s">
        <v>123</v>
      </c>
      <c r="J867">
        <v>-2990775607</v>
      </c>
      <c r="K867" t="s">
        <v>30</v>
      </c>
      <c r="L867" t="b">
        <v>1</v>
      </c>
      <c r="P867" t="str">
        <f>TRIM(Before_Tbl[[#This Row],[Employee_ID]])</f>
        <v>EMP1865</v>
      </c>
      <c r="Q867" t="str">
        <f>TRIM(PROPER(Before_Tbl[[#This Row],[First_Name]]))</f>
        <v>Bob</v>
      </c>
      <c r="R867" t="str">
        <f>TRIM(PROPER(Before_Tbl[[#This Row],[Last_Name]]))</f>
        <v>Smith</v>
      </c>
      <c r="S867" s="25">
        <f t="shared" si="13"/>
        <v>35</v>
      </c>
      <c r="T867" t="str">
        <f>LEFT(Before_Tbl[[#This Row],[Department_Region]],FIND("-",Before_Tbl[[#This Row],[Department_Region]])-1)</f>
        <v>Finance</v>
      </c>
      <c r="U867" t="str">
        <f>RIGHT(Before_Tbl[[#This Row],[Department_Region]],LEN(Before_Tbl[[#This Row],[Department_Region]])-FIND("-",Before_Tbl[[#This Row],[Department_Region]]))</f>
        <v>Texas</v>
      </c>
      <c r="V867" t="str">
        <f>TRIM(PROPER(Before_Tbl[[#This Row],[Status]]))</f>
        <v>Pending</v>
      </c>
      <c r="W867" s="26">
        <v>44727</v>
      </c>
      <c r="X867" s="4">
        <v>101472.69</v>
      </c>
      <c r="Y867" t="str">
        <f>TRIM(LOWER(Before_Tbl[[#This Row],[Email]]))</f>
        <v>bob.smith@example.com</v>
      </c>
      <c r="Z867" s="2" t="str">
        <f>SUBSTITUTE(Before_Tbl[[#This Row],[Phone]],"-","")</f>
        <v>2990775607</v>
      </c>
      <c r="AA867" t="str">
        <f>TRIM(PROPER(Before_Tbl[[#This Row],[Performance_Score]]))</f>
        <v>Good</v>
      </c>
      <c r="AB867" s="2" t="str">
        <f>TRIM(UPPER(Before_Tbl[[#This Row],[Remote_Work]]))</f>
        <v>TRUE</v>
      </c>
    </row>
    <row r="868" spans="1:28" x14ac:dyDescent="0.35">
      <c r="A868" t="s">
        <v>1428</v>
      </c>
      <c r="B868" t="s">
        <v>59</v>
      </c>
      <c r="C868" t="s">
        <v>26</v>
      </c>
      <c r="D868">
        <v>25</v>
      </c>
      <c r="E868" t="s">
        <v>78</v>
      </c>
      <c r="F868" t="s">
        <v>16</v>
      </c>
      <c r="G868" t="s">
        <v>1429</v>
      </c>
      <c r="H868">
        <v>77213.73</v>
      </c>
      <c r="I868" t="s">
        <v>242</v>
      </c>
      <c r="J868">
        <v>-5816704685</v>
      </c>
      <c r="K868" t="s">
        <v>30</v>
      </c>
      <c r="L868" t="b">
        <v>0</v>
      </c>
      <c r="P868" t="str">
        <f>TRIM(Before_Tbl[[#This Row],[Employee_ID]])</f>
        <v>EMP1866</v>
      </c>
      <c r="Q868" t="str">
        <f>TRIM(PROPER(Before_Tbl[[#This Row],[First_Name]]))</f>
        <v>David</v>
      </c>
      <c r="R868" t="str">
        <f>TRIM(PROPER(Before_Tbl[[#This Row],[Last_Name]]))</f>
        <v>Jones</v>
      </c>
      <c r="S868" s="25">
        <f t="shared" si="13"/>
        <v>25</v>
      </c>
      <c r="T868" t="str">
        <f>LEFT(Before_Tbl[[#This Row],[Department_Region]],FIND("-",Before_Tbl[[#This Row],[Department_Region]])-1)</f>
        <v>DevOps</v>
      </c>
      <c r="U868" t="str">
        <f>RIGHT(Before_Tbl[[#This Row],[Department_Region]],LEN(Before_Tbl[[#This Row],[Department_Region]])-FIND("-",Before_Tbl[[#This Row],[Department_Region]]))</f>
        <v>Illinois</v>
      </c>
      <c r="V868" t="str">
        <f>TRIM(PROPER(Before_Tbl[[#This Row],[Status]]))</f>
        <v>Active</v>
      </c>
      <c r="W868" s="26">
        <v>44832</v>
      </c>
      <c r="X868" s="4">
        <v>77213.73</v>
      </c>
      <c r="Y868" t="str">
        <f>TRIM(LOWER(Before_Tbl[[#This Row],[Email]]))</f>
        <v>david.jones@example.com</v>
      </c>
      <c r="Z868" s="2" t="str">
        <f>SUBSTITUTE(Before_Tbl[[#This Row],[Phone]],"-","")</f>
        <v>5816704685</v>
      </c>
      <c r="AA868" t="str">
        <f>TRIM(PROPER(Before_Tbl[[#This Row],[Performance_Score]]))</f>
        <v>Good</v>
      </c>
      <c r="AB868" s="2" t="str">
        <f>TRIM(UPPER(Before_Tbl[[#This Row],[Remote_Work]]))</f>
        <v>FALSE</v>
      </c>
    </row>
    <row r="869" spans="1:28" x14ac:dyDescent="0.35">
      <c r="A869" t="s">
        <v>1430</v>
      </c>
      <c r="B869" t="s">
        <v>32</v>
      </c>
      <c r="C869" t="s">
        <v>92</v>
      </c>
      <c r="D869">
        <v>40</v>
      </c>
      <c r="E869" t="s">
        <v>74</v>
      </c>
      <c r="F869" t="s">
        <v>16</v>
      </c>
      <c r="G869" t="s">
        <v>309</v>
      </c>
      <c r="H869">
        <v>73749.960000000006</v>
      </c>
      <c r="I869" t="s">
        <v>263</v>
      </c>
      <c r="J869">
        <v>-1114576831</v>
      </c>
      <c r="K869" t="s">
        <v>41</v>
      </c>
      <c r="L869" t="b">
        <v>1</v>
      </c>
      <c r="P869" t="str">
        <f>TRIM(Before_Tbl[[#This Row],[Employee_ID]])</f>
        <v>EMP1867</v>
      </c>
      <c r="Q869" t="str">
        <f>TRIM(PROPER(Before_Tbl[[#This Row],[First_Name]]))</f>
        <v>Eva</v>
      </c>
      <c r="R869" t="str">
        <f>TRIM(PROPER(Before_Tbl[[#This Row],[Last_Name]]))</f>
        <v>Miller</v>
      </c>
      <c r="S869" s="25">
        <f t="shared" si="13"/>
        <v>40</v>
      </c>
      <c r="T869" t="str">
        <f>LEFT(Before_Tbl[[#This Row],[Department_Region]],FIND("-",Before_Tbl[[#This Row],[Department_Region]])-1)</f>
        <v>Sales</v>
      </c>
      <c r="U869" t="str">
        <f>RIGHT(Before_Tbl[[#This Row],[Department_Region]],LEN(Before_Tbl[[#This Row],[Department_Region]])-FIND("-",Before_Tbl[[#This Row],[Department_Region]]))</f>
        <v>Florida</v>
      </c>
      <c r="V869" t="str">
        <f>TRIM(PROPER(Before_Tbl[[#This Row],[Status]]))</f>
        <v>Active</v>
      </c>
      <c r="W869" s="26">
        <v>43906</v>
      </c>
      <c r="X869" s="4">
        <v>73749.960000000006</v>
      </c>
      <c r="Y869" t="str">
        <f>TRIM(LOWER(Before_Tbl[[#This Row],[Email]]))</f>
        <v>eva.miller@example.com</v>
      </c>
      <c r="Z869" s="2" t="str">
        <f>SUBSTITUTE(Before_Tbl[[#This Row],[Phone]],"-","")</f>
        <v>1114576831</v>
      </c>
      <c r="AA869" t="str">
        <f>TRIM(PROPER(Before_Tbl[[#This Row],[Performance_Score]]))</f>
        <v>Poor</v>
      </c>
      <c r="AB869" s="2" t="str">
        <f>TRIM(UPPER(Before_Tbl[[#This Row],[Remote_Work]]))</f>
        <v>TRUE</v>
      </c>
    </row>
    <row r="870" spans="1:28" x14ac:dyDescent="0.35">
      <c r="A870" t="s">
        <v>1431</v>
      </c>
      <c r="B870" t="s">
        <v>25</v>
      </c>
      <c r="C870" t="s">
        <v>14</v>
      </c>
      <c r="D870">
        <v>40</v>
      </c>
      <c r="E870" t="s">
        <v>60</v>
      </c>
      <c r="F870" t="s">
        <v>28</v>
      </c>
      <c r="G870" t="s">
        <v>1432</v>
      </c>
      <c r="H870">
        <v>86618.37</v>
      </c>
      <c r="I870" t="s">
        <v>163</v>
      </c>
      <c r="J870">
        <v>-1021923784</v>
      </c>
      <c r="K870" t="s">
        <v>18</v>
      </c>
      <c r="L870" t="b">
        <v>0</v>
      </c>
      <c r="P870" t="str">
        <f>TRIM(Before_Tbl[[#This Row],[Employee_ID]])</f>
        <v>EMP1868</v>
      </c>
      <c r="Q870" t="str">
        <f>TRIM(PROPER(Before_Tbl[[#This Row],[First_Name]]))</f>
        <v>Alice</v>
      </c>
      <c r="R870" t="str">
        <f>TRIM(PROPER(Before_Tbl[[#This Row],[Last_Name]]))</f>
        <v>Davis</v>
      </c>
      <c r="S870" s="25">
        <f t="shared" si="13"/>
        <v>40</v>
      </c>
      <c r="T870" t="str">
        <f>LEFT(Before_Tbl[[#This Row],[Department_Region]],FIND("-",Before_Tbl[[#This Row],[Department_Region]])-1)</f>
        <v>Cloud Tech</v>
      </c>
      <c r="U870" t="str">
        <f>RIGHT(Before_Tbl[[#This Row],[Department_Region]],LEN(Before_Tbl[[#This Row],[Department_Region]])-FIND("-",Before_Tbl[[#This Row],[Department_Region]]))</f>
        <v>New York</v>
      </c>
      <c r="V870" t="str">
        <f>TRIM(PROPER(Before_Tbl[[#This Row],[Status]]))</f>
        <v>Pending</v>
      </c>
      <c r="W870" s="26">
        <v>45197</v>
      </c>
      <c r="X870" s="4">
        <v>86618.37</v>
      </c>
      <c r="Y870" t="str">
        <f>TRIM(LOWER(Before_Tbl[[#This Row],[Email]]))</f>
        <v>alice.davis@example.com</v>
      </c>
      <c r="Z870" s="2" t="str">
        <f>SUBSTITUTE(Before_Tbl[[#This Row],[Phone]],"-","")</f>
        <v>1021923784</v>
      </c>
      <c r="AA870" t="str">
        <f>TRIM(PROPER(Before_Tbl[[#This Row],[Performance_Score]]))</f>
        <v>Average</v>
      </c>
      <c r="AB870" s="2" t="str">
        <f>TRIM(UPPER(Before_Tbl[[#This Row],[Remote_Work]]))</f>
        <v>FALSE</v>
      </c>
    </row>
    <row r="871" spans="1:28" x14ac:dyDescent="0.35">
      <c r="A871" t="s">
        <v>1433</v>
      </c>
      <c r="B871" t="s">
        <v>54</v>
      </c>
      <c r="C871" t="s">
        <v>92</v>
      </c>
      <c r="E871" t="s">
        <v>103</v>
      </c>
      <c r="F871" t="s">
        <v>16</v>
      </c>
      <c r="G871" t="s">
        <v>1117</v>
      </c>
      <c r="H871">
        <v>59911.33</v>
      </c>
      <c r="I871" t="s">
        <v>502</v>
      </c>
      <c r="J871">
        <v>-8471296179</v>
      </c>
      <c r="K871" t="s">
        <v>23</v>
      </c>
      <c r="L871" t="b">
        <v>1</v>
      </c>
      <c r="P871" t="str">
        <f>TRIM(Before_Tbl[[#This Row],[Employee_ID]])</f>
        <v>EMP1869</v>
      </c>
      <c r="Q871" t="str">
        <f>TRIM(PROPER(Before_Tbl[[#This Row],[First_Name]]))</f>
        <v>Charlie</v>
      </c>
      <c r="R871" t="str">
        <f>TRIM(PROPER(Before_Tbl[[#This Row],[Last_Name]]))</f>
        <v>Miller</v>
      </c>
      <c r="S871" s="25">
        <f t="shared" si="13"/>
        <v>30</v>
      </c>
      <c r="T871" t="str">
        <f>LEFT(Before_Tbl[[#This Row],[Department_Region]],FIND("-",Before_Tbl[[#This Row],[Department_Region]])-1)</f>
        <v>Admin</v>
      </c>
      <c r="U871" t="str">
        <f>RIGHT(Before_Tbl[[#This Row],[Department_Region]],LEN(Before_Tbl[[#This Row],[Department_Region]])-FIND("-",Before_Tbl[[#This Row],[Department_Region]]))</f>
        <v>Texas</v>
      </c>
      <c r="V871" t="str">
        <f>TRIM(PROPER(Before_Tbl[[#This Row],[Status]]))</f>
        <v>Active</v>
      </c>
      <c r="W871" s="26">
        <v>45337</v>
      </c>
      <c r="X871" s="4">
        <v>59911.33</v>
      </c>
      <c r="Y871" t="str">
        <f>TRIM(LOWER(Before_Tbl[[#This Row],[Email]]))</f>
        <v>charlie.miller@example.com</v>
      </c>
      <c r="Z871" s="2" t="str">
        <f>SUBSTITUTE(Before_Tbl[[#This Row],[Phone]],"-","")</f>
        <v>8471296179</v>
      </c>
      <c r="AA871" t="str">
        <f>TRIM(PROPER(Before_Tbl[[#This Row],[Performance_Score]]))</f>
        <v>Excellent</v>
      </c>
      <c r="AB871" s="2" t="str">
        <f>TRIM(UPPER(Before_Tbl[[#This Row],[Remote_Work]]))</f>
        <v>TRUE</v>
      </c>
    </row>
    <row r="872" spans="1:28" x14ac:dyDescent="0.35">
      <c r="A872" t="s">
        <v>1434</v>
      </c>
      <c r="B872" t="s">
        <v>65</v>
      </c>
      <c r="C872" t="s">
        <v>26</v>
      </c>
      <c r="E872" t="s">
        <v>60</v>
      </c>
      <c r="F872" t="s">
        <v>28</v>
      </c>
      <c r="G872" t="s">
        <v>639</v>
      </c>
      <c r="H872">
        <v>59137.64</v>
      </c>
      <c r="I872" t="s">
        <v>320</v>
      </c>
      <c r="J872">
        <v>-3324260507</v>
      </c>
      <c r="K872" t="s">
        <v>30</v>
      </c>
      <c r="L872" t="b">
        <v>0</v>
      </c>
      <c r="P872" t="str">
        <f>TRIM(Before_Tbl[[#This Row],[Employee_ID]])</f>
        <v>EMP1870</v>
      </c>
      <c r="Q872" t="str">
        <f>TRIM(PROPER(Before_Tbl[[#This Row],[First_Name]]))</f>
        <v>Heidi</v>
      </c>
      <c r="R872" t="str">
        <f>TRIM(PROPER(Before_Tbl[[#This Row],[Last_Name]]))</f>
        <v>Jones</v>
      </c>
      <c r="S872" s="25">
        <f t="shared" si="13"/>
        <v>30</v>
      </c>
      <c r="T872" t="str">
        <f>LEFT(Before_Tbl[[#This Row],[Department_Region]],FIND("-",Before_Tbl[[#This Row],[Department_Region]])-1)</f>
        <v>Cloud Tech</v>
      </c>
      <c r="U872" t="str">
        <f>RIGHT(Before_Tbl[[#This Row],[Department_Region]],LEN(Before_Tbl[[#This Row],[Department_Region]])-FIND("-",Before_Tbl[[#This Row],[Department_Region]]))</f>
        <v>New York</v>
      </c>
      <c r="V872" t="str">
        <f>TRIM(PROPER(Before_Tbl[[#This Row],[Status]]))</f>
        <v>Pending</v>
      </c>
      <c r="W872" s="26">
        <v>45159</v>
      </c>
      <c r="X872" s="4">
        <v>59137.64</v>
      </c>
      <c r="Y872" t="str">
        <f>TRIM(LOWER(Before_Tbl[[#This Row],[Email]]))</f>
        <v>heidi.jones@example.com</v>
      </c>
      <c r="Z872" s="2" t="str">
        <f>SUBSTITUTE(Before_Tbl[[#This Row],[Phone]],"-","")</f>
        <v>3324260507</v>
      </c>
      <c r="AA872" t="str">
        <f>TRIM(PROPER(Before_Tbl[[#This Row],[Performance_Score]]))</f>
        <v>Good</v>
      </c>
      <c r="AB872" s="2" t="str">
        <f>TRIM(UPPER(Before_Tbl[[#This Row],[Remote_Work]]))</f>
        <v>FALSE</v>
      </c>
    </row>
    <row r="873" spans="1:28" x14ac:dyDescent="0.35">
      <c r="A873" t="s">
        <v>1435</v>
      </c>
      <c r="B873" t="s">
        <v>25</v>
      </c>
      <c r="C873" t="s">
        <v>43</v>
      </c>
      <c r="D873">
        <v>35</v>
      </c>
      <c r="E873" t="s">
        <v>39</v>
      </c>
      <c r="F873" t="s">
        <v>28</v>
      </c>
      <c r="G873" t="s">
        <v>950</v>
      </c>
      <c r="H873">
        <v>108474.65</v>
      </c>
      <c r="I873" t="s">
        <v>45</v>
      </c>
      <c r="J873">
        <v>-184980424</v>
      </c>
      <c r="K873" t="s">
        <v>30</v>
      </c>
      <c r="L873" t="b">
        <v>1</v>
      </c>
      <c r="P873" t="str">
        <f>TRIM(Before_Tbl[[#This Row],[Employee_ID]])</f>
        <v>EMP1871</v>
      </c>
      <c r="Q873" t="str">
        <f>TRIM(PROPER(Before_Tbl[[#This Row],[First_Name]]))</f>
        <v>Alice</v>
      </c>
      <c r="R873" t="str">
        <f>TRIM(PROPER(Before_Tbl[[#This Row],[Last_Name]]))</f>
        <v>Garcia</v>
      </c>
      <c r="S873" s="25">
        <f t="shared" si="13"/>
        <v>35</v>
      </c>
      <c r="T873" t="str">
        <f>LEFT(Before_Tbl[[#This Row],[Department_Region]],FIND("-",Before_Tbl[[#This Row],[Department_Region]])-1)</f>
        <v>Cloud Tech</v>
      </c>
      <c r="U873" t="str">
        <f>RIGHT(Before_Tbl[[#This Row],[Department_Region]],LEN(Before_Tbl[[#This Row],[Department_Region]])-FIND("-",Before_Tbl[[#This Row],[Department_Region]]))</f>
        <v>Florida</v>
      </c>
      <c r="V873" t="str">
        <f>TRIM(PROPER(Before_Tbl[[#This Row],[Status]]))</f>
        <v>Pending</v>
      </c>
      <c r="W873" s="26">
        <v>44180</v>
      </c>
      <c r="X873" s="4">
        <v>108474.65</v>
      </c>
      <c r="Y873" t="str">
        <f>TRIM(LOWER(Before_Tbl[[#This Row],[Email]]))</f>
        <v>alice.garcia@example.com</v>
      </c>
      <c r="Z873" s="2" t="str">
        <f>SUBSTITUTE(Before_Tbl[[#This Row],[Phone]],"-","")</f>
        <v>184980424</v>
      </c>
      <c r="AA873" t="str">
        <f>TRIM(PROPER(Before_Tbl[[#This Row],[Performance_Score]]))</f>
        <v>Good</v>
      </c>
      <c r="AB873" s="2" t="str">
        <f>TRIM(UPPER(Before_Tbl[[#This Row],[Remote_Work]]))</f>
        <v>TRUE</v>
      </c>
    </row>
    <row r="874" spans="1:28" x14ac:dyDescent="0.35">
      <c r="A874" t="s">
        <v>1436</v>
      </c>
      <c r="B874" t="s">
        <v>13</v>
      </c>
      <c r="C874" t="s">
        <v>55</v>
      </c>
      <c r="D874">
        <v>25</v>
      </c>
      <c r="E874" t="s">
        <v>265</v>
      </c>
      <c r="F874" t="s">
        <v>28</v>
      </c>
      <c r="G874" t="s">
        <v>415</v>
      </c>
      <c r="H874">
        <v>54417.71</v>
      </c>
      <c r="I874" t="s">
        <v>199</v>
      </c>
      <c r="J874">
        <v>-3733777311</v>
      </c>
      <c r="K874" t="s">
        <v>23</v>
      </c>
      <c r="L874" t="b">
        <v>0</v>
      </c>
      <c r="P874" t="str">
        <f>TRIM(Before_Tbl[[#This Row],[Employee_ID]])</f>
        <v>EMP1872</v>
      </c>
      <c r="Q874" t="str">
        <f>TRIM(PROPER(Before_Tbl[[#This Row],[First_Name]]))</f>
        <v>Bob</v>
      </c>
      <c r="R874" t="str">
        <f>TRIM(PROPER(Before_Tbl[[#This Row],[Last_Name]]))</f>
        <v>Johnson</v>
      </c>
      <c r="S874" s="25">
        <f t="shared" si="13"/>
        <v>25</v>
      </c>
      <c r="T874" t="str">
        <f>LEFT(Before_Tbl[[#This Row],[Department_Region]],FIND("-",Before_Tbl[[#This Row],[Department_Region]])-1)</f>
        <v>Finance</v>
      </c>
      <c r="U874" t="str">
        <f>RIGHT(Before_Tbl[[#This Row],[Department_Region]],LEN(Before_Tbl[[#This Row],[Department_Region]])-FIND("-",Before_Tbl[[#This Row],[Department_Region]]))</f>
        <v>Illinois</v>
      </c>
      <c r="V874" t="str">
        <f>TRIM(PROPER(Before_Tbl[[#This Row],[Status]]))</f>
        <v>Pending</v>
      </c>
      <c r="W874" s="26">
        <v>44282</v>
      </c>
      <c r="X874" s="4">
        <v>54417.71</v>
      </c>
      <c r="Y874" t="str">
        <f>TRIM(LOWER(Before_Tbl[[#This Row],[Email]]))</f>
        <v>bob.johnson@example.com</v>
      </c>
      <c r="Z874" s="2" t="str">
        <f>SUBSTITUTE(Before_Tbl[[#This Row],[Phone]],"-","")</f>
        <v>3733777311</v>
      </c>
      <c r="AA874" t="str">
        <f>TRIM(PROPER(Before_Tbl[[#This Row],[Performance_Score]]))</f>
        <v>Excellent</v>
      </c>
      <c r="AB874" s="2" t="str">
        <f>TRIM(UPPER(Before_Tbl[[#This Row],[Remote_Work]]))</f>
        <v>FALSE</v>
      </c>
    </row>
    <row r="875" spans="1:28" x14ac:dyDescent="0.35">
      <c r="A875" t="s">
        <v>1437</v>
      </c>
      <c r="B875" t="s">
        <v>37</v>
      </c>
      <c r="C875" t="s">
        <v>122</v>
      </c>
      <c r="D875">
        <v>40</v>
      </c>
      <c r="E875" t="s">
        <v>139</v>
      </c>
      <c r="F875" t="s">
        <v>28</v>
      </c>
      <c r="G875" t="s">
        <v>1438</v>
      </c>
      <c r="H875">
        <v>88211.94</v>
      </c>
      <c r="I875" t="s">
        <v>137</v>
      </c>
      <c r="J875">
        <v>-6881228216</v>
      </c>
      <c r="K875" t="s">
        <v>18</v>
      </c>
      <c r="L875" t="b">
        <v>0</v>
      </c>
      <c r="P875" t="str">
        <f>TRIM(Before_Tbl[[#This Row],[Employee_ID]])</f>
        <v>EMP1873</v>
      </c>
      <c r="Q875" t="str">
        <f>TRIM(PROPER(Before_Tbl[[#This Row],[First_Name]]))</f>
        <v>Frank</v>
      </c>
      <c r="R875" t="str">
        <f>TRIM(PROPER(Before_Tbl[[#This Row],[Last_Name]]))</f>
        <v>Smith</v>
      </c>
      <c r="S875" s="25">
        <f t="shared" si="13"/>
        <v>40</v>
      </c>
      <c r="T875" t="str">
        <f>LEFT(Before_Tbl[[#This Row],[Department_Region]],FIND("-",Before_Tbl[[#This Row],[Department_Region]])-1)</f>
        <v>HR</v>
      </c>
      <c r="U875" t="str">
        <f>RIGHT(Before_Tbl[[#This Row],[Department_Region]],LEN(Before_Tbl[[#This Row],[Department_Region]])-FIND("-",Before_Tbl[[#This Row],[Department_Region]]))</f>
        <v>Texas</v>
      </c>
      <c r="V875" t="str">
        <f>TRIM(PROPER(Before_Tbl[[#This Row],[Status]]))</f>
        <v>Pending</v>
      </c>
      <c r="W875" s="26">
        <v>45010</v>
      </c>
      <c r="X875" s="4">
        <v>88211.94</v>
      </c>
      <c r="Y875" t="str">
        <f>TRIM(LOWER(Before_Tbl[[#This Row],[Email]]))</f>
        <v>frank.smith@example.com</v>
      </c>
      <c r="Z875" s="2" t="str">
        <f>SUBSTITUTE(Before_Tbl[[#This Row],[Phone]],"-","")</f>
        <v>6881228216</v>
      </c>
      <c r="AA875" t="str">
        <f>TRIM(PROPER(Before_Tbl[[#This Row],[Performance_Score]]))</f>
        <v>Average</v>
      </c>
      <c r="AB875" s="2" t="str">
        <f>TRIM(UPPER(Before_Tbl[[#This Row],[Remote_Work]]))</f>
        <v>FALSE</v>
      </c>
    </row>
    <row r="876" spans="1:28" x14ac:dyDescent="0.35">
      <c r="A876" t="s">
        <v>1439</v>
      </c>
      <c r="B876" t="s">
        <v>59</v>
      </c>
      <c r="C876" t="s">
        <v>55</v>
      </c>
      <c r="D876">
        <v>25</v>
      </c>
      <c r="E876" t="s">
        <v>109</v>
      </c>
      <c r="F876" t="s">
        <v>33</v>
      </c>
      <c r="G876" s="1">
        <v>44079</v>
      </c>
      <c r="H876">
        <v>58452.18</v>
      </c>
      <c r="I876" t="s">
        <v>217</v>
      </c>
      <c r="J876">
        <v>-8192365345</v>
      </c>
      <c r="K876" t="s">
        <v>23</v>
      </c>
      <c r="L876" t="b">
        <v>1</v>
      </c>
      <c r="P876" t="str">
        <f>TRIM(Before_Tbl[[#This Row],[Employee_ID]])</f>
        <v>EMP1874</v>
      </c>
      <c r="Q876" t="str">
        <f>TRIM(PROPER(Before_Tbl[[#This Row],[First_Name]]))</f>
        <v>David</v>
      </c>
      <c r="R876" t="str">
        <f>TRIM(PROPER(Before_Tbl[[#This Row],[Last_Name]]))</f>
        <v>Johnson</v>
      </c>
      <c r="S876" s="25">
        <f t="shared" si="13"/>
        <v>25</v>
      </c>
      <c r="T876" t="str">
        <f>LEFT(Before_Tbl[[#This Row],[Department_Region]],FIND("-",Before_Tbl[[#This Row],[Department_Region]])-1)</f>
        <v>Sales</v>
      </c>
      <c r="U876" t="str">
        <f>RIGHT(Before_Tbl[[#This Row],[Department_Region]],LEN(Before_Tbl[[#This Row],[Department_Region]])-FIND("-",Before_Tbl[[#This Row],[Department_Region]]))</f>
        <v>New York</v>
      </c>
      <c r="V876" t="str">
        <f>TRIM(PROPER(Before_Tbl[[#This Row],[Status]]))</f>
        <v>Inactive</v>
      </c>
      <c r="W876" s="26">
        <v>44079</v>
      </c>
      <c r="X876" s="4">
        <v>58452.18</v>
      </c>
      <c r="Y876" t="str">
        <f>TRIM(LOWER(Before_Tbl[[#This Row],[Email]]))</f>
        <v>david.johnson@example.com</v>
      </c>
      <c r="Z876" s="2" t="str">
        <f>SUBSTITUTE(Before_Tbl[[#This Row],[Phone]],"-","")</f>
        <v>8192365345</v>
      </c>
      <c r="AA876" t="str">
        <f>TRIM(PROPER(Before_Tbl[[#This Row],[Performance_Score]]))</f>
        <v>Excellent</v>
      </c>
      <c r="AB876" s="2" t="str">
        <f>TRIM(UPPER(Before_Tbl[[#This Row],[Remote_Work]]))</f>
        <v>TRUE</v>
      </c>
    </row>
    <row r="877" spans="1:28" x14ac:dyDescent="0.35">
      <c r="A877" t="s">
        <v>1440</v>
      </c>
      <c r="B877" t="s">
        <v>69</v>
      </c>
      <c r="C877" t="s">
        <v>38</v>
      </c>
      <c r="D877">
        <v>30</v>
      </c>
      <c r="E877" t="s">
        <v>15</v>
      </c>
      <c r="F877" t="s">
        <v>28</v>
      </c>
      <c r="G877" s="1">
        <v>43902</v>
      </c>
      <c r="H877">
        <v>80706.28</v>
      </c>
      <c r="I877" t="s">
        <v>71</v>
      </c>
      <c r="J877">
        <v>-605603566</v>
      </c>
      <c r="K877" t="s">
        <v>18</v>
      </c>
      <c r="L877" t="b">
        <v>1</v>
      </c>
      <c r="P877" t="str">
        <f>TRIM(Before_Tbl[[#This Row],[Employee_ID]])</f>
        <v>EMP1875</v>
      </c>
      <c r="Q877" t="str">
        <f>TRIM(PROPER(Before_Tbl[[#This Row],[First_Name]]))</f>
        <v>Grace</v>
      </c>
      <c r="R877" t="str">
        <f>TRIM(PROPER(Before_Tbl[[#This Row],[Last_Name]]))</f>
        <v>Williams</v>
      </c>
      <c r="S877" s="25">
        <f t="shared" si="13"/>
        <v>30</v>
      </c>
      <c r="T877" t="str">
        <f>LEFT(Before_Tbl[[#This Row],[Department_Region]],FIND("-",Before_Tbl[[#This Row],[Department_Region]])-1)</f>
        <v>DevOps</v>
      </c>
      <c r="U877" t="str">
        <f>RIGHT(Before_Tbl[[#This Row],[Department_Region]],LEN(Before_Tbl[[#This Row],[Department_Region]])-FIND("-",Before_Tbl[[#This Row],[Department_Region]]))</f>
        <v>California</v>
      </c>
      <c r="V877" t="str">
        <f>TRIM(PROPER(Before_Tbl[[#This Row],[Status]]))</f>
        <v>Pending</v>
      </c>
      <c r="W877" s="26">
        <v>43902</v>
      </c>
      <c r="X877" s="4">
        <v>80706.28</v>
      </c>
      <c r="Y877" t="str">
        <f>TRIM(LOWER(Before_Tbl[[#This Row],[Email]]))</f>
        <v>grace.williams@example.com</v>
      </c>
      <c r="Z877" s="2" t="str">
        <f>SUBSTITUTE(Before_Tbl[[#This Row],[Phone]],"-","")</f>
        <v>605603566</v>
      </c>
      <c r="AA877" t="str">
        <f>TRIM(PROPER(Before_Tbl[[#This Row],[Performance_Score]]))</f>
        <v>Average</v>
      </c>
      <c r="AB877" s="2" t="str">
        <f>TRIM(UPPER(Before_Tbl[[#This Row],[Remote_Work]]))</f>
        <v>TRUE</v>
      </c>
    </row>
    <row r="878" spans="1:28" x14ac:dyDescent="0.35">
      <c r="A878" t="s">
        <v>1441</v>
      </c>
      <c r="B878" t="s">
        <v>25</v>
      </c>
      <c r="C878" t="s">
        <v>55</v>
      </c>
      <c r="D878">
        <v>30</v>
      </c>
      <c r="E878" t="s">
        <v>85</v>
      </c>
      <c r="F878" t="s">
        <v>28</v>
      </c>
      <c r="G878" s="1">
        <v>44806</v>
      </c>
      <c r="H878" t="s">
        <v>277</v>
      </c>
      <c r="I878" t="s">
        <v>150</v>
      </c>
      <c r="J878">
        <v>-9327986238</v>
      </c>
      <c r="K878" t="s">
        <v>30</v>
      </c>
      <c r="L878" t="b">
        <v>1</v>
      </c>
      <c r="P878" t="str">
        <f>TRIM(Before_Tbl[[#This Row],[Employee_ID]])</f>
        <v>EMP1876</v>
      </c>
      <c r="Q878" t="str">
        <f>TRIM(PROPER(Before_Tbl[[#This Row],[First_Name]]))</f>
        <v>Alice</v>
      </c>
      <c r="R878" t="str">
        <f>TRIM(PROPER(Before_Tbl[[#This Row],[Last_Name]]))</f>
        <v>Johnson</v>
      </c>
      <c r="S878" s="25">
        <f t="shared" si="13"/>
        <v>30</v>
      </c>
      <c r="T878" t="str">
        <f>LEFT(Before_Tbl[[#This Row],[Department_Region]],FIND("-",Before_Tbl[[#This Row],[Department_Region]])-1)</f>
        <v>Cloud Tech</v>
      </c>
      <c r="U878" t="str">
        <f>RIGHT(Before_Tbl[[#This Row],[Department_Region]],LEN(Before_Tbl[[#This Row],[Department_Region]])-FIND("-",Before_Tbl[[#This Row],[Department_Region]]))</f>
        <v>Nevada</v>
      </c>
      <c r="V878" t="str">
        <f>TRIM(PROPER(Before_Tbl[[#This Row],[Status]]))</f>
        <v>Pending</v>
      </c>
      <c r="W878" s="26">
        <v>44806</v>
      </c>
      <c r="X878" s="4"/>
      <c r="Y878" t="str">
        <f>TRIM(LOWER(Before_Tbl[[#This Row],[Email]]))</f>
        <v>alice.johnson@example.com</v>
      </c>
      <c r="Z878" s="2" t="str">
        <f>SUBSTITUTE(Before_Tbl[[#This Row],[Phone]],"-","")</f>
        <v>9327986238</v>
      </c>
      <c r="AA878" t="str">
        <f>TRIM(PROPER(Before_Tbl[[#This Row],[Performance_Score]]))</f>
        <v>Good</v>
      </c>
      <c r="AB878" s="2" t="str">
        <f>TRIM(UPPER(Before_Tbl[[#This Row],[Remote_Work]]))</f>
        <v>TRUE</v>
      </c>
    </row>
    <row r="879" spans="1:28" x14ac:dyDescent="0.35">
      <c r="A879" t="s">
        <v>1442</v>
      </c>
      <c r="B879" t="s">
        <v>65</v>
      </c>
      <c r="C879" t="s">
        <v>55</v>
      </c>
      <c r="D879">
        <v>25</v>
      </c>
      <c r="E879" t="s">
        <v>159</v>
      </c>
      <c r="F879" t="s">
        <v>16</v>
      </c>
      <c r="G879" s="1">
        <v>43837</v>
      </c>
      <c r="H879">
        <v>99471.89</v>
      </c>
      <c r="I879" t="s">
        <v>113</v>
      </c>
      <c r="J879">
        <v>-8471690617</v>
      </c>
      <c r="K879" t="s">
        <v>18</v>
      </c>
      <c r="L879" t="b">
        <v>1</v>
      </c>
      <c r="P879" t="str">
        <f>TRIM(Before_Tbl[[#This Row],[Employee_ID]])</f>
        <v>EMP1877</v>
      </c>
      <c r="Q879" t="str">
        <f>TRIM(PROPER(Before_Tbl[[#This Row],[First_Name]]))</f>
        <v>Heidi</v>
      </c>
      <c r="R879" t="str">
        <f>TRIM(PROPER(Before_Tbl[[#This Row],[Last_Name]]))</f>
        <v>Johnson</v>
      </c>
      <c r="S879" s="25">
        <f t="shared" si="13"/>
        <v>25</v>
      </c>
      <c r="T879" t="str">
        <f>LEFT(Before_Tbl[[#This Row],[Department_Region]],FIND("-",Before_Tbl[[#This Row],[Department_Region]])-1)</f>
        <v>Cloud Tech</v>
      </c>
      <c r="U879" t="str">
        <f>RIGHT(Before_Tbl[[#This Row],[Department_Region]],LEN(Before_Tbl[[#This Row],[Department_Region]])-FIND("-",Before_Tbl[[#This Row],[Department_Region]]))</f>
        <v>Texas</v>
      </c>
      <c r="V879" t="str">
        <f>TRIM(PROPER(Before_Tbl[[#This Row],[Status]]))</f>
        <v>Active</v>
      </c>
      <c r="W879" s="26">
        <v>43837</v>
      </c>
      <c r="X879" s="4">
        <v>99471.89</v>
      </c>
      <c r="Y879" t="str">
        <f>TRIM(LOWER(Before_Tbl[[#This Row],[Email]]))</f>
        <v>heidi.johnson@example.com</v>
      </c>
      <c r="Z879" s="2" t="str">
        <f>SUBSTITUTE(Before_Tbl[[#This Row],[Phone]],"-","")</f>
        <v>8471690617</v>
      </c>
      <c r="AA879" t="str">
        <f>TRIM(PROPER(Before_Tbl[[#This Row],[Performance_Score]]))</f>
        <v>Average</v>
      </c>
      <c r="AB879" s="2" t="str">
        <f>TRIM(UPPER(Before_Tbl[[#This Row],[Remote_Work]]))</f>
        <v>TRUE</v>
      </c>
    </row>
    <row r="880" spans="1:28" x14ac:dyDescent="0.35">
      <c r="A880" t="s">
        <v>1443</v>
      </c>
      <c r="B880" t="s">
        <v>32</v>
      </c>
      <c r="C880" t="s">
        <v>26</v>
      </c>
      <c r="D880">
        <v>40</v>
      </c>
      <c r="E880" t="s">
        <v>230</v>
      </c>
      <c r="F880" t="s">
        <v>28</v>
      </c>
      <c r="G880" t="s">
        <v>1444</v>
      </c>
      <c r="H880">
        <v>64431.22</v>
      </c>
      <c r="I880" t="s">
        <v>278</v>
      </c>
      <c r="J880">
        <v>-1205464753</v>
      </c>
      <c r="K880" t="s">
        <v>41</v>
      </c>
      <c r="L880" t="b">
        <v>0</v>
      </c>
      <c r="P880" t="str">
        <f>TRIM(Before_Tbl[[#This Row],[Employee_ID]])</f>
        <v>EMP1878</v>
      </c>
      <c r="Q880" t="str">
        <f>TRIM(PROPER(Before_Tbl[[#This Row],[First_Name]]))</f>
        <v>Eva</v>
      </c>
      <c r="R880" t="str">
        <f>TRIM(PROPER(Before_Tbl[[#This Row],[Last_Name]]))</f>
        <v>Jones</v>
      </c>
      <c r="S880" s="25">
        <f t="shared" si="13"/>
        <v>40</v>
      </c>
      <c r="T880" t="str">
        <f>LEFT(Before_Tbl[[#This Row],[Department_Region]],FIND("-",Before_Tbl[[#This Row],[Department_Region]])-1)</f>
        <v>DevOps</v>
      </c>
      <c r="U880" t="str">
        <f>RIGHT(Before_Tbl[[#This Row],[Department_Region]],LEN(Before_Tbl[[#This Row],[Department_Region]])-FIND("-",Before_Tbl[[#This Row],[Department_Region]]))</f>
        <v>Florida</v>
      </c>
      <c r="V880" t="str">
        <f>TRIM(PROPER(Before_Tbl[[#This Row],[Status]]))</f>
        <v>Pending</v>
      </c>
      <c r="W880" s="26">
        <v>44090</v>
      </c>
      <c r="X880" s="4">
        <v>64431.22</v>
      </c>
      <c r="Y880" t="str">
        <f>TRIM(LOWER(Before_Tbl[[#This Row],[Email]]))</f>
        <v>eva.jones@example.com</v>
      </c>
      <c r="Z880" s="2" t="str">
        <f>SUBSTITUTE(Before_Tbl[[#This Row],[Phone]],"-","")</f>
        <v>1205464753</v>
      </c>
      <c r="AA880" t="str">
        <f>TRIM(PROPER(Before_Tbl[[#This Row],[Performance_Score]]))</f>
        <v>Poor</v>
      </c>
      <c r="AB880" s="2" t="str">
        <f>TRIM(UPPER(Before_Tbl[[#This Row],[Remote_Work]]))</f>
        <v>FALSE</v>
      </c>
    </row>
    <row r="881" spans="1:28" x14ac:dyDescent="0.35">
      <c r="A881" t="s">
        <v>1445</v>
      </c>
      <c r="B881" t="s">
        <v>65</v>
      </c>
      <c r="C881" t="s">
        <v>26</v>
      </c>
      <c r="D881">
        <v>40</v>
      </c>
      <c r="E881" t="s">
        <v>196</v>
      </c>
      <c r="F881" t="s">
        <v>28</v>
      </c>
      <c r="G881" t="s">
        <v>1293</v>
      </c>
      <c r="H881">
        <v>52633.48</v>
      </c>
      <c r="I881" t="s">
        <v>320</v>
      </c>
      <c r="J881">
        <v>-8954787697</v>
      </c>
      <c r="K881" t="s">
        <v>30</v>
      </c>
      <c r="L881" t="b">
        <v>0</v>
      </c>
      <c r="P881" t="str">
        <f>TRIM(Before_Tbl[[#This Row],[Employee_ID]])</f>
        <v>EMP1879</v>
      </c>
      <c r="Q881" t="str">
        <f>TRIM(PROPER(Before_Tbl[[#This Row],[First_Name]]))</f>
        <v>Heidi</v>
      </c>
      <c r="R881" t="str">
        <f>TRIM(PROPER(Before_Tbl[[#This Row],[Last_Name]]))</f>
        <v>Jones</v>
      </c>
      <c r="S881" s="25">
        <f t="shared" si="13"/>
        <v>40</v>
      </c>
      <c r="T881" t="str">
        <f>LEFT(Before_Tbl[[#This Row],[Department_Region]],FIND("-",Before_Tbl[[#This Row],[Department_Region]])-1)</f>
        <v>Admin</v>
      </c>
      <c r="U881" t="str">
        <f>RIGHT(Before_Tbl[[#This Row],[Department_Region]],LEN(Before_Tbl[[#This Row],[Department_Region]])-FIND("-",Before_Tbl[[#This Row],[Department_Region]]))</f>
        <v>New York</v>
      </c>
      <c r="V881" t="str">
        <f>TRIM(PROPER(Before_Tbl[[#This Row],[Status]]))</f>
        <v>Pending</v>
      </c>
      <c r="W881" s="26">
        <v>45247</v>
      </c>
      <c r="X881" s="4">
        <v>52633.48</v>
      </c>
      <c r="Y881" t="str">
        <f>TRIM(LOWER(Before_Tbl[[#This Row],[Email]]))</f>
        <v>heidi.jones@example.com</v>
      </c>
      <c r="Z881" s="2" t="str">
        <f>SUBSTITUTE(Before_Tbl[[#This Row],[Phone]],"-","")</f>
        <v>8954787697</v>
      </c>
      <c r="AA881" t="str">
        <f>TRIM(PROPER(Before_Tbl[[#This Row],[Performance_Score]]))</f>
        <v>Good</v>
      </c>
      <c r="AB881" s="2" t="str">
        <f>TRIM(UPPER(Before_Tbl[[#This Row],[Remote_Work]]))</f>
        <v>FALSE</v>
      </c>
    </row>
    <row r="882" spans="1:28" x14ac:dyDescent="0.35">
      <c r="A882" t="s">
        <v>1446</v>
      </c>
      <c r="B882" t="s">
        <v>65</v>
      </c>
      <c r="C882" t="s">
        <v>26</v>
      </c>
      <c r="E882" t="s">
        <v>85</v>
      </c>
      <c r="F882" t="s">
        <v>33</v>
      </c>
      <c r="G882" t="s">
        <v>1447</v>
      </c>
      <c r="H882">
        <v>79315.009999999995</v>
      </c>
      <c r="I882" t="s">
        <v>320</v>
      </c>
      <c r="J882">
        <v>-9992751757</v>
      </c>
      <c r="K882" t="s">
        <v>41</v>
      </c>
      <c r="L882" t="b">
        <v>1</v>
      </c>
      <c r="P882" t="str">
        <f>TRIM(Before_Tbl[[#This Row],[Employee_ID]])</f>
        <v>EMP1880</v>
      </c>
      <c r="Q882" t="str">
        <f>TRIM(PROPER(Before_Tbl[[#This Row],[First_Name]]))</f>
        <v>Heidi</v>
      </c>
      <c r="R882" t="str">
        <f>TRIM(PROPER(Before_Tbl[[#This Row],[Last_Name]]))</f>
        <v>Jones</v>
      </c>
      <c r="S882" s="25">
        <f t="shared" si="13"/>
        <v>30</v>
      </c>
      <c r="T882" t="str">
        <f>LEFT(Before_Tbl[[#This Row],[Department_Region]],FIND("-",Before_Tbl[[#This Row],[Department_Region]])-1)</f>
        <v>Cloud Tech</v>
      </c>
      <c r="U882" t="str">
        <f>RIGHT(Before_Tbl[[#This Row],[Department_Region]],LEN(Before_Tbl[[#This Row],[Department_Region]])-FIND("-",Before_Tbl[[#This Row],[Department_Region]]))</f>
        <v>Nevada</v>
      </c>
      <c r="V882" t="str">
        <f>TRIM(PROPER(Before_Tbl[[#This Row],[Status]]))</f>
        <v>Inactive</v>
      </c>
      <c r="W882" s="26">
        <v>44543</v>
      </c>
      <c r="X882" s="4">
        <v>79315.009999999995</v>
      </c>
      <c r="Y882" t="str">
        <f>TRIM(LOWER(Before_Tbl[[#This Row],[Email]]))</f>
        <v>heidi.jones@example.com</v>
      </c>
      <c r="Z882" s="2" t="str">
        <f>SUBSTITUTE(Before_Tbl[[#This Row],[Phone]],"-","")</f>
        <v>9992751757</v>
      </c>
      <c r="AA882" t="str">
        <f>TRIM(PROPER(Before_Tbl[[#This Row],[Performance_Score]]))</f>
        <v>Poor</v>
      </c>
      <c r="AB882" s="2" t="str">
        <f>TRIM(UPPER(Before_Tbl[[#This Row],[Remote_Work]]))</f>
        <v>TRUE</v>
      </c>
    </row>
    <row r="883" spans="1:28" x14ac:dyDescent="0.35">
      <c r="A883" t="s">
        <v>1448</v>
      </c>
      <c r="B883" t="s">
        <v>59</v>
      </c>
      <c r="C883" t="s">
        <v>92</v>
      </c>
      <c r="D883">
        <v>25</v>
      </c>
      <c r="E883" t="s">
        <v>44</v>
      </c>
      <c r="F883" t="s">
        <v>28</v>
      </c>
      <c r="G883" s="1">
        <v>44866</v>
      </c>
      <c r="H883">
        <v>110391.17</v>
      </c>
      <c r="I883" t="s">
        <v>107</v>
      </c>
      <c r="J883">
        <v>-8914444982</v>
      </c>
      <c r="K883" t="s">
        <v>23</v>
      </c>
      <c r="L883" t="b">
        <v>0</v>
      </c>
      <c r="P883" t="str">
        <f>TRIM(Before_Tbl[[#This Row],[Employee_ID]])</f>
        <v>EMP1881</v>
      </c>
      <c r="Q883" t="str">
        <f>TRIM(PROPER(Before_Tbl[[#This Row],[First_Name]]))</f>
        <v>David</v>
      </c>
      <c r="R883" t="str">
        <f>TRIM(PROPER(Before_Tbl[[#This Row],[Last_Name]]))</f>
        <v>Miller</v>
      </c>
      <c r="S883" s="25">
        <f t="shared" si="13"/>
        <v>25</v>
      </c>
      <c r="T883" t="str">
        <f>LEFT(Before_Tbl[[#This Row],[Department_Region]],FIND("-",Before_Tbl[[#This Row],[Department_Region]])-1)</f>
        <v>Sales</v>
      </c>
      <c r="U883" t="str">
        <f>RIGHT(Before_Tbl[[#This Row],[Department_Region]],LEN(Before_Tbl[[#This Row],[Department_Region]])-FIND("-",Before_Tbl[[#This Row],[Department_Region]]))</f>
        <v>Texas</v>
      </c>
      <c r="V883" t="str">
        <f>TRIM(PROPER(Before_Tbl[[#This Row],[Status]]))</f>
        <v>Pending</v>
      </c>
      <c r="W883" s="26">
        <v>44866</v>
      </c>
      <c r="X883" s="4">
        <v>110391.17</v>
      </c>
      <c r="Y883" t="str">
        <f>TRIM(LOWER(Before_Tbl[[#This Row],[Email]]))</f>
        <v>david.miller@example.com</v>
      </c>
      <c r="Z883" s="2" t="str">
        <f>SUBSTITUTE(Before_Tbl[[#This Row],[Phone]],"-","")</f>
        <v>8914444982</v>
      </c>
      <c r="AA883" t="str">
        <f>TRIM(PROPER(Before_Tbl[[#This Row],[Performance_Score]]))</f>
        <v>Excellent</v>
      </c>
      <c r="AB883" s="2" t="str">
        <f>TRIM(UPPER(Before_Tbl[[#This Row],[Remote_Work]]))</f>
        <v>FALSE</v>
      </c>
    </row>
    <row r="884" spans="1:28" x14ac:dyDescent="0.35">
      <c r="A884" t="s">
        <v>1449</v>
      </c>
      <c r="B884" t="s">
        <v>59</v>
      </c>
      <c r="C884" t="s">
        <v>38</v>
      </c>
      <c r="D884">
        <v>40</v>
      </c>
      <c r="E884" t="s">
        <v>329</v>
      </c>
      <c r="F884" t="s">
        <v>16</v>
      </c>
      <c r="G884" t="s">
        <v>1450</v>
      </c>
      <c r="H884">
        <v>53714.83</v>
      </c>
      <c r="I884" t="s">
        <v>61</v>
      </c>
      <c r="J884">
        <v>-5539354357</v>
      </c>
      <c r="K884" t="s">
        <v>23</v>
      </c>
      <c r="L884" t="b">
        <v>1</v>
      </c>
      <c r="P884" t="str">
        <f>TRIM(Before_Tbl[[#This Row],[Employee_ID]])</f>
        <v>EMP1882</v>
      </c>
      <c r="Q884" t="str">
        <f>TRIM(PROPER(Before_Tbl[[#This Row],[First_Name]]))</f>
        <v>David</v>
      </c>
      <c r="R884" t="str">
        <f>TRIM(PROPER(Before_Tbl[[#This Row],[Last_Name]]))</f>
        <v>Williams</v>
      </c>
      <c r="S884" s="25">
        <f t="shared" si="13"/>
        <v>40</v>
      </c>
      <c r="T884" t="str">
        <f>LEFT(Before_Tbl[[#This Row],[Department_Region]],FIND("-",Before_Tbl[[#This Row],[Department_Region]])-1)</f>
        <v>DevOps</v>
      </c>
      <c r="U884" t="str">
        <f>RIGHT(Before_Tbl[[#This Row],[Department_Region]],LEN(Before_Tbl[[#This Row],[Department_Region]])-FIND("-",Before_Tbl[[#This Row],[Department_Region]]))</f>
        <v>Nevada</v>
      </c>
      <c r="V884" t="str">
        <f>TRIM(PROPER(Before_Tbl[[#This Row],[Status]]))</f>
        <v>Active</v>
      </c>
      <c r="W884" s="26">
        <v>44397</v>
      </c>
      <c r="X884" s="4">
        <v>53714.83</v>
      </c>
      <c r="Y884" t="str">
        <f>TRIM(LOWER(Before_Tbl[[#This Row],[Email]]))</f>
        <v>david.williams@example.com</v>
      </c>
      <c r="Z884" s="2" t="str">
        <f>SUBSTITUTE(Before_Tbl[[#This Row],[Phone]],"-","")</f>
        <v>5539354357</v>
      </c>
      <c r="AA884" t="str">
        <f>TRIM(PROPER(Before_Tbl[[#This Row],[Performance_Score]]))</f>
        <v>Excellent</v>
      </c>
      <c r="AB884" s="2" t="str">
        <f>TRIM(UPPER(Before_Tbl[[#This Row],[Remote_Work]]))</f>
        <v>TRUE</v>
      </c>
    </row>
    <row r="885" spans="1:28" x14ac:dyDescent="0.35">
      <c r="A885" t="s">
        <v>1451</v>
      </c>
      <c r="B885" t="s">
        <v>54</v>
      </c>
      <c r="C885" t="s">
        <v>43</v>
      </c>
      <c r="D885">
        <v>40</v>
      </c>
      <c r="E885" t="s">
        <v>227</v>
      </c>
      <c r="F885" t="s">
        <v>16</v>
      </c>
      <c r="G885" s="1">
        <v>45026</v>
      </c>
      <c r="H885">
        <v>114587.11</v>
      </c>
      <c r="I885" t="s">
        <v>87</v>
      </c>
      <c r="J885">
        <v>-6449639242</v>
      </c>
      <c r="K885" t="s">
        <v>23</v>
      </c>
      <c r="L885" t="b">
        <v>1</v>
      </c>
      <c r="P885" t="str">
        <f>TRIM(Before_Tbl[[#This Row],[Employee_ID]])</f>
        <v>EMP1883</v>
      </c>
      <c r="Q885" t="str">
        <f>TRIM(PROPER(Before_Tbl[[#This Row],[First_Name]]))</f>
        <v>Charlie</v>
      </c>
      <c r="R885" t="str">
        <f>TRIM(PROPER(Before_Tbl[[#This Row],[Last_Name]]))</f>
        <v>Garcia</v>
      </c>
      <c r="S885" s="25">
        <f t="shared" si="13"/>
        <v>40</v>
      </c>
      <c r="T885" t="str">
        <f>LEFT(Before_Tbl[[#This Row],[Department_Region]],FIND("-",Before_Tbl[[#This Row],[Department_Region]])-1)</f>
        <v>Finance</v>
      </c>
      <c r="U885" t="str">
        <f>RIGHT(Before_Tbl[[#This Row],[Department_Region]],LEN(Before_Tbl[[#This Row],[Department_Region]])-FIND("-",Before_Tbl[[#This Row],[Department_Region]]))</f>
        <v>New York</v>
      </c>
      <c r="V885" t="str">
        <f>TRIM(PROPER(Before_Tbl[[#This Row],[Status]]))</f>
        <v>Active</v>
      </c>
      <c r="W885" s="26">
        <v>45026</v>
      </c>
      <c r="X885" s="4">
        <v>114587.11</v>
      </c>
      <c r="Y885" t="str">
        <f>TRIM(LOWER(Before_Tbl[[#This Row],[Email]]))</f>
        <v>charlie.garcia@example.com</v>
      </c>
      <c r="Z885" s="2" t="str">
        <f>SUBSTITUTE(Before_Tbl[[#This Row],[Phone]],"-","")</f>
        <v>6449639242</v>
      </c>
      <c r="AA885" t="str">
        <f>TRIM(PROPER(Before_Tbl[[#This Row],[Performance_Score]]))</f>
        <v>Excellent</v>
      </c>
      <c r="AB885" s="2" t="str">
        <f>TRIM(UPPER(Before_Tbl[[#This Row],[Remote_Work]]))</f>
        <v>TRUE</v>
      </c>
    </row>
    <row r="886" spans="1:28" x14ac:dyDescent="0.35">
      <c r="A886" t="s">
        <v>1452</v>
      </c>
      <c r="B886" t="s">
        <v>37</v>
      </c>
      <c r="C886" t="s">
        <v>43</v>
      </c>
      <c r="D886">
        <v>35</v>
      </c>
      <c r="E886" t="s">
        <v>205</v>
      </c>
      <c r="F886" t="s">
        <v>33</v>
      </c>
      <c r="G886" t="s">
        <v>1453</v>
      </c>
      <c r="H886">
        <v>93177.35</v>
      </c>
      <c r="I886" t="s">
        <v>180</v>
      </c>
      <c r="J886">
        <v>-5885379820</v>
      </c>
      <c r="K886" t="s">
        <v>18</v>
      </c>
      <c r="L886" t="b">
        <v>0</v>
      </c>
      <c r="P886" t="str">
        <f>TRIM(Before_Tbl[[#This Row],[Employee_ID]])</f>
        <v>EMP1884</v>
      </c>
      <c r="Q886" t="str">
        <f>TRIM(PROPER(Before_Tbl[[#This Row],[First_Name]]))</f>
        <v>Frank</v>
      </c>
      <c r="R886" t="str">
        <f>TRIM(PROPER(Before_Tbl[[#This Row],[Last_Name]]))</f>
        <v>Garcia</v>
      </c>
      <c r="S886" s="25">
        <f t="shared" si="13"/>
        <v>35</v>
      </c>
      <c r="T886" t="str">
        <f>LEFT(Before_Tbl[[#This Row],[Department_Region]],FIND("-",Before_Tbl[[#This Row],[Department_Region]])-1)</f>
        <v>Admin</v>
      </c>
      <c r="U886" t="str">
        <f>RIGHT(Before_Tbl[[#This Row],[Department_Region]],LEN(Before_Tbl[[#This Row],[Department_Region]])-FIND("-",Before_Tbl[[#This Row],[Department_Region]]))</f>
        <v>Florida</v>
      </c>
      <c r="V886" t="str">
        <f>TRIM(PROPER(Before_Tbl[[#This Row],[Status]]))</f>
        <v>Inactive</v>
      </c>
      <c r="W886" s="26">
        <v>44515</v>
      </c>
      <c r="X886" s="4">
        <v>93177.35</v>
      </c>
      <c r="Y886" t="str">
        <f>TRIM(LOWER(Before_Tbl[[#This Row],[Email]]))</f>
        <v>frank.garcia@example.com</v>
      </c>
      <c r="Z886" s="2" t="str">
        <f>SUBSTITUTE(Before_Tbl[[#This Row],[Phone]],"-","")</f>
        <v>5885379820</v>
      </c>
      <c r="AA886" t="str">
        <f>TRIM(PROPER(Before_Tbl[[#This Row],[Performance_Score]]))</f>
        <v>Average</v>
      </c>
      <c r="AB886" s="2" t="str">
        <f>TRIM(UPPER(Before_Tbl[[#This Row],[Remote_Work]]))</f>
        <v>FALSE</v>
      </c>
    </row>
    <row r="887" spans="1:28" x14ac:dyDescent="0.35">
      <c r="A887" t="s">
        <v>1454</v>
      </c>
      <c r="B887" t="s">
        <v>65</v>
      </c>
      <c r="C887" t="s">
        <v>26</v>
      </c>
      <c r="D887">
        <v>25</v>
      </c>
      <c r="E887" t="s">
        <v>85</v>
      </c>
      <c r="F887" t="s">
        <v>16</v>
      </c>
      <c r="G887" s="1">
        <v>45047</v>
      </c>
      <c r="H887">
        <v>62312.13</v>
      </c>
      <c r="I887" t="s">
        <v>320</v>
      </c>
      <c r="J887">
        <v>-4339527535</v>
      </c>
      <c r="K887" t="s">
        <v>30</v>
      </c>
      <c r="L887" t="b">
        <v>0</v>
      </c>
      <c r="P887" t="str">
        <f>TRIM(Before_Tbl[[#This Row],[Employee_ID]])</f>
        <v>EMP1885</v>
      </c>
      <c r="Q887" t="str">
        <f>TRIM(PROPER(Before_Tbl[[#This Row],[First_Name]]))</f>
        <v>Heidi</v>
      </c>
      <c r="R887" t="str">
        <f>TRIM(PROPER(Before_Tbl[[#This Row],[Last_Name]]))</f>
        <v>Jones</v>
      </c>
      <c r="S887" s="25">
        <f t="shared" si="13"/>
        <v>25</v>
      </c>
      <c r="T887" t="str">
        <f>LEFT(Before_Tbl[[#This Row],[Department_Region]],FIND("-",Before_Tbl[[#This Row],[Department_Region]])-1)</f>
        <v>Cloud Tech</v>
      </c>
      <c r="U887" t="str">
        <f>RIGHT(Before_Tbl[[#This Row],[Department_Region]],LEN(Before_Tbl[[#This Row],[Department_Region]])-FIND("-",Before_Tbl[[#This Row],[Department_Region]]))</f>
        <v>Nevada</v>
      </c>
      <c r="V887" t="str">
        <f>TRIM(PROPER(Before_Tbl[[#This Row],[Status]]))</f>
        <v>Active</v>
      </c>
      <c r="W887" s="26">
        <v>45047</v>
      </c>
      <c r="X887" s="4">
        <v>62312.13</v>
      </c>
      <c r="Y887" t="str">
        <f>TRIM(LOWER(Before_Tbl[[#This Row],[Email]]))</f>
        <v>heidi.jones@example.com</v>
      </c>
      <c r="Z887" s="2" t="str">
        <f>SUBSTITUTE(Before_Tbl[[#This Row],[Phone]],"-","")</f>
        <v>4339527535</v>
      </c>
      <c r="AA887" t="str">
        <f>TRIM(PROPER(Before_Tbl[[#This Row],[Performance_Score]]))</f>
        <v>Good</v>
      </c>
      <c r="AB887" s="2" t="str">
        <f>TRIM(UPPER(Before_Tbl[[#This Row],[Remote_Work]]))</f>
        <v>FALSE</v>
      </c>
    </row>
    <row r="888" spans="1:28" x14ac:dyDescent="0.35">
      <c r="A888" t="s">
        <v>1455</v>
      </c>
      <c r="B888" t="s">
        <v>65</v>
      </c>
      <c r="C888" t="s">
        <v>122</v>
      </c>
      <c r="E888" t="s">
        <v>159</v>
      </c>
      <c r="F888" t="s">
        <v>16</v>
      </c>
      <c r="G888" t="s">
        <v>1456</v>
      </c>
      <c r="H888">
        <v>81137.460000000006</v>
      </c>
      <c r="I888" t="s">
        <v>367</v>
      </c>
      <c r="J888">
        <v>-7497852490</v>
      </c>
      <c r="K888" t="s">
        <v>23</v>
      </c>
      <c r="L888" t="b">
        <v>0</v>
      </c>
      <c r="P888" t="str">
        <f>TRIM(Before_Tbl[[#This Row],[Employee_ID]])</f>
        <v>EMP1886</v>
      </c>
      <c r="Q888" t="str">
        <f>TRIM(PROPER(Before_Tbl[[#This Row],[First_Name]]))</f>
        <v>Heidi</v>
      </c>
      <c r="R888" t="str">
        <f>TRIM(PROPER(Before_Tbl[[#This Row],[Last_Name]]))</f>
        <v>Smith</v>
      </c>
      <c r="S888" s="25">
        <f t="shared" si="13"/>
        <v>30</v>
      </c>
      <c r="T888" t="str">
        <f>LEFT(Before_Tbl[[#This Row],[Department_Region]],FIND("-",Before_Tbl[[#This Row],[Department_Region]])-1)</f>
        <v>Cloud Tech</v>
      </c>
      <c r="U888" t="str">
        <f>RIGHT(Before_Tbl[[#This Row],[Department_Region]],LEN(Before_Tbl[[#This Row],[Department_Region]])-FIND("-",Before_Tbl[[#This Row],[Department_Region]]))</f>
        <v>Texas</v>
      </c>
      <c r="V888" t="str">
        <f>TRIM(PROPER(Before_Tbl[[#This Row],[Status]]))</f>
        <v>Active</v>
      </c>
      <c r="W888" s="26">
        <v>45308</v>
      </c>
      <c r="X888" s="4">
        <v>81137.460000000006</v>
      </c>
      <c r="Y888" t="str">
        <f>TRIM(LOWER(Before_Tbl[[#This Row],[Email]]))</f>
        <v>heidi.smith@example.com</v>
      </c>
      <c r="Z888" s="2" t="str">
        <f>SUBSTITUTE(Before_Tbl[[#This Row],[Phone]],"-","")</f>
        <v>7497852490</v>
      </c>
      <c r="AA888" t="str">
        <f>TRIM(PROPER(Before_Tbl[[#This Row],[Performance_Score]]))</f>
        <v>Excellent</v>
      </c>
      <c r="AB888" s="2" t="str">
        <f>TRIM(UPPER(Before_Tbl[[#This Row],[Remote_Work]]))</f>
        <v>FALSE</v>
      </c>
    </row>
    <row r="889" spans="1:28" x14ac:dyDescent="0.35">
      <c r="A889" t="s">
        <v>1457</v>
      </c>
      <c r="B889" t="s">
        <v>69</v>
      </c>
      <c r="C889" t="s">
        <v>92</v>
      </c>
      <c r="D889">
        <v>30</v>
      </c>
      <c r="E889" t="s">
        <v>329</v>
      </c>
      <c r="F889" t="s">
        <v>33</v>
      </c>
      <c r="G889" t="s">
        <v>1458</v>
      </c>
      <c r="H889">
        <v>104528.27</v>
      </c>
      <c r="I889" t="s">
        <v>168</v>
      </c>
      <c r="J889">
        <v>-4168601346</v>
      </c>
      <c r="K889" t="s">
        <v>23</v>
      </c>
      <c r="L889" t="b">
        <v>0</v>
      </c>
      <c r="P889" t="str">
        <f>TRIM(Before_Tbl[[#This Row],[Employee_ID]])</f>
        <v>EMP1887</v>
      </c>
      <c r="Q889" t="str">
        <f>TRIM(PROPER(Before_Tbl[[#This Row],[First_Name]]))</f>
        <v>Grace</v>
      </c>
      <c r="R889" t="str">
        <f>TRIM(PROPER(Before_Tbl[[#This Row],[Last_Name]]))</f>
        <v>Miller</v>
      </c>
      <c r="S889" s="25">
        <f t="shared" si="13"/>
        <v>30</v>
      </c>
      <c r="T889" t="str">
        <f>LEFT(Before_Tbl[[#This Row],[Department_Region]],FIND("-",Before_Tbl[[#This Row],[Department_Region]])-1)</f>
        <v>DevOps</v>
      </c>
      <c r="U889" t="str">
        <f>RIGHT(Before_Tbl[[#This Row],[Department_Region]],LEN(Before_Tbl[[#This Row],[Department_Region]])-FIND("-",Before_Tbl[[#This Row],[Department_Region]]))</f>
        <v>Nevada</v>
      </c>
      <c r="V889" t="str">
        <f>TRIM(PROPER(Before_Tbl[[#This Row],[Status]]))</f>
        <v>Inactive</v>
      </c>
      <c r="W889" s="26">
        <v>44302</v>
      </c>
      <c r="X889" s="4">
        <v>104528.27</v>
      </c>
      <c r="Y889" t="str">
        <f>TRIM(LOWER(Before_Tbl[[#This Row],[Email]]))</f>
        <v>grace.miller@example.com</v>
      </c>
      <c r="Z889" s="2" t="str">
        <f>SUBSTITUTE(Before_Tbl[[#This Row],[Phone]],"-","")</f>
        <v>4168601346</v>
      </c>
      <c r="AA889" t="str">
        <f>TRIM(PROPER(Before_Tbl[[#This Row],[Performance_Score]]))</f>
        <v>Excellent</v>
      </c>
      <c r="AB889" s="2" t="str">
        <f>TRIM(UPPER(Before_Tbl[[#This Row],[Remote_Work]]))</f>
        <v>FALSE</v>
      </c>
    </row>
    <row r="890" spans="1:28" x14ac:dyDescent="0.35">
      <c r="A890" t="s">
        <v>1459</v>
      </c>
      <c r="B890" t="s">
        <v>13</v>
      </c>
      <c r="C890" t="s">
        <v>20</v>
      </c>
      <c r="D890">
        <v>30</v>
      </c>
      <c r="E890" t="s">
        <v>230</v>
      </c>
      <c r="F890" t="s">
        <v>16</v>
      </c>
      <c r="G890" s="1">
        <v>44775</v>
      </c>
      <c r="H890">
        <v>112395.56</v>
      </c>
      <c r="I890" t="s">
        <v>22</v>
      </c>
      <c r="J890">
        <v>-7894896339</v>
      </c>
      <c r="K890" t="s">
        <v>30</v>
      </c>
      <c r="L890" t="b">
        <v>0</v>
      </c>
      <c r="P890" t="str">
        <f>TRIM(Before_Tbl[[#This Row],[Employee_ID]])</f>
        <v>EMP1888</v>
      </c>
      <c r="Q890" t="str">
        <f>TRIM(PROPER(Before_Tbl[[#This Row],[First_Name]]))</f>
        <v>Bob</v>
      </c>
      <c r="R890" t="str">
        <f>TRIM(PROPER(Before_Tbl[[#This Row],[Last_Name]]))</f>
        <v>Brown</v>
      </c>
      <c r="S890" s="25">
        <f t="shared" si="13"/>
        <v>30</v>
      </c>
      <c r="T890" t="str">
        <f>LEFT(Before_Tbl[[#This Row],[Department_Region]],FIND("-",Before_Tbl[[#This Row],[Department_Region]])-1)</f>
        <v>DevOps</v>
      </c>
      <c r="U890" t="str">
        <f>RIGHT(Before_Tbl[[#This Row],[Department_Region]],LEN(Before_Tbl[[#This Row],[Department_Region]])-FIND("-",Before_Tbl[[#This Row],[Department_Region]]))</f>
        <v>Florida</v>
      </c>
      <c r="V890" t="str">
        <f>TRIM(PROPER(Before_Tbl[[#This Row],[Status]]))</f>
        <v>Active</v>
      </c>
      <c r="W890" s="26">
        <v>44775</v>
      </c>
      <c r="X890" s="4">
        <v>112395.56</v>
      </c>
      <c r="Y890" t="str">
        <f>TRIM(LOWER(Before_Tbl[[#This Row],[Email]]))</f>
        <v>bob.brown@example.com</v>
      </c>
      <c r="Z890" s="2" t="str">
        <f>SUBSTITUTE(Before_Tbl[[#This Row],[Phone]],"-","")</f>
        <v>7894896339</v>
      </c>
      <c r="AA890" t="str">
        <f>TRIM(PROPER(Before_Tbl[[#This Row],[Performance_Score]]))</f>
        <v>Good</v>
      </c>
      <c r="AB890" s="2" t="str">
        <f>TRIM(UPPER(Before_Tbl[[#This Row],[Remote_Work]]))</f>
        <v>FALSE</v>
      </c>
    </row>
    <row r="891" spans="1:28" x14ac:dyDescent="0.35">
      <c r="A891" t="s">
        <v>1460</v>
      </c>
      <c r="B891" t="s">
        <v>65</v>
      </c>
      <c r="C891" t="s">
        <v>122</v>
      </c>
      <c r="D891">
        <v>25</v>
      </c>
      <c r="E891" t="s">
        <v>227</v>
      </c>
      <c r="F891" t="s">
        <v>16</v>
      </c>
      <c r="G891" s="1">
        <v>44963</v>
      </c>
      <c r="H891">
        <v>81849.36</v>
      </c>
      <c r="I891" t="s">
        <v>367</v>
      </c>
      <c r="J891">
        <v>-6791766511</v>
      </c>
      <c r="K891" t="s">
        <v>23</v>
      </c>
      <c r="L891" t="b">
        <v>0</v>
      </c>
      <c r="P891" t="str">
        <f>TRIM(Before_Tbl[[#This Row],[Employee_ID]])</f>
        <v>EMP1889</v>
      </c>
      <c r="Q891" t="str">
        <f>TRIM(PROPER(Before_Tbl[[#This Row],[First_Name]]))</f>
        <v>Heidi</v>
      </c>
      <c r="R891" t="str">
        <f>TRIM(PROPER(Before_Tbl[[#This Row],[Last_Name]]))</f>
        <v>Smith</v>
      </c>
      <c r="S891" s="25">
        <f t="shared" si="13"/>
        <v>25</v>
      </c>
      <c r="T891" t="str">
        <f>LEFT(Before_Tbl[[#This Row],[Department_Region]],FIND("-",Before_Tbl[[#This Row],[Department_Region]])-1)</f>
        <v>Finance</v>
      </c>
      <c r="U891" t="str">
        <f>RIGHT(Before_Tbl[[#This Row],[Department_Region]],LEN(Before_Tbl[[#This Row],[Department_Region]])-FIND("-",Before_Tbl[[#This Row],[Department_Region]]))</f>
        <v>New York</v>
      </c>
      <c r="V891" t="str">
        <f>TRIM(PROPER(Before_Tbl[[#This Row],[Status]]))</f>
        <v>Active</v>
      </c>
      <c r="W891" s="26">
        <v>44963</v>
      </c>
      <c r="X891" s="4">
        <v>81849.36</v>
      </c>
      <c r="Y891" t="str">
        <f>TRIM(LOWER(Before_Tbl[[#This Row],[Email]]))</f>
        <v>heidi.smith@example.com</v>
      </c>
      <c r="Z891" s="2" t="str">
        <f>SUBSTITUTE(Before_Tbl[[#This Row],[Phone]],"-","")</f>
        <v>6791766511</v>
      </c>
      <c r="AA891" t="str">
        <f>TRIM(PROPER(Before_Tbl[[#This Row],[Performance_Score]]))</f>
        <v>Excellent</v>
      </c>
      <c r="AB891" s="2" t="str">
        <f>TRIM(UPPER(Before_Tbl[[#This Row],[Remote_Work]]))</f>
        <v>FALSE</v>
      </c>
    </row>
    <row r="892" spans="1:28" x14ac:dyDescent="0.35">
      <c r="A892" t="s">
        <v>1461</v>
      </c>
      <c r="B892" t="s">
        <v>54</v>
      </c>
      <c r="C892" t="s">
        <v>14</v>
      </c>
      <c r="D892">
        <v>40</v>
      </c>
      <c r="E892" t="s">
        <v>56</v>
      </c>
      <c r="F892" t="s">
        <v>28</v>
      </c>
      <c r="G892" s="1">
        <v>44652</v>
      </c>
      <c r="H892">
        <v>118288.91</v>
      </c>
      <c r="I892" t="s">
        <v>170</v>
      </c>
      <c r="J892">
        <v>-2150014187</v>
      </c>
      <c r="K892" t="s">
        <v>41</v>
      </c>
      <c r="L892" t="b">
        <v>0</v>
      </c>
      <c r="P892" t="str">
        <f>TRIM(Before_Tbl[[#This Row],[Employee_ID]])</f>
        <v>EMP1890</v>
      </c>
      <c r="Q892" t="str">
        <f>TRIM(PROPER(Before_Tbl[[#This Row],[First_Name]]))</f>
        <v>Charlie</v>
      </c>
      <c r="R892" t="str">
        <f>TRIM(PROPER(Before_Tbl[[#This Row],[Last_Name]]))</f>
        <v>Davis</v>
      </c>
      <c r="S892" s="25">
        <f t="shared" si="13"/>
        <v>40</v>
      </c>
      <c r="T892" t="str">
        <f>LEFT(Before_Tbl[[#This Row],[Department_Region]],FIND("-",Before_Tbl[[#This Row],[Department_Region]])-1)</f>
        <v>DevOps</v>
      </c>
      <c r="U892" t="str">
        <f>RIGHT(Before_Tbl[[#This Row],[Department_Region]],LEN(Before_Tbl[[#This Row],[Department_Region]])-FIND("-",Before_Tbl[[#This Row],[Department_Region]]))</f>
        <v>New York</v>
      </c>
      <c r="V892" t="str">
        <f>TRIM(PROPER(Before_Tbl[[#This Row],[Status]]))</f>
        <v>Pending</v>
      </c>
      <c r="W892" s="26">
        <v>44652</v>
      </c>
      <c r="X892" s="4">
        <v>118288.91</v>
      </c>
      <c r="Y892" t="str">
        <f>TRIM(LOWER(Before_Tbl[[#This Row],[Email]]))</f>
        <v>charlie.davis@example.com</v>
      </c>
      <c r="Z892" s="2" t="str">
        <f>SUBSTITUTE(Before_Tbl[[#This Row],[Phone]],"-","")</f>
        <v>2150014187</v>
      </c>
      <c r="AA892" t="str">
        <f>TRIM(PROPER(Before_Tbl[[#This Row],[Performance_Score]]))</f>
        <v>Poor</v>
      </c>
      <c r="AB892" s="2" t="str">
        <f>TRIM(UPPER(Before_Tbl[[#This Row],[Remote_Work]]))</f>
        <v>FALSE</v>
      </c>
    </row>
    <row r="893" spans="1:28" x14ac:dyDescent="0.35">
      <c r="A893" t="s">
        <v>1462</v>
      </c>
      <c r="B893" t="s">
        <v>54</v>
      </c>
      <c r="C893" t="s">
        <v>14</v>
      </c>
      <c r="D893">
        <v>25</v>
      </c>
      <c r="E893" t="s">
        <v>78</v>
      </c>
      <c r="F893" t="s">
        <v>16</v>
      </c>
      <c r="G893" t="s">
        <v>686</v>
      </c>
      <c r="H893">
        <v>59555.1</v>
      </c>
      <c r="I893" t="s">
        <v>170</v>
      </c>
      <c r="J893">
        <v>-4216309000</v>
      </c>
      <c r="K893" t="s">
        <v>30</v>
      </c>
      <c r="L893" t="b">
        <v>1</v>
      </c>
      <c r="P893" t="str">
        <f>TRIM(Before_Tbl[[#This Row],[Employee_ID]])</f>
        <v>EMP1891</v>
      </c>
      <c r="Q893" t="str">
        <f>TRIM(PROPER(Before_Tbl[[#This Row],[First_Name]]))</f>
        <v>Charlie</v>
      </c>
      <c r="R893" t="str">
        <f>TRIM(PROPER(Before_Tbl[[#This Row],[Last_Name]]))</f>
        <v>Davis</v>
      </c>
      <c r="S893" s="25">
        <f t="shared" si="13"/>
        <v>25</v>
      </c>
      <c r="T893" t="str">
        <f>LEFT(Before_Tbl[[#This Row],[Department_Region]],FIND("-",Before_Tbl[[#This Row],[Department_Region]])-1)</f>
        <v>DevOps</v>
      </c>
      <c r="U893" t="str">
        <f>RIGHT(Before_Tbl[[#This Row],[Department_Region]],LEN(Before_Tbl[[#This Row],[Department_Region]])-FIND("-",Before_Tbl[[#This Row],[Department_Region]]))</f>
        <v>Illinois</v>
      </c>
      <c r="V893" t="str">
        <f>TRIM(PROPER(Before_Tbl[[#This Row],[Status]]))</f>
        <v>Active</v>
      </c>
      <c r="W893" s="26">
        <v>44405</v>
      </c>
      <c r="X893" s="4">
        <v>59555.1</v>
      </c>
      <c r="Y893" t="str">
        <f>TRIM(LOWER(Before_Tbl[[#This Row],[Email]]))</f>
        <v>charlie.davis@example.com</v>
      </c>
      <c r="Z893" s="2" t="str">
        <f>SUBSTITUTE(Before_Tbl[[#This Row],[Phone]],"-","")</f>
        <v>4216309000</v>
      </c>
      <c r="AA893" t="str">
        <f>TRIM(PROPER(Before_Tbl[[#This Row],[Performance_Score]]))</f>
        <v>Good</v>
      </c>
      <c r="AB893" s="2" t="str">
        <f>TRIM(UPPER(Before_Tbl[[#This Row],[Remote_Work]]))</f>
        <v>TRUE</v>
      </c>
    </row>
    <row r="894" spans="1:28" x14ac:dyDescent="0.35">
      <c r="A894" t="s">
        <v>1463</v>
      </c>
      <c r="B894" t="s">
        <v>65</v>
      </c>
      <c r="C894" t="s">
        <v>122</v>
      </c>
      <c r="D894">
        <v>40</v>
      </c>
      <c r="E894" t="s">
        <v>118</v>
      </c>
      <c r="F894" t="s">
        <v>16</v>
      </c>
      <c r="G894" t="s">
        <v>1043</v>
      </c>
      <c r="H894">
        <v>70661.31</v>
      </c>
      <c r="I894" t="s">
        <v>367</v>
      </c>
      <c r="J894">
        <v>-5944633398</v>
      </c>
      <c r="K894" t="s">
        <v>30</v>
      </c>
      <c r="L894" t="b">
        <v>1</v>
      </c>
      <c r="P894" t="str">
        <f>TRIM(Before_Tbl[[#This Row],[Employee_ID]])</f>
        <v>EMP1892</v>
      </c>
      <c r="Q894" t="str">
        <f>TRIM(PROPER(Before_Tbl[[#This Row],[First_Name]]))</f>
        <v>Heidi</v>
      </c>
      <c r="R894" t="str">
        <f>TRIM(PROPER(Before_Tbl[[#This Row],[Last_Name]]))</f>
        <v>Smith</v>
      </c>
      <c r="S894" s="25">
        <f t="shared" si="13"/>
        <v>40</v>
      </c>
      <c r="T894" t="str">
        <f>LEFT(Before_Tbl[[#This Row],[Department_Region]],FIND("-",Before_Tbl[[#This Row],[Department_Region]])-1)</f>
        <v>Admin</v>
      </c>
      <c r="U894" t="str">
        <f>RIGHT(Before_Tbl[[#This Row],[Department_Region]],LEN(Before_Tbl[[#This Row],[Department_Region]])-FIND("-",Before_Tbl[[#This Row],[Department_Region]]))</f>
        <v>California</v>
      </c>
      <c r="V894" t="str">
        <f>TRIM(PROPER(Before_Tbl[[#This Row],[Status]]))</f>
        <v>Active</v>
      </c>
      <c r="W894" s="26">
        <v>45646</v>
      </c>
      <c r="X894" s="4">
        <v>70661.31</v>
      </c>
      <c r="Y894" t="str">
        <f>TRIM(LOWER(Before_Tbl[[#This Row],[Email]]))</f>
        <v>heidi.smith@example.com</v>
      </c>
      <c r="Z894" s="2" t="str">
        <f>SUBSTITUTE(Before_Tbl[[#This Row],[Phone]],"-","")</f>
        <v>5944633398</v>
      </c>
      <c r="AA894" t="str">
        <f>TRIM(PROPER(Before_Tbl[[#This Row],[Performance_Score]]))</f>
        <v>Good</v>
      </c>
      <c r="AB894" s="2" t="str">
        <f>TRIM(UPPER(Before_Tbl[[#This Row],[Remote_Work]]))</f>
        <v>TRUE</v>
      </c>
    </row>
    <row r="895" spans="1:28" x14ac:dyDescent="0.35">
      <c r="A895" t="s">
        <v>1464</v>
      </c>
      <c r="B895" t="s">
        <v>54</v>
      </c>
      <c r="C895" t="s">
        <v>26</v>
      </c>
      <c r="E895" t="s">
        <v>109</v>
      </c>
      <c r="F895" t="s">
        <v>16</v>
      </c>
      <c r="G895" t="s">
        <v>754</v>
      </c>
      <c r="H895">
        <v>109988.16</v>
      </c>
      <c r="I895" t="s">
        <v>120</v>
      </c>
      <c r="J895">
        <v>-9485320894</v>
      </c>
      <c r="K895" t="s">
        <v>30</v>
      </c>
      <c r="L895" t="b">
        <v>1</v>
      </c>
      <c r="P895" t="str">
        <f>TRIM(Before_Tbl[[#This Row],[Employee_ID]])</f>
        <v>EMP1893</v>
      </c>
      <c r="Q895" t="str">
        <f>TRIM(PROPER(Before_Tbl[[#This Row],[First_Name]]))</f>
        <v>Charlie</v>
      </c>
      <c r="R895" t="str">
        <f>TRIM(PROPER(Before_Tbl[[#This Row],[Last_Name]]))</f>
        <v>Jones</v>
      </c>
      <c r="S895" s="25">
        <f t="shared" si="13"/>
        <v>30</v>
      </c>
      <c r="T895" t="str">
        <f>LEFT(Before_Tbl[[#This Row],[Department_Region]],FIND("-",Before_Tbl[[#This Row],[Department_Region]])-1)</f>
        <v>Sales</v>
      </c>
      <c r="U895" t="str">
        <f>RIGHT(Before_Tbl[[#This Row],[Department_Region]],LEN(Before_Tbl[[#This Row],[Department_Region]])-FIND("-",Before_Tbl[[#This Row],[Department_Region]]))</f>
        <v>New York</v>
      </c>
      <c r="V895" t="str">
        <f>TRIM(PROPER(Before_Tbl[[#This Row],[Status]]))</f>
        <v>Active</v>
      </c>
      <c r="W895" s="26">
        <v>44674</v>
      </c>
      <c r="X895" s="4">
        <v>109988.16</v>
      </c>
      <c r="Y895" t="str">
        <f>TRIM(LOWER(Before_Tbl[[#This Row],[Email]]))</f>
        <v>charlie.jones@example.com</v>
      </c>
      <c r="Z895" s="2" t="str">
        <f>SUBSTITUTE(Before_Tbl[[#This Row],[Phone]],"-","")</f>
        <v>9485320894</v>
      </c>
      <c r="AA895" t="str">
        <f>TRIM(PROPER(Before_Tbl[[#This Row],[Performance_Score]]))</f>
        <v>Good</v>
      </c>
      <c r="AB895" s="2" t="str">
        <f>TRIM(UPPER(Before_Tbl[[#This Row],[Remote_Work]]))</f>
        <v>TRUE</v>
      </c>
    </row>
    <row r="896" spans="1:28" x14ac:dyDescent="0.35">
      <c r="A896" t="s">
        <v>1465</v>
      </c>
      <c r="B896" t="s">
        <v>59</v>
      </c>
      <c r="C896" t="s">
        <v>20</v>
      </c>
      <c r="E896" t="s">
        <v>112</v>
      </c>
      <c r="F896" t="s">
        <v>33</v>
      </c>
      <c r="G896" t="s">
        <v>1466</v>
      </c>
      <c r="H896">
        <v>101101.24</v>
      </c>
      <c r="I896" t="s">
        <v>225</v>
      </c>
      <c r="J896">
        <v>-3263890218</v>
      </c>
      <c r="K896" t="s">
        <v>41</v>
      </c>
      <c r="L896" t="b">
        <v>1</v>
      </c>
      <c r="P896" t="str">
        <f>TRIM(Before_Tbl[[#This Row],[Employee_ID]])</f>
        <v>EMP1894</v>
      </c>
      <c r="Q896" t="str">
        <f>TRIM(PROPER(Before_Tbl[[#This Row],[First_Name]]))</f>
        <v>David</v>
      </c>
      <c r="R896" t="str">
        <f>TRIM(PROPER(Before_Tbl[[#This Row],[Last_Name]]))</f>
        <v>Brown</v>
      </c>
      <c r="S896" s="25">
        <f t="shared" si="13"/>
        <v>30</v>
      </c>
      <c r="T896" t="str">
        <f>LEFT(Before_Tbl[[#This Row],[Department_Region]],FIND("-",Before_Tbl[[#This Row],[Department_Region]])-1)</f>
        <v>Finance</v>
      </c>
      <c r="U896" t="str">
        <f>RIGHT(Before_Tbl[[#This Row],[Department_Region]],LEN(Before_Tbl[[#This Row],[Department_Region]])-FIND("-",Before_Tbl[[#This Row],[Department_Region]]))</f>
        <v>Florida</v>
      </c>
      <c r="V896" t="str">
        <f>TRIM(PROPER(Before_Tbl[[#This Row],[Status]]))</f>
        <v>Inactive</v>
      </c>
      <c r="W896" s="26">
        <v>43860</v>
      </c>
      <c r="X896" s="4">
        <v>101101.24</v>
      </c>
      <c r="Y896" t="str">
        <f>TRIM(LOWER(Before_Tbl[[#This Row],[Email]]))</f>
        <v>david.brown@example.com</v>
      </c>
      <c r="Z896" s="2" t="str">
        <f>SUBSTITUTE(Before_Tbl[[#This Row],[Phone]],"-","")</f>
        <v>3263890218</v>
      </c>
      <c r="AA896" t="str">
        <f>TRIM(PROPER(Before_Tbl[[#This Row],[Performance_Score]]))</f>
        <v>Poor</v>
      </c>
      <c r="AB896" s="2" t="str">
        <f>TRIM(UPPER(Before_Tbl[[#This Row],[Remote_Work]]))</f>
        <v>TRUE</v>
      </c>
    </row>
    <row r="897" spans="1:28" x14ac:dyDescent="0.35">
      <c r="A897" t="s">
        <v>1467</v>
      </c>
      <c r="B897" t="s">
        <v>59</v>
      </c>
      <c r="C897" t="s">
        <v>20</v>
      </c>
      <c r="D897">
        <v>30</v>
      </c>
      <c r="E897" t="s">
        <v>212</v>
      </c>
      <c r="F897" t="s">
        <v>28</v>
      </c>
      <c r="G897" t="s">
        <v>1468</v>
      </c>
      <c r="H897">
        <v>112427.58</v>
      </c>
      <c r="I897" t="s">
        <v>225</v>
      </c>
      <c r="J897">
        <v>-9471136336</v>
      </c>
      <c r="K897" t="s">
        <v>30</v>
      </c>
      <c r="L897" t="b">
        <v>1</v>
      </c>
      <c r="P897" t="str">
        <f>TRIM(Before_Tbl[[#This Row],[Employee_ID]])</f>
        <v>EMP1895</v>
      </c>
      <c r="Q897" t="str">
        <f>TRIM(PROPER(Before_Tbl[[#This Row],[First_Name]]))</f>
        <v>David</v>
      </c>
      <c r="R897" t="str">
        <f>TRIM(PROPER(Before_Tbl[[#This Row],[Last_Name]]))</f>
        <v>Brown</v>
      </c>
      <c r="S897" s="25">
        <f t="shared" si="13"/>
        <v>30</v>
      </c>
      <c r="T897" t="str">
        <f>LEFT(Before_Tbl[[#This Row],[Department_Region]],FIND("-",Before_Tbl[[#This Row],[Department_Region]])-1)</f>
        <v>HR</v>
      </c>
      <c r="U897" t="str">
        <f>RIGHT(Before_Tbl[[#This Row],[Department_Region]],LEN(Before_Tbl[[#This Row],[Department_Region]])-FIND("-",Before_Tbl[[#This Row],[Department_Region]]))</f>
        <v>Florida</v>
      </c>
      <c r="V897" t="str">
        <f>TRIM(PROPER(Before_Tbl[[#This Row],[Status]]))</f>
        <v>Pending</v>
      </c>
      <c r="W897" s="26">
        <v>44286</v>
      </c>
      <c r="X897" s="4">
        <v>112427.58</v>
      </c>
      <c r="Y897" t="str">
        <f>TRIM(LOWER(Before_Tbl[[#This Row],[Email]]))</f>
        <v>david.brown@example.com</v>
      </c>
      <c r="Z897" s="2" t="str">
        <f>SUBSTITUTE(Before_Tbl[[#This Row],[Phone]],"-","")</f>
        <v>9471136336</v>
      </c>
      <c r="AA897" t="str">
        <f>TRIM(PROPER(Before_Tbl[[#This Row],[Performance_Score]]))</f>
        <v>Good</v>
      </c>
      <c r="AB897" s="2" t="str">
        <f>TRIM(UPPER(Before_Tbl[[#This Row],[Remote_Work]]))</f>
        <v>TRUE</v>
      </c>
    </row>
    <row r="898" spans="1:28" x14ac:dyDescent="0.35">
      <c r="A898" t="s">
        <v>1469</v>
      </c>
      <c r="B898" t="s">
        <v>54</v>
      </c>
      <c r="C898" t="s">
        <v>92</v>
      </c>
      <c r="E898" t="s">
        <v>39</v>
      </c>
      <c r="F898" t="s">
        <v>16</v>
      </c>
      <c r="G898" t="s">
        <v>238</v>
      </c>
      <c r="H898">
        <v>119389.15</v>
      </c>
      <c r="I898" t="s">
        <v>502</v>
      </c>
      <c r="J898">
        <v>-9223410345</v>
      </c>
      <c r="K898" t="s">
        <v>41</v>
      </c>
      <c r="L898" t="b">
        <v>0</v>
      </c>
      <c r="P898" t="str">
        <f>TRIM(Before_Tbl[[#This Row],[Employee_ID]])</f>
        <v>EMP1896</v>
      </c>
      <c r="Q898" t="str">
        <f>TRIM(PROPER(Before_Tbl[[#This Row],[First_Name]]))</f>
        <v>Charlie</v>
      </c>
      <c r="R898" t="str">
        <f>TRIM(PROPER(Before_Tbl[[#This Row],[Last_Name]]))</f>
        <v>Miller</v>
      </c>
      <c r="S898" s="25">
        <f t="shared" ref="S898:S961" si="14">IF(ISBLANK(D898),30,D898)</f>
        <v>30</v>
      </c>
      <c r="T898" t="str">
        <f>LEFT(Before_Tbl[[#This Row],[Department_Region]],FIND("-",Before_Tbl[[#This Row],[Department_Region]])-1)</f>
        <v>Cloud Tech</v>
      </c>
      <c r="U898" t="str">
        <f>RIGHT(Before_Tbl[[#This Row],[Department_Region]],LEN(Before_Tbl[[#This Row],[Department_Region]])-FIND("-",Before_Tbl[[#This Row],[Department_Region]]))</f>
        <v>Florida</v>
      </c>
      <c r="V898" t="str">
        <f>TRIM(PROPER(Before_Tbl[[#This Row],[Status]]))</f>
        <v>Active</v>
      </c>
      <c r="W898" s="26">
        <v>43913</v>
      </c>
      <c r="X898" s="4">
        <v>119389.15</v>
      </c>
      <c r="Y898" t="str">
        <f>TRIM(LOWER(Before_Tbl[[#This Row],[Email]]))</f>
        <v>charlie.miller@example.com</v>
      </c>
      <c r="Z898" s="2" t="str">
        <f>SUBSTITUTE(Before_Tbl[[#This Row],[Phone]],"-","")</f>
        <v>9223410345</v>
      </c>
      <c r="AA898" t="str">
        <f>TRIM(PROPER(Before_Tbl[[#This Row],[Performance_Score]]))</f>
        <v>Poor</v>
      </c>
      <c r="AB898" s="2" t="str">
        <f>TRIM(UPPER(Before_Tbl[[#This Row],[Remote_Work]]))</f>
        <v>FALSE</v>
      </c>
    </row>
    <row r="899" spans="1:28" x14ac:dyDescent="0.35">
      <c r="A899" t="s">
        <v>1470</v>
      </c>
      <c r="B899" t="s">
        <v>25</v>
      </c>
      <c r="C899" t="s">
        <v>20</v>
      </c>
      <c r="D899">
        <v>40</v>
      </c>
      <c r="E899" t="s">
        <v>74</v>
      </c>
      <c r="F899" t="s">
        <v>33</v>
      </c>
      <c r="G899" t="s">
        <v>1471</v>
      </c>
      <c r="H899">
        <v>105861.23</v>
      </c>
      <c r="I899" t="s">
        <v>80</v>
      </c>
      <c r="J899">
        <v>-9967331166</v>
      </c>
      <c r="K899" t="s">
        <v>30</v>
      </c>
      <c r="L899" t="b">
        <v>1</v>
      </c>
      <c r="P899" t="str">
        <f>TRIM(Before_Tbl[[#This Row],[Employee_ID]])</f>
        <v>EMP1897</v>
      </c>
      <c r="Q899" t="str">
        <f>TRIM(PROPER(Before_Tbl[[#This Row],[First_Name]]))</f>
        <v>Alice</v>
      </c>
      <c r="R899" t="str">
        <f>TRIM(PROPER(Before_Tbl[[#This Row],[Last_Name]]))</f>
        <v>Brown</v>
      </c>
      <c r="S899" s="25">
        <f t="shared" si="14"/>
        <v>40</v>
      </c>
      <c r="T899" t="str">
        <f>LEFT(Before_Tbl[[#This Row],[Department_Region]],FIND("-",Before_Tbl[[#This Row],[Department_Region]])-1)</f>
        <v>Sales</v>
      </c>
      <c r="U899" t="str">
        <f>RIGHT(Before_Tbl[[#This Row],[Department_Region]],LEN(Before_Tbl[[#This Row],[Department_Region]])-FIND("-",Before_Tbl[[#This Row],[Department_Region]]))</f>
        <v>Florida</v>
      </c>
      <c r="V899" t="str">
        <f>TRIM(PROPER(Before_Tbl[[#This Row],[Status]]))</f>
        <v>Inactive</v>
      </c>
      <c r="W899" s="26">
        <v>45489</v>
      </c>
      <c r="X899" s="4">
        <v>105861.23</v>
      </c>
      <c r="Y899" t="str">
        <f>TRIM(LOWER(Before_Tbl[[#This Row],[Email]]))</f>
        <v>alice.brown@example.com</v>
      </c>
      <c r="Z899" s="2" t="str">
        <f>SUBSTITUTE(Before_Tbl[[#This Row],[Phone]],"-","")</f>
        <v>9967331166</v>
      </c>
      <c r="AA899" t="str">
        <f>TRIM(PROPER(Before_Tbl[[#This Row],[Performance_Score]]))</f>
        <v>Good</v>
      </c>
      <c r="AB899" s="2" t="str">
        <f>TRIM(UPPER(Before_Tbl[[#This Row],[Remote_Work]]))</f>
        <v>TRUE</v>
      </c>
    </row>
    <row r="900" spans="1:28" x14ac:dyDescent="0.35">
      <c r="A900" t="s">
        <v>1472</v>
      </c>
      <c r="B900" t="s">
        <v>65</v>
      </c>
      <c r="C900" t="s">
        <v>14</v>
      </c>
      <c r="D900">
        <v>40</v>
      </c>
      <c r="E900" t="s">
        <v>103</v>
      </c>
      <c r="F900" t="s">
        <v>28</v>
      </c>
      <c r="G900" t="s">
        <v>483</v>
      </c>
      <c r="H900">
        <v>50869.61</v>
      </c>
      <c r="I900" t="s">
        <v>395</v>
      </c>
      <c r="J900">
        <v>-7269608436</v>
      </c>
      <c r="K900" t="s">
        <v>18</v>
      </c>
      <c r="L900" t="b">
        <v>1</v>
      </c>
      <c r="P900" t="str">
        <f>TRIM(Before_Tbl[[#This Row],[Employee_ID]])</f>
        <v>EMP1898</v>
      </c>
      <c r="Q900" t="str">
        <f>TRIM(PROPER(Before_Tbl[[#This Row],[First_Name]]))</f>
        <v>Heidi</v>
      </c>
      <c r="R900" t="str">
        <f>TRIM(PROPER(Before_Tbl[[#This Row],[Last_Name]]))</f>
        <v>Davis</v>
      </c>
      <c r="S900" s="25">
        <f t="shared" si="14"/>
        <v>40</v>
      </c>
      <c r="T900" t="str">
        <f>LEFT(Before_Tbl[[#This Row],[Department_Region]],FIND("-",Before_Tbl[[#This Row],[Department_Region]])-1)</f>
        <v>Admin</v>
      </c>
      <c r="U900" t="str">
        <f>RIGHT(Before_Tbl[[#This Row],[Department_Region]],LEN(Before_Tbl[[#This Row],[Department_Region]])-FIND("-",Before_Tbl[[#This Row],[Department_Region]]))</f>
        <v>Texas</v>
      </c>
      <c r="V900" t="str">
        <f>TRIM(PROPER(Before_Tbl[[#This Row],[Status]]))</f>
        <v>Pending</v>
      </c>
      <c r="W900" s="26">
        <v>45373</v>
      </c>
      <c r="X900" s="4">
        <v>50869.61</v>
      </c>
      <c r="Y900" t="str">
        <f>TRIM(LOWER(Before_Tbl[[#This Row],[Email]]))</f>
        <v>heidi.davis@example.com</v>
      </c>
      <c r="Z900" s="2" t="str">
        <f>SUBSTITUTE(Before_Tbl[[#This Row],[Phone]],"-","")</f>
        <v>7269608436</v>
      </c>
      <c r="AA900" t="str">
        <f>TRIM(PROPER(Before_Tbl[[#This Row],[Performance_Score]]))</f>
        <v>Average</v>
      </c>
      <c r="AB900" s="2" t="str">
        <f>TRIM(UPPER(Before_Tbl[[#This Row],[Remote_Work]]))</f>
        <v>TRUE</v>
      </c>
    </row>
    <row r="901" spans="1:28" x14ac:dyDescent="0.35">
      <c r="A901" t="s">
        <v>1473</v>
      </c>
      <c r="B901" t="s">
        <v>59</v>
      </c>
      <c r="C901" t="s">
        <v>38</v>
      </c>
      <c r="D901">
        <v>30</v>
      </c>
      <c r="E901" t="s">
        <v>146</v>
      </c>
      <c r="F901" t="s">
        <v>16</v>
      </c>
      <c r="G901" t="s">
        <v>1027</v>
      </c>
      <c r="H901" t="s">
        <v>277</v>
      </c>
      <c r="I901" t="s">
        <v>61</v>
      </c>
      <c r="J901">
        <v>-6855078966</v>
      </c>
      <c r="K901" t="s">
        <v>23</v>
      </c>
      <c r="L901" t="b">
        <v>1</v>
      </c>
      <c r="P901" t="str">
        <f>TRIM(Before_Tbl[[#This Row],[Employee_ID]])</f>
        <v>EMP1899</v>
      </c>
      <c r="Q901" t="str">
        <f>TRIM(PROPER(Before_Tbl[[#This Row],[First_Name]]))</f>
        <v>David</v>
      </c>
      <c r="R901" t="str">
        <f>TRIM(PROPER(Before_Tbl[[#This Row],[Last_Name]]))</f>
        <v>Williams</v>
      </c>
      <c r="S901" s="25">
        <f t="shared" si="14"/>
        <v>30</v>
      </c>
      <c r="T901" t="str">
        <f>LEFT(Before_Tbl[[#This Row],[Department_Region]],FIND("-",Before_Tbl[[#This Row],[Department_Region]])-1)</f>
        <v>HR</v>
      </c>
      <c r="U901" t="str">
        <f>RIGHT(Before_Tbl[[#This Row],[Department_Region]],LEN(Before_Tbl[[#This Row],[Department_Region]])-FIND("-",Before_Tbl[[#This Row],[Department_Region]]))</f>
        <v>California</v>
      </c>
      <c r="V901" t="str">
        <f>TRIM(PROPER(Before_Tbl[[#This Row],[Status]]))</f>
        <v>Active</v>
      </c>
      <c r="W901" s="26">
        <v>45157</v>
      </c>
      <c r="X901" s="4"/>
      <c r="Y901" t="str">
        <f>TRIM(LOWER(Before_Tbl[[#This Row],[Email]]))</f>
        <v>david.williams@example.com</v>
      </c>
      <c r="Z901" s="2" t="str">
        <f>SUBSTITUTE(Before_Tbl[[#This Row],[Phone]],"-","")</f>
        <v>6855078966</v>
      </c>
      <c r="AA901" t="str">
        <f>TRIM(PROPER(Before_Tbl[[#This Row],[Performance_Score]]))</f>
        <v>Excellent</v>
      </c>
      <c r="AB901" s="2" t="str">
        <f>TRIM(UPPER(Before_Tbl[[#This Row],[Remote_Work]]))</f>
        <v>TRUE</v>
      </c>
    </row>
    <row r="902" spans="1:28" x14ac:dyDescent="0.35">
      <c r="A902" t="s">
        <v>1474</v>
      </c>
      <c r="B902" t="s">
        <v>32</v>
      </c>
      <c r="C902" t="s">
        <v>26</v>
      </c>
      <c r="D902">
        <v>30</v>
      </c>
      <c r="E902" t="s">
        <v>230</v>
      </c>
      <c r="F902" t="s">
        <v>28</v>
      </c>
      <c r="G902" s="1">
        <v>45568</v>
      </c>
      <c r="H902">
        <v>90856.21</v>
      </c>
      <c r="I902" t="s">
        <v>278</v>
      </c>
      <c r="J902">
        <v>-9352196262</v>
      </c>
      <c r="K902" t="s">
        <v>18</v>
      </c>
      <c r="L902" t="b">
        <v>1</v>
      </c>
      <c r="P902" t="str">
        <f>TRIM(Before_Tbl[[#This Row],[Employee_ID]])</f>
        <v>EMP1900</v>
      </c>
      <c r="Q902" t="str">
        <f>TRIM(PROPER(Before_Tbl[[#This Row],[First_Name]]))</f>
        <v>Eva</v>
      </c>
      <c r="R902" t="str">
        <f>TRIM(PROPER(Before_Tbl[[#This Row],[Last_Name]]))</f>
        <v>Jones</v>
      </c>
      <c r="S902" s="25">
        <f t="shared" si="14"/>
        <v>30</v>
      </c>
      <c r="T902" t="str">
        <f>LEFT(Before_Tbl[[#This Row],[Department_Region]],FIND("-",Before_Tbl[[#This Row],[Department_Region]])-1)</f>
        <v>DevOps</v>
      </c>
      <c r="U902" t="str">
        <f>RIGHT(Before_Tbl[[#This Row],[Department_Region]],LEN(Before_Tbl[[#This Row],[Department_Region]])-FIND("-",Before_Tbl[[#This Row],[Department_Region]]))</f>
        <v>Florida</v>
      </c>
      <c r="V902" t="str">
        <f>TRIM(PROPER(Before_Tbl[[#This Row],[Status]]))</f>
        <v>Pending</v>
      </c>
      <c r="W902" s="26">
        <v>45568</v>
      </c>
      <c r="X902" s="4">
        <v>90856.21</v>
      </c>
      <c r="Y902" t="str">
        <f>TRIM(LOWER(Before_Tbl[[#This Row],[Email]]))</f>
        <v>eva.jones@example.com</v>
      </c>
      <c r="Z902" s="2" t="str">
        <f>SUBSTITUTE(Before_Tbl[[#This Row],[Phone]],"-","")</f>
        <v>9352196262</v>
      </c>
      <c r="AA902" t="str">
        <f>TRIM(PROPER(Before_Tbl[[#This Row],[Performance_Score]]))</f>
        <v>Average</v>
      </c>
      <c r="AB902" s="2" t="str">
        <f>TRIM(UPPER(Before_Tbl[[#This Row],[Remote_Work]]))</f>
        <v>TRUE</v>
      </c>
    </row>
    <row r="903" spans="1:28" x14ac:dyDescent="0.35">
      <c r="A903" t="s">
        <v>1475</v>
      </c>
      <c r="B903" t="s">
        <v>65</v>
      </c>
      <c r="C903" t="s">
        <v>20</v>
      </c>
      <c r="D903">
        <v>30</v>
      </c>
      <c r="E903" t="s">
        <v>230</v>
      </c>
      <c r="F903" t="s">
        <v>16</v>
      </c>
      <c r="G903" s="1">
        <v>45418</v>
      </c>
      <c r="H903">
        <v>111008.63</v>
      </c>
      <c r="I903" t="s">
        <v>404</v>
      </c>
      <c r="J903">
        <v>-3556434368</v>
      </c>
      <c r="K903" t="s">
        <v>23</v>
      </c>
      <c r="L903" t="b">
        <v>1</v>
      </c>
      <c r="P903" t="str">
        <f>TRIM(Before_Tbl[[#This Row],[Employee_ID]])</f>
        <v>EMP1901</v>
      </c>
      <c r="Q903" t="str">
        <f>TRIM(PROPER(Before_Tbl[[#This Row],[First_Name]]))</f>
        <v>Heidi</v>
      </c>
      <c r="R903" t="str">
        <f>TRIM(PROPER(Before_Tbl[[#This Row],[Last_Name]]))</f>
        <v>Brown</v>
      </c>
      <c r="S903" s="25">
        <f t="shared" si="14"/>
        <v>30</v>
      </c>
      <c r="T903" t="str">
        <f>LEFT(Before_Tbl[[#This Row],[Department_Region]],FIND("-",Before_Tbl[[#This Row],[Department_Region]])-1)</f>
        <v>DevOps</v>
      </c>
      <c r="U903" t="str">
        <f>RIGHT(Before_Tbl[[#This Row],[Department_Region]],LEN(Before_Tbl[[#This Row],[Department_Region]])-FIND("-",Before_Tbl[[#This Row],[Department_Region]]))</f>
        <v>Florida</v>
      </c>
      <c r="V903" t="str">
        <f>TRIM(PROPER(Before_Tbl[[#This Row],[Status]]))</f>
        <v>Active</v>
      </c>
      <c r="W903" s="26">
        <v>45418</v>
      </c>
      <c r="X903" s="4">
        <v>111008.63</v>
      </c>
      <c r="Y903" t="str">
        <f>TRIM(LOWER(Before_Tbl[[#This Row],[Email]]))</f>
        <v>heidi.brown@example.com</v>
      </c>
      <c r="Z903" s="2" t="str">
        <f>SUBSTITUTE(Before_Tbl[[#This Row],[Phone]],"-","")</f>
        <v>3556434368</v>
      </c>
      <c r="AA903" t="str">
        <f>TRIM(PROPER(Before_Tbl[[#This Row],[Performance_Score]]))</f>
        <v>Excellent</v>
      </c>
      <c r="AB903" s="2" t="str">
        <f>TRIM(UPPER(Before_Tbl[[#This Row],[Remote_Work]]))</f>
        <v>TRUE</v>
      </c>
    </row>
    <row r="904" spans="1:28" x14ac:dyDescent="0.35">
      <c r="A904" t="s">
        <v>1476</v>
      </c>
      <c r="B904" t="s">
        <v>25</v>
      </c>
      <c r="C904" t="s">
        <v>92</v>
      </c>
      <c r="D904">
        <v>25</v>
      </c>
      <c r="E904" t="s">
        <v>100</v>
      </c>
      <c r="F904" t="s">
        <v>33</v>
      </c>
      <c r="G904" t="s">
        <v>206</v>
      </c>
      <c r="H904">
        <v>52289.99</v>
      </c>
      <c r="I904" t="s">
        <v>166</v>
      </c>
      <c r="J904">
        <v>-7093170694</v>
      </c>
      <c r="K904" t="s">
        <v>41</v>
      </c>
      <c r="L904" t="b">
        <v>1</v>
      </c>
      <c r="P904" t="str">
        <f>TRIM(Before_Tbl[[#This Row],[Employee_ID]])</f>
        <v>EMP1902</v>
      </c>
      <c r="Q904" t="str">
        <f>TRIM(PROPER(Before_Tbl[[#This Row],[First_Name]]))</f>
        <v>Alice</v>
      </c>
      <c r="R904" t="str">
        <f>TRIM(PROPER(Before_Tbl[[#This Row],[Last_Name]]))</f>
        <v>Miller</v>
      </c>
      <c r="S904" s="25">
        <f t="shared" si="14"/>
        <v>25</v>
      </c>
      <c r="T904" t="str">
        <f>LEFT(Before_Tbl[[#This Row],[Department_Region]],FIND("-",Before_Tbl[[#This Row],[Department_Region]])-1)</f>
        <v>Finance</v>
      </c>
      <c r="U904" t="str">
        <f>RIGHT(Before_Tbl[[#This Row],[Department_Region]],LEN(Before_Tbl[[#This Row],[Department_Region]])-FIND("-",Before_Tbl[[#This Row],[Department_Region]]))</f>
        <v>Nevada</v>
      </c>
      <c r="V904" t="str">
        <f>TRIM(PROPER(Before_Tbl[[#This Row],[Status]]))</f>
        <v>Inactive</v>
      </c>
      <c r="W904" s="26">
        <v>44918</v>
      </c>
      <c r="X904" s="4">
        <v>52289.99</v>
      </c>
      <c r="Y904" t="str">
        <f>TRIM(LOWER(Before_Tbl[[#This Row],[Email]]))</f>
        <v>alice.miller@example.com</v>
      </c>
      <c r="Z904" s="2" t="str">
        <f>SUBSTITUTE(Before_Tbl[[#This Row],[Phone]],"-","")</f>
        <v>7093170694</v>
      </c>
      <c r="AA904" t="str">
        <f>TRIM(PROPER(Before_Tbl[[#This Row],[Performance_Score]]))</f>
        <v>Poor</v>
      </c>
      <c r="AB904" s="2" t="str">
        <f>TRIM(UPPER(Before_Tbl[[#This Row],[Remote_Work]]))</f>
        <v>TRUE</v>
      </c>
    </row>
    <row r="905" spans="1:28" x14ac:dyDescent="0.35">
      <c r="A905" t="s">
        <v>1477</v>
      </c>
      <c r="B905" t="s">
        <v>32</v>
      </c>
      <c r="C905" t="s">
        <v>14</v>
      </c>
      <c r="E905" t="s">
        <v>98</v>
      </c>
      <c r="F905" t="s">
        <v>16</v>
      </c>
      <c r="G905" s="1">
        <v>45297</v>
      </c>
      <c r="H905">
        <v>97926.56</v>
      </c>
      <c r="I905" t="s">
        <v>35</v>
      </c>
      <c r="J905">
        <v>-5607676163</v>
      </c>
      <c r="K905" t="s">
        <v>18</v>
      </c>
      <c r="L905" t="b">
        <v>1</v>
      </c>
      <c r="P905" t="str">
        <f>TRIM(Before_Tbl[[#This Row],[Employee_ID]])</f>
        <v>EMP1903</v>
      </c>
      <c r="Q905" t="str">
        <f>TRIM(PROPER(Before_Tbl[[#This Row],[First_Name]]))</f>
        <v>Eva</v>
      </c>
      <c r="R905" t="str">
        <f>TRIM(PROPER(Before_Tbl[[#This Row],[Last_Name]]))</f>
        <v>Davis</v>
      </c>
      <c r="S905" s="25">
        <f t="shared" si="14"/>
        <v>30</v>
      </c>
      <c r="T905" t="str">
        <f>LEFT(Before_Tbl[[#This Row],[Department_Region]],FIND("-",Before_Tbl[[#This Row],[Department_Region]])-1)</f>
        <v>Sales</v>
      </c>
      <c r="U905" t="str">
        <f>RIGHT(Before_Tbl[[#This Row],[Department_Region]],LEN(Before_Tbl[[#This Row],[Department_Region]])-FIND("-",Before_Tbl[[#This Row],[Department_Region]]))</f>
        <v>Illinois</v>
      </c>
      <c r="V905" t="str">
        <f>TRIM(PROPER(Before_Tbl[[#This Row],[Status]]))</f>
        <v>Active</v>
      </c>
      <c r="W905" s="26">
        <v>45297</v>
      </c>
      <c r="X905" s="4">
        <v>97926.56</v>
      </c>
      <c r="Y905" t="str">
        <f>TRIM(LOWER(Before_Tbl[[#This Row],[Email]]))</f>
        <v>eva.davis@example.com</v>
      </c>
      <c r="Z905" s="2" t="str">
        <f>SUBSTITUTE(Before_Tbl[[#This Row],[Phone]],"-","")</f>
        <v>5607676163</v>
      </c>
      <c r="AA905" t="str">
        <f>TRIM(PROPER(Before_Tbl[[#This Row],[Performance_Score]]))</f>
        <v>Average</v>
      </c>
      <c r="AB905" s="2" t="str">
        <f>TRIM(UPPER(Before_Tbl[[#This Row],[Remote_Work]]))</f>
        <v>TRUE</v>
      </c>
    </row>
    <row r="906" spans="1:28" x14ac:dyDescent="0.35">
      <c r="A906" t="s">
        <v>1478</v>
      </c>
      <c r="B906" t="s">
        <v>37</v>
      </c>
      <c r="C906" t="s">
        <v>38</v>
      </c>
      <c r="D906">
        <v>25</v>
      </c>
      <c r="E906" t="s">
        <v>219</v>
      </c>
      <c r="F906" t="s">
        <v>33</v>
      </c>
      <c r="G906" t="s">
        <v>1479</v>
      </c>
      <c r="H906">
        <v>53609.38</v>
      </c>
      <c r="I906" t="s">
        <v>40</v>
      </c>
      <c r="J906">
        <v>-5345472238</v>
      </c>
      <c r="K906" t="s">
        <v>30</v>
      </c>
      <c r="L906" t="b">
        <v>0</v>
      </c>
      <c r="P906" t="str">
        <f>TRIM(Before_Tbl[[#This Row],[Employee_ID]])</f>
        <v>EMP1904</v>
      </c>
      <c r="Q906" t="str">
        <f>TRIM(PROPER(Before_Tbl[[#This Row],[First_Name]]))</f>
        <v>Frank</v>
      </c>
      <c r="R906" t="str">
        <f>TRIM(PROPER(Before_Tbl[[#This Row],[Last_Name]]))</f>
        <v>Williams</v>
      </c>
      <c r="S906" s="25">
        <f t="shared" si="14"/>
        <v>25</v>
      </c>
      <c r="T906" t="str">
        <f>LEFT(Before_Tbl[[#This Row],[Department_Region]],FIND("-",Before_Tbl[[#This Row],[Department_Region]])-1)</f>
        <v>Sales</v>
      </c>
      <c r="U906" t="str">
        <f>RIGHT(Before_Tbl[[#This Row],[Department_Region]],LEN(Before_Tbl[[#This Row],[Department_Region]])-FIND("-",Before_Tbl[[#This Row],[Department_Region]]))</f>
        <v>Nevada</v>
      </c>
      <c r="V906" t="str">
        <f>TRIM(PROPER(Before_Tbl[[#This Row],[Status]]))</f>
        <v>Inactive</v>
      </c>
      <c r="W906" s="26">
        <v>45649</v>
      </c>
      <c r="X906" s="4">
        <v>53609.38</v>
      </c>
      <c r="Y906" t="str">
        <f>TRIM(LOWER(Before_Tbl[[#This Row],[Email]]))</f>
        <v>frank.williams@example.com</v>
      </c>
      <c r="Z906" s="2" t="str">
        <f>SUBSTITUTE(Before_Tbl[[#This Row],[Phone]],"-","")</f>
        <v>5345472238</v>
      </c>
      <c r="AA906" t="str">
        <f>TRIM(PROPER(Before_Tbl[[#This Row],[Performance_Score]]))</f>
        <v>Good</v>
      </c>
      <c r="AB906" s="2" t="str">
        <f>TRIM(UPPER(Before_Tbl[[#This Row],[Remote_Work]]))</f>
        <v>FALSE</v>
      </c>
    </row>
    <row r="907" spans="1:28" x14ac:dyDescent="0.35">
      <c r="A907" t="s">
        <v>1480</v>
      </c>
      <c r="B907" t="s">
        <v>65</v>
      </c>
      <c r="C907" t="s">
        <v>55</v>
      </c>
      <c r="E907" t="s">
        <v>268</v>
      </c>
      <c r="F907" t="s">
        <v>33</v>
      </c>
      <c r="G907" t="s">
        <v>577</v>
      </c>
      <c r="H907">
        <v>95372.09</v>
      </c>
      <c r="I907" t="s">
        <v>113</v>
      </c>
      <c r="J907">
        <v>-8983065030</v>
      </c>
      <c r="K907" t="s">
        <v>23</v>
      </c>
      <c r="L907" t="b">
        <v>0</v>
      </c>
      <c r="P907" t="str">
        <f>TRIM(Before_Tbl[[#This Row],[Employee_ID]])</f>
        <v>EMP1905</v>
      </c>
      <c r="Q907" t="str">
        <f>TRIM(PROPER(Before_Tbl[[#This Row],[First_Name]]))</f>
        <v>Heidi</v>
      </c>
      <c r="R907" t="str">
        <f>TRIM(PROPER(Before_Tbl[[#This Row],[Last_Name]]))</f>
        <v>Johnson</v>
      </c>
      <c r="S907" s="25">
        <f t="shared" si="14"/>
        <v>30</v>
      </c>
      <c r="T907" t="str">
        <f>LEFT(Before_Tbl[[#This Row],[Department_Region]],FIND("-",Before_Tbl[[#This Row],[Department_Region]])-1)</f>
        <v>Cloud Tech</v>
      </c>
      <c r="U907" t="str">
        <f>RIGHT(Before_Tbl[[#This Row],[Department_Region]],LEN(Before_Tbl[[#This Row],[Department_Region]])-FIND("-",Before_Tbl[[#This Row],[Department_Region]]))</f>
        <v>California</v>
      </c>
      <c r="V907" t="str">
        <f>TRIM(PROPER(Before_Tbl[[#This Row],[Status]]))</f>
        <v>Inactive</v>
      </c>
      <c r="W907" s="26">
        <v>44189</v>
      </c>
      <c r="X907" s="4">
        <v>95372.09</v>
      </c>
      <c r="Y907" t="str">
        <f>TRIM(LOWER(Before_Tbl[[#This Row],[Email]]))</f>
        <v>heidi.johnson@example.com</v>
      </c>
      <c r="Z907" s="2" t="str">
        <f>SUBSTITUTE(Before_Tbl[[#This Row],[Phone]],"-","")</f>
        <v>8983065030</v>
      </c>
      <c r="AA907" t="str">
        <f>TRIM(PROPER(Before_Tbl[[#This Row],[Performance_Score]]))</f>
        <v>Excellent</v>
      </c>
      <c r="AB907" s="2" t="str">
        <f>TRIM(UPPER(Before_Tbl[[#This Row],[Remote_Work]]))</f>
        <v>FALSE</v>
      </c>
    </row>
    <row r="908" spans="1:28" x14ac:dyDescent="0.35">
      <c r="A908" t="s">
        <v>1481</v>
      </c>
      <c r="B908" t="s">
        <v>59</v>
      </c>
      <c r="C908" t="s">
        <v>55</v>
      </c>
      <c r="D908">
        <v>30</v>
      </c>
      <c r="E908" t="s">
        <v>66</v>
      </c>
      <c r="F908" t="s">
        <v>28</v>
      </c>
      <c r="G908" t="s">
        <v>1062</v>
      </c>
      <c r="H908">
        <v>95432.69</v>
      </c>
      <c r="I908" t="s">
        <v>217</v>
      </c>
      <c r="J908">
        <v>-2198041846</v>
      </c>
      <c r="K908" t="s">
        <v>23</v>
      </c>
      <c r="L908" t="b">
        <v>1</v>
      </c>
      <c r="P908" t="str">
        <f>TRIM(Before_Tbl[[#This Row],[Employee_ID]])</f>
        <v>EMP1906</v>
      </c>
      <c r="Q908" t="str">
        <f>TRIM(PROPER(Before_Tbl[[#This Row],[First_Name]]))</f>
        <v>David</v>
      </c>
      <c r="R908" t="str">
        <f>TRIM(PROPER(Before_Tbl[[#This Row],[Last_Name]]))</f>
        <v>Johnson</v>
      </c>
      <c r="S908" s="25">
        <f t="shared" si="14"/>
        <v>30</v>
      </c>
      <c r="T908" t="str">
        <f>LEFT(Before_Tbl[[#This Row],[Department_Region]],FIND("-",Before_Tbl[[#This Row],[Department_Region]])-1)</f>
        <v>HR</v>
      </c>
      <c r="U908" t="str">
        <f>RIGHT(Before_Tbl[[#This Row],[Department_Region]],LEN(Before_Tbl[[#This Row],[Department_Region]])-FIND("-",Before_Tbl[[#This Row],[Department_Region]]))</f>
        <v>New York</v>
      </c>
      <c r="V908" t="str">
        <f>TRIM(PROPER(Before_Tbl[[#This Row],[Status]]))</f>
        <v>Pending</v>
      </c>
      <c r="W908" s="26">
        <v>44063</v>
      </c>
      <c r="X908" s="4">
        <v>95432.69</v>
      </c>
      <c r="Y908" t="str">
        <f>TRIM(LOWER(Before_Tbl[[#This Row],[Email]]))</f>
        <v>david.johnson@example.com</v>
      </c>
      <c r="Z908" s="2" t="str">
        <f>SUBSTITUTE(Before_Tbl[[#This Row],[Phone]],"-","")</f>
        <v>2198041846</v>
      </c>
      <c r="AA908" t="str">
        <f>TRIM(PROPER(Before_Tbl[[#This Row],[Performance_Score]]))</f>
        <v>Excellent</v>
      </c>
      <c r="AB908" s="2" t="str">
        <f>TRIM(UPPER(Before_Tbl[[#This Row],[Remote_Work]]))</f>
        <v>TRUE</v>
      </c>
    </row>
    <row r="909" spans="1:28" x14ac:dyDescent="0.35">
      <c r="A909" t="s">
        <v>1482</v>
      </c>
      <c r="B909" t="s">
        <v>59</v>
      </c>
      <c r="C909" t="s">
        <v>38</v>
      </c>
      <c r="D909">
        <v>30</v>
      </c>
      <c r="E909" t="s">
        <v>146</v>
      </c>
      <c r="F909" t="s">
        <v>33</v>
      </c>
      <c r="G909" t="s">
        <v>1483</v>
      </c>
      <c r="H909">
        <v>97615.87</v>
      </c>
      <c r="I909" t="s">
        <v>61</v>
      </c>
      <c r="J909">
        <v>-2426423641</v>
      </c>
      <c r="K909" t="s">
        <v>18</v>
      </c>
      <c r="L909" t="b">
        <v>0</v>
      </c>
      <c r="P909" t="str">
        <f>TRIM(Before_Tbl[[#This Row],[Employee_ID]])</f>
        <v>EMP1907</v>
      </c>
      <c r="Q909" t="str">
        <f>TRIM(PROPER(Before_Tbl[[#This Row],[First_Name]]))</f>
        <v>David</v>
      </c>
      <c r="R909" t="str">
        <f>TRIM(PROPER(Before_Tbl[[#This Row],[Last_Name]]))</f>
        <v>Williams</v>
      </c>
      <c r="S909" s="25">
        <f t="shared" si="14"/>
        <v>30</v>
      </c>
      <c r="T909" t="str">
        <f>LEFT(Before_Tbl[[#This Row],[Department_Region]],FIND("-",Before_Tbl[[#This Row],[Department_Region]])-1)</f>
        <v>HR</v>
      </c>
      <c r="U909" t="str">
        <f>RIGHT(Before_Tbl[[#This Row],[Department_Region]],LEN(Before_Tbl[[#This Row],[Department_Region]])-FIND("-",Before_Tbl[[#This Row],[Department_Region]]))</f>
        <v>California</v>
      </c>
      <c r="V909" t="str">
        <f>TRIM(PROPER(Before_Tbl[[#This Row],[Status]]))</f>
        <v>Inactive</v>
      </c>
      <c r="W909" s="26">
        <v>44862</v>
      </c>
      <c r="X909" s="4">
        <v>97615.87</v>
      </c>
      <c r="Y909" t="str">
        <f>TRIM(LOWER(Before_Tbl[[#This Row],[Email]]))</f>
        <v>david.williams@example.com</v>
      </c>
      <c r="Z909" s="2" t="str">
        <f>SUBSTITUTE(Before_Tbl[[#This Row],[Phone]],"-","")</f>
        <v>2426423641</v>
      </c>
      <c r="AA909" t="str">
        <f>TRIM(PROPER(Before_Tbl[[#This Row],[Performance_Score]]))</f>
        <v>Average</v>
      </c>
      <c r="AB909" s="2" t="str">
        <f>TRIM(UPPER(Before_Tbl[[#This Row],[Remote_Work]]))</f>
        <v>FALSE</v>
      </c>
    </row>
    <row r="910" spans="1:28" x14ac:dyDescent="0.35">
      <c r="A910" t="s">
        <v>1484</v>
      </c>
      <c r="B910" t="s">
        <v>13</v>
      </c>
      <c r="C910" t="s">
        <v>14</v>
      </c>
      <c r="D910">
        <v>35</v>
      </c>
      <c r="E910" t="s">
        <v>212</v>
      </c>
      <c r="F910" t="s">
        <v>33</v>
      </c>
      <c r="G910" t="s">
        <v>765</v>
      </c>
      <c r="H910">
        <v>86867.78</v>
      </c>
      <c r="I910" t="s">
        <v>17</v>
      </c>
      <c r="J910">
        <v>-8131909247</v>
      </c>
      <c r="K910" t="s">
        <v>41</v>
      </c>
      <c r="L910" t="b">
        <v>0</v>
      </c>
      <c r="P910" t="str">
        <f>TRIM(Before_Tbl[[#This Row],[Employee_ID]])</f>
        <v>EMP1908</v>
      </c>
      <c r="Q910" t="str">
        <f>TRIM(PROPER(Before_Tbl[[#This Row],[First_Name]]))</f>
        <v>Bob</v>
      </c>
      <c r="R910" t="str">
        <f>TRIM(PROPER(Before_Tbl[[#This Row],[Last_Name]]))</f>
        <v>Davis</v>
      </c>
      <c r="S910" s="25">
        <f t="shared" si="14"/>
        <v>35</v>
      </c>
      <c r="T910" t="str">
        <f>LEFT(Before_Tbl[[#This Row],[Department_Region]],FIND("-",Before_Tbl[[#This Row],[Department_Region]])-1)</f>
        <v>HR</v>
      </c>
      <c r="U910" t="str">
        <f>RIGHT(Before_Tbl[[#This Row],[Department_Region]],LEN(Before_Tbl[[#This Row],[Department_Region]])-FIND("-",Before_Tbl[[#This Row],[Department_Region]]))</f>
        <v>Florida</v>
      </c>
      <c r="V910" t="str">
        <f>TRIM(PROPER(Before_Tbl[[#This Row],[Status]]))</f>
        <v>Inactive</v>
      </c>
      <c r="W910" s="26">
        <v>44857</v>
      </c>
      <c r="X910" s="4">
        <v>86867.78</v>
      </c>
      <c r="Y910" t="str">
        <f>TRIM(LOWER(Before_Tbl[[#This Row],[Email]]))</f>
        <v>bob.davis@example.com</v>
      </c>
      <c r="Z910" s="2" t="str">
        <f>SUBSTITUTE(Before_Tbl[[#This Row],[Phone]],"-","")</f>
        <v>8131909247</v>
      </c>
      <c r="AA910" t="str">
        <f>TRIM(PROPER(Before_Tbl[[#This Row],[Performance_Score]]))</f>
        <v>Poor</v>
      </c>
      <c r="AB910" s="2" t="str">
        <f>TRIM(UPPER(Before_Tbl[[#This Row],[Remote_Work]]))</f>
        <v>FALSE</v>
      </c>
    </row>
    <row r="911" spans="1:28" x14ac:dyDescent="0.35">
      <c r="A911" t="s">
        <v>1485</v>
      </c>
      <c r="B911" t="s">
        <v>32</v>
      </c>
      <c r="C911" t="s">
        <v>92</v>
      </c>
      <c r="D911">
        <v>40</v>
      </c>
      <c r="E911" t="s">
        <v>177</v>
      </c>
      <c r="F911" t="s">
        <v>28</v>
      </c>
      <c r="G911" t="s">
        <v>1486</v>
      </c>
      <c r="H911">
        <v>106615.71</v>
      </c>
      <c r="I911" t="s">
        <v>263</v>
      </c>
      <c r="J911">
        <v>-7623039110</v>
      </c>
      <c r="K911" t="s">
        <v>18</v>
      </c>
      <c r="L911" t="b">
        <v>0</v>
      </c>
      <c r="P911" t="str">
        <f>TRIM(Before_Tbl[[#This Row],[Employee_ID]])</f>
        <v>EMP1909</v>
      </c>
      <c r="Q911" t="str">
        <f>TRIM(PROPER(Before_Tbl[[#This Row],[First_Name]]))</f>
        <v>Eva</v>
      </c>
      <c r="R911" t="str">
        <f>TRIM(PROPER(Before_Tbl[[#This Row],[Last_Name]]))</f>
        <v>Miller</v>
      </c>
      <c r="S911" s="25">
        <f t="shared" si="14"/>
        <v>40</v>
      </c>
      <c r="T911" t="str">
        <f>LEFT(Before_Tbl[[#This Row],[Department_Region]],FIND("-",Before_Tbl[[#This Row],[Department_Region]])-1)</f>
        <v>Sales</v>
      </c>
      <c r="U911" t="str">
        <f>RIGHT(Before_Tbl[[#This Row],[Department_Region]],LEN(Before_Tbl[[#This Row],[Department_Region]])-FIND("-",Before_Tbl[[#This Row],[Department_Region]]))</f>
        <v>California</v>
      </c>
      <c r="V911" t="str">
        <f>TRIM(PROPER(Before_Tbl[[#This Row],[Status]]))</f>
        <v>Pending</v>
      </c>
      <c r="W911" s="26">
        <v>45250</v>
      </c>
      <c r="X911" s="4">
        <v>106615.71</v>
      </c>
      <c r="Y911" t="str">
        <f>TRIM(LOWER(Before_Tbl[[#This Row],[Email]]))</f>
        <v>eva.miller@example.com</v>
      </c>
      <c r="Z911" s="2" t="str">
        <f>SUBSTITUTE(Before_Tbl[[#This Row],[Phone]],"-","")</f>
        <v>7623039110</v>
      </c>
      <c r="AA911" t="str">
        <f>TRIM(PROPER(Before_Tbl[[#This Row],[Performance_Score]]))</f>
        <v>Average</v>
      </c>
      <c r="AB911" s="2" t="str">
        <f>TRIM(UPPER(Before_Tbl[[#This Row],[Remote_Work]]))</f>
        <v>FALSE</v>
      </c>
    </row>
    <row r="912" spans="1:28" x14ac:dyDescent="0.35">
      <c r="A912" t="s">
        <v>1487</v>
      </c>
      <c r="B912" t="s">
        <v>13</v>
      </c>
      <c r="C912" t="s">
        <v>38</v>
      </c>
      <c r="D912">
        <v>30</v>
      </c>
      <c r="E912" t="s">
        <v>21</v>
      </c>
      <c r="F912" t="s">
        <v>16</v>
      </c>
      <c r="G912" s="1">
        <v>44868</v>
      </c>
      <c r="H912">
        <v>112856.21</v>
      </c>
      <c r="I912" t="s">
        <v>144</v>
      </c>
      <c r="J912">
        <v>-4281785227</v>
      </c>
      <c r="K912" t="s">
        <v>41</v>
      </c>
      <c r="L912" t="b">
        <v>0</v>
      </c>
      <c r="P912" t="str">
        <f>TRIM(Before_Tbl[[#This Row],[Employee_ID]])</f>
        <v>EMP1910</v>
      </c>
      <c r="Q912" t="str">
        <f>TRIM(PROPER(Before_Tbl[[#This Row],[First_Name]]))</f>
        <v>Bob</v>
      </c>
      <c r="R912" t="str">
        <f>TRIM(PROPER(Before_Tbl[[#This Row],[Last_Name]]))</f>
        <v>Williams</v>
      </c>
      <c r="S912" s="25">
        <f t="shared" si="14"/>
        <v>30</v>
      </c>
      <c r="T912" t="str">
        <f>LEFT(Before_Tbl[[#This Row],[Department_Region]],FIND("-",Before_Tbl[[#This Row],[Department_Region]])-1)</f>
        <v>Finance</v>
      </c>
      <c r="U912" t="str">
        <f>RIGHT(Before_Tbl[[#This Row],[Department_Region]],LEN(Before_Tbl[[#This Row],[Department_Region]])-FIND("-",Before_Tbl[[#This Row],[Department_Region]]))</f>
        <v>Texas</v>
      </c>
      <c r="V912" t="str">
        <f>TRIM(PROPER(Before_Tbl[[#This Row],[Status]]))</f>
        <v>Active</v>
      </c>
      <c r="W912" s="26">
        <v>44868</v>
      </c>
      <c r="X912" s="4">
        <v>112856.21</v>
      </c>
      <c r="Y912" t="str">
        <f>TRIM(LOWER(Before_Tbl[[#This Row],[Email]]))</f>
        <v>bob.williams@example.com</v>
      </c>
      <c r="Z912" s="2" t="str">
        <f>SUBSTITUTE(Before_Tbl[[#This Row],[Phone]],"-","")</f>
        <v>4281785227</v>
      </c>
      <c r="AA912" t="str">
        <f>TRIM(PROPER(Before_Tbl[[#This Row],[Performance_Score]]))</f>
        <v>Poor</v>
      </c>
      <c r="AB912" s="2" t="str">
        <f>TRIM(UPPER(Before_Tbl[[#This Row],[Remote_Work]]))</f>
        <v>FALSE</v>
      </c>
    </row>
    <row r="913" spans="1:28" x14ac:dyDescent="0.35">
      <c r="A913" t="s">
        <v>1488</v>
      </c>
      <c r="B913" t="s">
        <v>13</v>
      </c>
      <c r="C913" t="s">
        <v>26</v>
      </c>
      <c r="D913">
        <v>25</v>
      </c>
      <c r="E913" t="s">
        <v>118</v>
      </c>
      <c r="F913" t="s">
        <v>16</v>
      </c>
      <c r="G913" t="s">
        <v>1194</v>
      </c>
      <c r="H913">
        <v>60356.78</v>
      </c>
      <c r="I913" t="s">
        <v>50</v>
      </c>
      <c r="J913">
        <v>-2305248087</v>
      </c>
      <c r="K913" t="s">
        <v>41</v>
      </c>
      <c r="L913" t="b">
        <v>1</v>
      </c>
      <c r="P913" t="str">
        <f>TRIM(Before_Tbl[[#This Row],[Employee_ID]])</f>
        <v>EMP1911</v>
      </c>
      <c r="Q913" t="str">
        <f>TRIM(PROPER(Before_Tbl[[#This Row],[First_Name]]))</f>
        <v>Bob</v>
      </c>
      <c r="R913" t="str">
        <f>TRIM(PROPER(Before_Tbl[[#This Row],[Last_Name]]))</f>
        <v>Jones</v>
      </c>
      <c r="S913" s="25">
        <f t="shared" si="14"/>
        <v>25</v>
      </c>
      <c r="T913" t="str">
        <f>LEFT(Before_Tbl[[#This Row],[Department_Region]],FIND("-",Before_Tbl[[#This Row],[Department_Region]])-1)</f>
        <v>Admin</v>
      </c>
      <c r="U913" t="str">
        <f>RIGHT(Before_Tbl[[#This Row],[Department_Region]],LEN(Before_Tbl[[#This Row],[Department_Region]])-FIND("-",Before_Tbl[[#This Row],[Department_Region]]))</f>
        <v>California</v>
      </c>
      <c r="V913" t="str">
        <f>TRIM(PROPER(Before_Tbl[[#This Row],[Status]]))</f>
        <v>Active</v>
      </c>
      <c r="W913" s="26">
        <v>45258</v>
      </c>
      <c r="X913" s="4">
        <v>60356.78</v>
      </c>
      <c r="Y913" t="str">
        <f>TRIM(LOWER(Before_Tbl[[#This Row],[Email]]))</f>
        <v>bob.jones@example.com</v>
      </c>
      <c r="Z913" s="2" t="str">
        <f>SUBSTITUTE(Before_Tbl[[#This Row],[Phone]],"-","")</f>
        <v>2305248087</v>
      </c>
      <c r="AA913" t="str">
        <f>TRIM(PROPER(Before_Tbl[[#This Row],[Performance_Score]]))</f>
        <v>Poor</v>
      </c>
      <c r="AB913" s="2" t="str">
        <f>TRIM(UPPER(Before_Tbl[[#This Row],[Remote_Work]]))</f>
        <v>TRUE</v>
      </c>
    </row>
    <row r="914" spans="1:28" x14ac:dyDescent="0.35">
      <c r="A914" t="s">
        <v>1489</v>
      </c>
      <c r="B914" t="s">
        <v>59</v>
      </c>
      <c r="C914" t="s">
        <v>26</v>
      </c>
      <c r="E914" t="s">
        <v>237</v>
      </c>
      <c r="F914" t="s">
        <v>33</v>
      </c>
      <c r="G914" s="1">
        <v>44625</v>
      </c>
      <c r="H914">
        <v>117870.22</v>
      </c>
      <c r="I914" t="s">
        <v>242</v>
      </c>
      <c r="J914">
        <v>-622072238</v>
      </c>
      <c r="K914" t="s">
        <v>23</v>
      </c>
      <c r="L914" t="b">
        <v>0</v>
      </c>
      <c r="P914" t="str">
        <f>TRIM(Before_Tbl[[#This Row],[Employee_ID]])</f>
        <v>EMP1912</v>
      </c>
      <c r="Q914" t="str">
        <f>TRIM(PROPER(Before_Tbl[[#This Row],[First_Name]]))</f>
        <v>David</v>
      </c>
      <c r="R914" t="str">
        <f>TRIM(PROPER(Before_Tbl[[#This Row],[Last_Name]]))</f>
        <v>Jones</v>
      </c>
      <c r="S914" s="25">
        <f t="shared" si="14"/>
        <v>30</v>
      </c>
      <c r="T914" t="str">
        <f>LEFT(Before_Tbl[[#This Row],[Department_Region]],FIND("-",Before_Tbl[[#This Row],[Department_Region]])-1)</f>
        <v>DevOps</v>
      </c>
      <c r="U914" t="str">
        <f>RIGHT(Before_Tbl[[#This Row],[Department_Region]],LEN(Before_Tbl[[#This Row],[Department_Region]])-FIND("-",Before_Tbl[[#This Row],[Department_Region]]))</f>
        <v>Texas</v>
      </c>
      <c r="V914" t="str">
        <f>TRIM(PROPER(Before_Tbl[[#This Row],[Status]]))</f>
        <v>Inactive</v>
      </c>
      <c r="W914" s="26">
        <v>44625</v>
      </c>
      <c r="X914" s="4">
        <v>117870.22</v>
      </c>
      <c r="Y914" t="str">
        <f>TRIM(LOWER(Before_Tbl[[#This Row],[Email]]))</f>
        <v>david.jones@example.com</v>
      </c>
      <c r="Z914" s="2" t="str">
        <f>SUBSTITUTE(Before_Tbl[[#This Row],[Phone]],"-","")</f>
        <v>622072238</v>
      </c>
      <c r="AA914" t="str">
        <f>TRIM(PROPER(Before_Tbl[[#This Row],[Performance_Score]]))</f>
        <v>Excellent</v>
      </c>
      <c r="AB914" s="2" t="str">
        <f>TRIM(UPPER(Before_Tbl[[#This Row],[Remote_Work]]))</f>
        <v>FALSE</v>
      </c>
    </row>
    <row r="915" spans="1:28" x14ac:dyDescent="0.35">
      <c r="A915" t="s">
        <v>1490</v>
      </c>
      <c r="B915" t="s">
        <v>54</v>
      </c>
      <c r="C915" t="s">
        <v>55</v>
      </c>
      <c r="D915">
        <v>40</v>
      </c>
      <c r="E915" t="s">
        <v>212</v>
      </c>
      <c r="F915" t="s">
        <v>33</v>
      </c>
      <c r="G915" t="s">
        <v>1491</v>
      </c>
      <c r="H915">
        <v>95127.91</v>
      </c>
      <c r="I915" t="s">
        <v>57</v>
      </c>
      <c r="J915">
        <v>-5947372131</v>
      </c>
      <c r="K915" t="s">
        <v>18</v>
      </c>
      <c r="L915" t="b">
        <v>0</v>
      </c>
      <c r="P915" t="str">
        <f>TRIM(Before_Tbl[[#This Row],[Employee_ID]])</f>
        <v>EMP1913</v>
      </c>
      <c r="Q915" t="str">
        <f>TRIM(PROPER(Before_Tbl[[#This Row],[First_Name]]))</f>
        <v>Charlie</v>
      </c>
      <c r="R915" t="str">
        <f>TRIM(PROPER(Before_Tbl[[#This Row],[Last_Name]]))</f>
        <v>Johnson</v>
      </c>
      <c r="S915" s="25">
        <f t="shared" si="14"/>
        <v>40</v>
      </c>
      <c r="T915" t="str">
        <f>LEFT(Before_Tbl[[#This Row],[Department_Region]],FIND("-",Before_Tbl[[#This Row],[Department_Region]])-1)</f>
        <v>HR</v>
      </c>
      <c r="U915" t="str">
        <f>RIGHT(Before_Tbl[[#This Row],[Department_Region]],LEN(Before_Tbl[[#This Row],[Department_Region]])-FIND("-",Before_Tbl[[#This Row],[Department_Region]]))</f>
        <v>Florida</v>
      </c>
      <c r="V915" t="str">
        <f>TRIM(PROPER(Before_Tbl[[#This Row],[Status]]))</f>
        <v>Inactive</v>
      </c>
      <c r="W915" s="26">
        <v>45341</v>
      </c>
      <c r="X915" s="4">
        <v>95127.91</v>
      </c>
      <c r="Y915" t="str">
        <f>TRIM(LOWER(Before_Tbl[[#This Row],[Email]]))</f>
        <v>charlie.johnson@example.com</v>
      </c>
      <c r="Z915" s="2" t="str">
        <f>SUBSTITUTE(Before_Tbl[[#This Row],[Phone]],"-","")</f>
        <v>5947372131</v>
      </c>
      <c r="AA915" t="str">
        <f>TRIM(PROPER(Before_Tbl[[#This Row],[Performance_Score]]))</f>
        <v>Average</v>
      </c>
      <c r="AB915" s="2" t="str">
        <f>TRIM(UPPER(Before_Tbl[[#This Row],[Remote_Work]]))</f>
        <v>FALSE</v>
      </c>
    </row>
    <row r="916" spans="1:28" x14ac:dyDescent="0.35">
      <c r="A916" t="s">
        <v>1492</v>
      </c>
      <c r="B916" t="s">
        <v>13</v>
      </c>
      <c r="C916" t="s">
        <v>20</v>
      </c>
      <c r="D916">
        <v>25</v>
      </c>
      <c r="E916" t="s">
        <v>89</v>
      </c>
      <c r="F916" t="s">
        <v>28</v>
      </c>
      <c r="G916" t="s">
        <v>1493</v>
      </c>
      <c r="H916">
        <v>78818.42</v>
      </c>
      <c r="I916" t="s">
        <v>22</v>
      </c>
      <c r="J916">
        <v>-9016204786</v>
      </c>
      <c r="K916" t="s">
        <v>18</v>
      </c>
      <c r="L916" t="b">
        <v>0</v>
      </c>
      <c r="P916" t="str">
        <f>TRIM(Before_Tbl[[#This Row],[Employee_ID]])</f>
        <v>EMP1914</v>
      </c>
      <c r="Q916" t="str">
        <f>TRIM(PROPER(Before_Tbl[[#This Row],[First_Name]]))</f>
        <v>Bob</v>
      </c>
      <c r="R916" t="str">
        <f>TRIM(PROPER(Before_Tbl[[#This Row],[Last_Name]]))</f>
        <v>Brown</v>
      </c>
      <c r="S916" s="25">
        <f t="shared" si="14"/>
        <v>25</v>
      </c>
      <c r="T916" t="str">
        <f>LEFT(Before_Tbl[[#This Row],[Department_Region]],FIND("-",Before_Tbl[[#This Row],[Department_Region]])-1)</f>
        <v>Admin</v>
      </c>
      <c r="U916" t="str">
        <f>RIGHT(Before_Tbl[[#This Row],[Department_Region]],LEN(Before_Tbl[[#This Row],[Department_Region]])-FIND("-",Before_Tbl[[#This Row],[Department_Region]]))</f>
        <v>Illinois</v>
      </c>
      <c r="V916" t="str">
        <f>TRIM(PROPER(Before_Tbl[[#This Row],[Status]]))</f>
        <v>Pending</v>
      </c>
      <c r="W916" s="26">
        <v>44518</v>
      </c>
      <c r="X916" s="4">
        <v>78818.42</v>
      </c>
      <c r="Y916" t="str">
        <f>TRIM(LOWER(Before_Tbl[[#This Row],[Email]]))</f>
        <v>bob.brown@example.com</v>
      </c>
      <c r="Z916" s="2" t="str">
        <f>SUBSTITUTE(Before_Tbl[[#This Row],[Phone]],"-","")</f>
        <v>9016204786</v>
      </c>
      <c r="AA916" t="str">
        <f>TRIM(PROPER(Before_Tbl[[#This Row],[Performance_Score]]))</f>
        <v>Average</v>
      </c>
      <c r="AB916" s="2" t="str">
        <f>TRIM(UPPER(Before_Tbl[[#This Row],[Remote_Work]]))</f>
        <v>FALSE</v>
      </c>
    </row>
    <row r="917" spans="1:28" x14ac:dyDescent="0.35">
      <c r="A917" t="s">
        <v>1494</v>
      </c>
      <c r="B917" t="s">
        <v>37</v>
      </c>
      <c r="C917" t="s">
        <v>92</v>
      </c>
      <c r="D917">
        <v>40</v>
      </c>
      <c r="E917" t="s">
        <v>219</v>
      </c>
      <c r="F917" t="s">
        <v>28</v>
      </c>
      <c r="G917" t="s">
        <v>1495</v>
      </c>
      <c r="H917">
        <v>108933.55</v>
      </c>
      <c r="I917" t="s">
        <v>110</v>
      </c>
      <c r="J917">
        <v>-6886878598</v>
      </c>
      <c r="K917" t="s">
        <v>41</v>
      </c>
      <c r="L917" t="b">
        <v>1</v>
      </c>
      <c r="P917" t="str">
        <f>TRIM(Before_Tbl[[#This Row],[Employee_ID]])</f>
        <v>EMP1915</v>
      </c>
      <c r="Q917" t="str">
        <f>TRIM(PROPER(Before_Tbl[[#This Row],[First_Name]]))</f>
        <v>Frank</v>
      </c>
      <c r="R917" t="str">
        <f>TRIM(PROPER(Before_Tbl[[#This Row],[Last_Name]]))</f>
        <v>Miller</v>
      </c>
      <c r="S917" s="25">
        <f t="shared" si="14"/>
        <v>40</v>
      </c>
      <c r="T917" t="str">
        <f>LEFT(Before_Tbl[[#This Row],[Department_Region]],FIND("-",Before_Tbl[[#This Row],[Department_Region]])-1)</f>
        <v>Sales</v>
      </c>
      <c r="U917" t="str">
        <f>RIGHT(Before_Tbl[[#This Row],[Department_Region]],LEN(Before_Tbl[[#This Row],[Department_Region]])-FIND("-",Before_Tbl[[#This Row],[Department_Region]]))</f>
        <v>Nevada</v>
      </c>
      <c r="V917" t="str">
        <f>TRIM(PROPER(Before_Tbl[[#This Row],[Status]]))</f>
        <v>Pending</v>
      </c>
      <c r="W917" s="26">
        <v>44916</v>
      </c>
      <c r="X917" s="4">
        <v>108933.55</v>
      </c>
      <c r="Y917" t="str">
        <f>TRIM(LOWER(Before_Tbl[[#This Row],[Email]]))</f>
        <v>frank.miller@example.com</v>
      </c>
      <c r="Z917" s="2" t="str">
        <f>SUBSTITUTE(Before_Tbl[[#This Row],[Phone]],"-","")</f>
        <v>6886878598</v>
      </c>
      <c r="AA917" t="str">
        <f>TRIM(PROPER(Before_Tbl[[#This Row],[Performance_Score]]))</f>
        <v>Poor</v>
      </c>
      <c r="AB917" s="2" t="str">
        <f>TRIM(UPPER(Before_Tbl[[#This Row],[Remote_Work]]))</f>
        <v>TRUE</v>
      </c>
    </row>
    <row r="918" spans="1:28" x14ac:dyDescent="0.35">
      <c r="A918" t="s">
        <v>1496</v>
      </c>
      <c r="B918" t="s">
        <v>32</v>
      </c>
      <c r="C918" t="s">
        <v>55</v>
      </c>
      <c r="E918" t="s">
        <v>118</v>
      </c>
      <c r="F918" t="s">
        <v>16</v>
      </c>
      <c r="G918" s="1">
        <v>45388</v>
      </c>
      <c r="H918">
        <v>68200.52</v>
      </c>
      <c r="I918" t="s">
        <v>323</v>
      </c>
      <c r="J918">
        <v>-6486287202</v>
      </c>
      <c r="K918" t="s">
        <v>18</v>
      </c>
      <c r="L918" t="b">
        <v>1</v>
      </c>
      <c r="P918" t="str">
        <f>TRIM(Before_Tbl[[#This Row],[Employee_ID]])</f>
        <v>EMP1916</v>
      </c>
      <c r="Q918" t="str">
        <f>TRIM(PROPER(Before_Tbl[[#This Row],[First_Name]]))</f>
        <v>Eva</v>
      </c>
      <c r="R918" t="str">
        <f>TRIM(PROPER(Before_Tbl[[#This Row],[Last_Name]]))</f>
        <v>Johnson</v>
      </c>
      <c r="S918" s="25">
        <f t="shared" si="14"/>
        <v>30</v>
      </c>
      <c r="T918" t="str">
        <f>LEFT(Before_Tbl[[#This Row],[Department_Region]],FIND("-",Before_Tbl[[#This Row],[Department_Region]])-1)</f>
        <v>Admin</v>
      </c>
      <c r="U918" t="str">
        <f>RIGHT(Before_Tbl[[#This Row],[Department_Region]],LEN(Before_Tbl[[#This Row],[Department_Region]])-FIND("-",Before_Tbl[[#This Row],[Department_Region]]))</f>
        <v>California</v>
      </c>
      <c r="V918" t="str">
        <f>TRIM(PROPER(Before_Tbl[[#This Row],[Status]]))</f>
        <v>Active</v>
      </c>
      <c r="W918" s="26">
        <v>45388</v>
      </c>
      <c r="X918" s="4">
        <v>68200.52</v>
      </c>
      <c r="Y918" t="str">
        <f>TRIM(LOWER(Before_Tbl[[#This Row],[Email]]))</f>
        <v>eva.johnson@example.com</v>
      </c>
      <c r="Z918" s="2" t="str">
        <f>SUBSTITUTE(Before_Tbl[[#This Row],[Phone]],"-","")</f>
        <v>6486287202</v>
      </c>
      <c r="AA918" t="str">
        <f>TRIM(PROPER(Before_Tbl[[#This Row],[Performance_Score]]))</f>
        <v>Average</v>
      </c>
      <c r="AB918" s="2" t="str">
        <f>TRIM(UPPER(Before_Tbl[[#This Row],[Remote_Work]]))</f>
        <v>TRUE</v>
      </c>
    </row>
    <row r="919" spans="1:28" x14ac:dyDescent="0.35">
      <c r="A919" t="s">
        <v>1497</v>
      </c>
      <c r="B919" t="s">
        <v>32</v>
      </c>
      <c r="C919" t="s">
        <v>20</v>
      </c>
      <c r="D919">
        <v>25</v>
      </c>
      <c r="E919" t="s">
        <v>118</v>
      </c>
      <c r="F919" t="s">
        <v>33</v>
      </c>
      <c r="G919" t="s">
        <v>1498</v>
      </c>
      <c r="H919">
        <v>116934.97</v>
      </c>
      <c r="I919" t="s">
        <v>155</v>
      </c>
      <c r="J919">
        <v>-1954196663</v>
      </c>
      <c r="K919" t="s">
        <v>30</v>
      </c>
      <c r="L919" t="b">
        <v>1</v>
      </c>
      <c r="P919" t="str">
        <f>TRIM(Before_Tbl[[#This Row],[Employee_ID]])</f>
        <v>EMP1917</v>
      </c>
      <c r="Q919" t="str">
        <f>TRIM(PROPER(Before_Tbl[[#This Row],[First_Name]]))</f>
        <v>Eva</v>
      </c>
      <c r="R919" t="str">
        <f>TRIM(PROPER(Before_Tbl[[#This Row],[Last_Name]]))</f>
        <v>Brown</v>
      </c>
      <c r="S919" s="25">
        <f t="shared" si="14"/>
        <v>25</v>
      </c>
      <c r="T919" t="str">
        <f>LEFT(Before_Tbl[[#This Row],[Department_Region]],FIND("-",Before_Tbl[[#This Row],[Department_Region]])-1)</f>
        <v>Admin</v>
      </c>
      <c r="U919" t="str">
        <f>RIGHT(Before_Tbl[[#This Row],[Department_Region]],LEN(Before_Tbl[[#This Row],[Department_Region]])-FIND("-",Before_Tbl[[#This Row],[Department_Region]]))</f>
        <v>California</v>
      </c>
      <c r="V919" t="str">
        <f>TRIM(PROPER(Before_Tbl[[#This Row],[Status]]))</f>
        <v>Inactive</v>
      </c>
      <c r="W919" s="26">
        <v>44764</v>
      </c>
      <c r="X919" s="4">
        <v>116934.97</v>
      </c>
      <c r="Y919" t="str">
        <f>TRIM(LOWER(Before_Tbl[[#This Row],[Email]]))</f>
        <v>eva.brown@example.com</v>
      </c>
      <c r="Z919" s="2" t="str">
        <f>SUBSTITUTE(Before_Tbl[[#This Row],[Phone]],"-","")</f>
        <v>1954196663</v>
      </c>
      <c r="AA919" t="str">
        <f>TRIM(PROPER(Before_Tbl[[#This Row],[Performance_Score]]))</f>
        <v>Good</v>
      </c>
      <c r="AB919" s="2" t="str">
        <f>TRIM(UPPER(Before_Tbl[[#This Row],[Remote_Work]]))</f>
        <v>TRUE</v>
      </c>
    </row>
    <row r="920" spans="1:28" x14ac:dyDescent="0.35">
      <c r="A920" t="s">
        <v>1499</v>
      </c>
      <c r="B920" t="s">
        <v>54</v>
      </c>
      <c r="C920" t="s">
        <v>20</v>
      </c>
      <c r="E920" t="s">
        <v>66</v>
      </c>
      <c r="F920" t="s">
        <v>16</v>
      </c>
      <c r="G920" t="s">
        <v>824</v>
      </c>
      <c r="H920">
        <v>99567.78</v>
      </c>
      <c r="I920" t="s">
        <v>125</v>
      </c>
      <c r="J920">
        <v>-5057303626</v>
      </c>
      <c r="K920" t="s">
        <v>30</v>
      </c>
      <c r="L920" t="b">
        <v>1</v>
      </c>
      <c r="P920" t="str">
        <f>TRIM(Before_Tbl[[#This Row],[Employee_ID]])</f>
        <v>EMP1918</v>
      </c>
      <c r="Q920" t="str">
        <f>TRIM(PROPER(Before_Tbl[[#This Row],[First_Name]]))</f>
        <v>Charlie</v>
      </c>
      <c r="R920" t="str">
        <f>TRIM(PROPER(Before_Tbl[[#This Row],[Last_Name]]))</f>
        <v>Brown</v>
      </c>
      <c r="S920" s="25">
        <f t="shared" si="14"/>
        <v>30</v>
      </c>
      <c r="T920" t="str">
        <f>LEFT(Before_Tbl[[#This Row],[Department_Region]],FIND("-",Before_Tbl[[#This Row],[Department_Region]])-1)</f>
        <v>HR</v>
      </c>
      <c r="U920" t="str">
        <f>RIGHT(Before_Tbl[[#This Row],[Department_Region]],LEN(Before_Tbl[[#This Row],[Department_Region]])-FIND("-",Before_Tbl[[#This Row],[Department_Region]]))</f>
        <v>New York</v>
      </c>
      <c r="V920" t="str">
        <f>TRIM(PROPER(Before_Tbl[[#This Row],[Status]]))</f>
        <v>Active</v>
      </c>
      <c r="W920" s="26">
        <v>45549</v>
      </c>
      <c r="X920" s="4">
        <v>99567.78</v>
      </c>
      <c r="Y920" t="str">
        <f>TRIM(LOWER(Before_Tbl[[#This Row],[Email]]))</f>
        <v>charlie.brown@example.com</v>
      </c>
      <c r="Z920" s="2" t="str">
        <f>SUBSTITUTE(Before_Tbl[[#This Row],[Phone]],"-","")</f>
        <v>5057303626</v>
      </c>
      <c r="AA920" t="str">
        <f>TRIM(PROPER(Before_Tbl[[#This Row],[Performance_Score]]))</f>
        <v>Good</v>
      </c>
      <c r="AB920" s="2" t="str">
        <f>TRIM(UPPER(Before_Tbl[[#This Row],[Remote_Work]]))</f>
        <v>TRUE</v>
      </c>
    </row>
    <row r="921" spans="1:28" x14ac:dyDescent="0.35">
      <c r="A921" t="s">
        <v>1500</v>
      </c>
      <c r="B921" t="s">
        <v>54</v>
      </c>
      <c r="C921" t="s">
        <v>43</v>
      </c>
      <c r="D921">
        <v>30</v>
      </c>
      <c r="E921" t="s">
        <v>103</v>
      </c>
      <c r="F921" t="s">
        <v>16</v>
      </c>
      <c r="G921" s="1">
        <v>44479</v>
      </c>
      <c r="H921">
        <v>90216.76</v>
      </c>
      <c r="I921" t="s">
        <v>87</v>
      </c>
      <c r="J921">
        <v>-9246320373</v>
      </c>
      <c r="K921" t="s">
        <v>18</v>
      </c>
      <c r="L921" t="b">
        <v>1</v>
      </c>
      <c r="P921" t="str">
        <f>TRIM(Before_Tbl[[#This Row],[Employee_ID]])</f>
        <v>EMP1919</v>
      </c>
      <c r="Q921" t="str">
        <f>TRIM(PROPER(Before_Tbl[[#This Row],[First_Name]]))</f>
        <v>Charlie</v>
      </c>
      <c r="R921" t="str">
        <f>TRIM(PROPER(Before_Tbl[[#This Row],[Last_Name]]))</f>
        <v>Garcia</v>
      </c>
      <c r="S921" s="25">
        <f t="shared" si="14"/>
        <v>30</v>
      </c>
      <c r="T921" t="str">
        <f>LEFT(Before_Tbl[[#This Row],[Department_Region]],FIND("-",Before_Tbl[[#This Row],[Department_Region]])-1)</f>
        <v>Admin</v>
      </c>
      <c r="U921" t="str">
        <f>RIGHT(Before_Tbl[[#This Row],[Department_Region]],LEN(Before_Tbl[[#This Row],[Department_Region]])-FIND("-",Before_Tbl[[#This Row],[Department_Region]]))</f>
        <v>Texas</v>
      </c>
      <c r="V921" t="str">
        <f>TRIM(PROPER(Before_Tbl[[#This Row],[Status]]))</f>
        <v>Active</v>
      </c>
      <c r="W921" s="26">
        <v>44479</v>
      </c>
      <c r="X921" s="4">
        <v>90216.76</v>
      </c>
      <c r="Y921" t="str">
        <f>TRIM(LOWER(Before_Tbl[[#This Row],[Email]]))</f>
        <v>charlie.garcia@example.com</v>
      </c>
      <c r="Z921" s="2" t="str">
        <f>SUBSTITUTE(Before_Tbl[[#This Row],[Phone]],"-","")</f>
        <v>9246320373</v>
      </c>
      <c r="AA921" t="str">
        <f>TRIM(PROPER(Before_Tbl[[#This Row],[Performance_Score]]))</f>
        <v>Average</v>
      </c>
      <c r="AB921" s="2" t="str">
        <f>TRIM(UPPER(Before_Tbl[[#This Row],[Remote_Work]]))</f>
        <v>TRUE</v>
      </c>
    </row>
    <row r="922" spans="1:28" x14ac:dyDescent="0.35">
      <c r="A922" t="s">
        <v>1501</v>
      </c>
      <c r="B922" t="s">
        <v>37</v>
      </c>
      <c r="C922" t="s">
        <v>26</v>
      </c>
      <c r="D922">
        <v>30</v>
      </c>
      <c r="E922" t="s">
        <v>89</v>
      </c>
      <c r="F922" t="s">
        <v>28</v>
      </c>
      <c r="G922" s="1">
        <v>44168</v>
      </c>
      <c r="H922">
        <v>96588.73</v>
      </c>
      <c r="I922" t="s">
        <v>47</v>
      </c>
      <c r="J922">
        <v>-7677537259</v>
      </c>
      <c r="K922" t="s">
        <v>18</v>
      </c>
      <c r="L922" t="b">
        <v>1</v>
      </c>
      <c r="P922" t="str">
        <f>TRIM(Before_Tbl[[#This Row],[Employee_ID]])</f>
        <v>EMP1920</v>
      </c>
      <c r="Q922" t="str">
        <f>TRIM(PROPER(Before_Tbl[[#This Row],[First_Name]]))</f>
        <v>Frank</v>
      </c>
      <c r="R922" t="str">
        <f>TRIM(PROPER(Before_Tbl[[#This Row],[Last_Name]]))</f>
        <v>Jones</v>
      </c>
      <c r="S922" s="25">
        <f t="shared" si="14"/>
        <v>30</v>
      </c>
      <c r="T922" t="str">
        <f>LEFT(Before_Tbl[[#This Row],[Department_Region]],FIND("-",Before_Tbl[[#This Row],[Department_Region]])-1)</f>
        <v>Admin</v>
      </c>
      <c r="U922" t="str">
        <f>RIGHT(Before_Tbl[[#This Row],[Department_Region]],LEN(Before_Tbl[[#This Row],[Department_Region]])-FIND("-",Before_Tbl[[#This Row],[Department_Region]]))</f>
        <v>Illinois</v>
      </c>
      <c r="V922" t="str">
        <f>TRIM(PROPER(Before_Tbl[[#This Row],[Status]]))</f>
        <v>Pending</v>
      </c>
      <c r="W922" s="26">
        <v>44168</v>
      </c>
      <c r="X922" s="4">
        <v>96588.73</v>
      </c>
      <c r="Y922" t="str">
        <f>TRIM(LOWER(Before_Tbl[[#This Row],[Email]]))</f>
        <v>frank.jones@example.com</v>
      </c>
      <c r="Z922" s="2" t="str">
        <f>SUBSTITUTE(Before_Tbl[[#This Row],[Phone]],"-","")</f>
        <v>7677537259</v>
      </c>
      <c r="AA922" t="str">
        <f>TRIM(PROPER(Before_Tbl[[#This Row],[Performance_Score]]))</f>
        <v>Average</v>
      </c>
      <c r="AB922" s="2" t="str">
        <f>TRIM(UPPER(Before_Tbl[[#This Row],[Remote_Work]]))</f>
        <v>TRUE</v>
      </c>
    </row>
    <row r="923" spans="1:28" x14ac:dyDescent="0.35">
      <c r="A923" t="s">
        <v>1502</v>
      </c>
      <c r="B923" t="s">
        <v>54</v>
      </c>
      <c r="C923" t="s">
        <v>14</v>
      </c>
      <c r="D923">
        <v>35</v>
      </c>
      <c r="E923" t="s">
        <v>265</v>
      </c>
      <c r="F923" t="s">
        <v>16</v>
      </c>
      <c r="G923" t="s">
        <v>521</v>
      </c>
      <c r="H923">
        <v>71109.179999999993</v>
      </c>
      <c r="I923" t="s">
        <v>170</v>
      </c>
      <c r="J923">
        <v>-3214505765</v>
      </c>
      <c r="K923" t="s">
        <v>41</v>
      </c>
      <c r="L923" t="b">
        <v>1</v>
      </c>
      <c r="P923" t="str">
        <f>TRIM(Before_Tbl[[#This Row],[Employee_ID]])</f>
        <v>EMP1921</v>
      </c>
      <c r="Q923" t="str">
        <f>TRIM(PROPER(Before_Tbl[[#This Row],[First_Name]]))</f>
        <v>Charlie</v>
      </c>
      <c r="R923" t="str">
        <f>TRIM(PROPER(Before_Tbl[[#This Row],[Last_Name]]))</f>
        <v>Davis</v>
      </c>
      <c r="S923" s="25">
        <f t="shared" si="14"/>
        <v>35</v>
      </c>
      <c r="T923" t="str">
        <f>LEFT(Before_Tbl[[#This Row],[Department_Region]],FIND("-",Before_Tbl[[#This Row],[Department_Region]])-1)</f>
        <v>Finance</v>
      </c>
      <c r="U923" t="str">
        <f>RIGHT(Before_Tbl[[#This Row],[Department_Region]],LEN(Before_Tbl[[#This Row],[Department_Region]])-FIND("-",Before_Tbl[[#This Row],[Department_Region]]))</f>
        <v>Illinois</v>
      </c>
      <c r="V923" t="str">
        <f>TRIM(PROPER(Before_Tbl[[#This Row],[Status]]))</f>
        <v>Active</v>
      </c>
      <c r="W923" s="26">
        <v>44923</v>
      </c>
      <c r="X923" s="4">
        <v>71109.179999999993</v>
      </c>
      <c r="Y923" t="str">
        <f>TRIM(LOWER(Before_Tbl[[#This Row],[Email]]))</f>
        <v>charlie.davis@example.com</v>
      </c>
      <c r="Z923" s="2" t="str">
        <f>SUBSTITUTE(Before_Tbl[[#This Row],[Phone]],"-","")</f>
        <v>3214505765</v>
      </c>
      <c r="AA923" t="str">
        <f>TRIM(PROPER(Before_Tbl[[#This Row],[Performance_Score]]))</f>
        <v>Poor</v>
      </c>
      <c r="AB923" s="2" t="str">
        <f>TRIM(UPPER(Before_Tbl[[#This Row],[Remote_Work]]))</f>
        <v>TRUE</v>
      </c>
    </row>
    <row r="924" spans="1:28" x14ac:dyDescent="0.35">
      <c r="A924" t="s">
        <v>1503</v>
      </c>
      <c r="B924" t="s">
        <v>69</v>
      </c>
      <c r="C924" t="s">
        <v>122</v>
      </c>
      <c r="D924">
        <v>40</v>
      </c>
      <c r="E924" t="s">
        <v>205</v>
      </c>
      <c r="F924" t="s">
        <v>33</v>
      </c>
      <c r="G924" t="s">
        <v>1119</v>
      </c>
      <c r="H924">
        <v>50300.6</v>
      </c>
      <c r="I924" t="s">
        <v>135</v>
      </c>
      <c r="J924">
        <v>-1945887070</v>
      </c>
      <c r="K924" t="s">
        <v>30</v>
      </c>
      <c r="L924" t="b">
        <v>0</v>
      </c>
      <c r="P924" t="str">
        <f>TRIM(Before_Tbl[[#This Row],[Employee_ID]])</f>
        <v>EMP1922</v>
      </c>
      <c r="Q924" t="str">
        <f>TRIM(PROPER(Before_Tbl[[#This Row],[First_Name]]))</f>
        <v>Grace</v>
      </c>
      <c r="R924" t="str">
        <f>TRIM(PROPER(Before_Tbl[[#This Row],[Last_Name]]))</f>
        <v>Smith</v>
      </c>
      <c r="S924" s="25">
        <f t="shared" si="14"/>
        <v>40</v>
      </c>
      <c r="T924" t="str">
        <f>LEFT(Before_Tbl[[#This Row],[Department_Region]],FIND("-",Before_Tbl[[#This Row],[Department_Region]])-1)</f>
        <v>Admin</v>
      </c>
      <c r="U924" t="str">
        <f>RIGHT(Before_Tbl[[#This Row],[Department_Region]],LEN(Before_Tbl[[#This Row],[Department_Region]])-FIND("-",Before_Tbl[[#This Row],[Department_Region]]))</f>
        <v>Florida</v>
      </c>
      <c r="V924" t="str">
        <f>TRIM(PROPER(Before_Tbl[[#This Row],[Status]]))</f>
        <v>Inactive</v>
      </c>
      <c r="W924" s="26">
        <v>44150</v>
      </c>
      <c r="X924" s="4">
        <v>50300.6</v>
      </c>
      <c r="Y924" t="str">
        <f>TRIM(LOWER(Before_Tbl[[#This Row],[Email]]))</f>
        <v>grace.smith@example.com</v>
      </c>
      <c r="Z924" s="2" t="str">
        <f>SUBSTITUTE(Before_Tbl[[#This Row],[Phone]],"-","")</f>
        <v>1945887070</v>
      </c>
      <c r="AA924" t="str">
        <f>TRIM(PROPER(Before_Tbl[[#This Row],[Performance_Score]]))</f>
        <v>Good</v>
      </c>
      <c r="AB924" s="2" t="str">
        <f>TRIM(UPPER(Before_Tbl[[#This Row],[Remote_Work]]))</f>
        <v>FALSE</v>
      </c>
    </row>
    <row r="925" spans="1:28" x14ac:dyDescent="0.35">
      <c r="A925" t="s">
        <v>1504</v>
      </c>
      <c r="B925" t="s">
        <v>37</v>
      </c>
      <c r="C925" t="s">
        <v>14</v>
      </c>
      <c r="D925">
        <v>35</v>
      </c>
      <c r="E925" t="s">
        <v>70</v>
      </c>
      <c r="F925" t="s">
        <v>28</v>
      </c>
      <c r="G925" t="s">
        <v>165</v>
      </c>
      <c r="H925">
        <v>60295.839999999997</v>
      </c>
      <c r="I925" t="s">
        <v>52</v>
      </c>
      <c r="J925">
        <v>-5534820127</v>
      </c>
      <c r="K925" t="s">
        <v>30</v>
      </c>
      <c r="L925" t="b">
        <v>0</v>
      </c>
      <c r="P925" t="str">
        <f>TRIM(Before_Tbl[[#This Row],[Employee_ID]])</f>
        <v>EMP1923</v>
      </c>
      <c r="Q925" t="str">
        <f>TRIM(PROPER(Before_Tbl[[#This Row],[First_Name]]))</f>
        <v>Frank</v>
      </c>
      <c r="R925" t="str">
        <f>TRIM(PROPER(Before_Tbl[[#This Row],[Last_Name]]))</f>
        <v>Davis</v>
      </c>
      <c r="S925" s="25">
        <f t="shared" si="14"/>
        <v>35</v>
      </c>
      <c r="T925" t="str">
        <f>LEFT(Before_Tbl[[#This Row],[Department_Region]],FIND("-",Before_Tbl[[#This Row],[Department_Region]])-1)</f>
        <v>Finance</v>
      </c>
      <c r="U925" t="str">
        <f>RIGHT(Before_Tbl[[#This Row],[Department_Region]],LEN(Before_Tbl[[#This Row],[Department_Region]])-FIND("-",Before_Tbl[[#This Row],[Department_Region]]))</f>
        <v>California</v>
      </c>
      <c r="V925" t="str">
        <f>TRIM(PROPER(Before_Tbl[[#This Row],[Status]]))</f>
        <v>Pending</v>
      </c>
      <c r="W925" s="26">
        <v>45196</v>
      </c>
      <c r="X925" s="4">
        <v>60295.839999999997</v>
      </c>
      <c r="Y925" t="str">
        <f>TRIM(LOWER(Before_Tbl[[#This Row],[Email]]))</f>
        <v>frank.davis@example.com</v>
      </c>
      <c r="Z925" s="2" t="str">
        <f>SUBSTITUTE(Before_Tbl[[#This Row],[Phone]],"-","")</f>
        <v>5534820127</v>
      </c>
      <c r="AA925" t="str">
        <f>TRIM(PROPER(Before_Tbl[[#This Row],[Performance_Score]]))</f>
        <v>Good</v>
      </c>
      <c r="AB925" s="2" t="str">
        <f>TRIM(UPPER(Before_Tbl[[#This Row],[Remote_Work]]))</f>
        <v>FALSE</v>
      </c>
    </row>
    <row r="926" spans="1:28" x14ac:dyDescent="0.35">
      <c r="A926" t="s">
        <v>1505</v>
      </c>
      <c r="B926" t="s">
        <v>65</v>
      </c>
      <c r="C926" t="s">
        <v>122</v>
      </c>
      <c r="D926">
        <v>35</v>
      </c>
      <c r="E926" t="s">
        <v>237</v>
      </c>
      <c r="F926" t="s">
        <v>28</v>
      </c>
      <c r="G926" s="1">
        <v>44751</v>
      </c>
      <c r="H926">
        <v>113012.21</v>
      </c>
      <c r="I926" t="s">
        <v>367</v>
      </c>
      <c r="J926">
        <v>-4008385075</v>
      </c>
      <c r="K926" t="s">
        <v>23</v>
      </c>
      <c r="L926" t="b">
        <v>0</v>
      </c>
      <c r="P926" t="str">
        <f>TRIM(Before_Tbl[[#This Row],[Employee_ID]])</f>
        <v>EMP1924</v>
      </c>
      <c r="Q926" t="str">
        <f>TRIM(PROPER(Before_Tbl[[#This Row],[First_Name]]))</f>
        <v>Heidi</v>
      </c>
      <c r="R926" t="str">
        <f>TRIM(PROPER(Before_Tbl[[#This Row],[Last_Name]]))</f>
        <v>Smith</v>
      </c>
      <c r="S926" s="25">
        <f t="shared" si="14"/>
        <v>35</v>
      </c>
      <c r="T926" t="str">
        <f>LEFT(Before_Tbl[[#This Row],[Department_Region]],FIND("-",Before_Tbl[[#This Row],[Department_Region]])-1)</f>
        <v>DevOps</v>
      </c>
      <c r="U926" t="str">
        <f>RIGHT(Before_Tbl[[#This Row],[Department_Region]],LEN(Before_Tbl[[#This Row],[Department_Region]])-FIND("-",Before_Tbl[[#This Row],[Department_Region]]))</f>
        <v>Texas</v>
      </c>
      <c r="V926" t="str">
        <f>TRIM(PROPER(Before_Tbl[[#This Row],[Status]]))</f>
        <v>Pending</v>
      </c>
      <c r="W926" s="26">
        <v>44751</v>
      </c>
      <c r="X926" s="4">
        <v>113012.21</v>
      </c>
      <c r="Y926" t="str">
        <f>TRIM(LOWER(Before_Tbl[[#This Row],[Email]]))</f>
        <v>heidi.smith@example.com</v>
      </c>
      <c r="Z926" s="2" t="str">
        <f>SUBSTITUTE(Before_Tbl[[#This Row],[Phone]],"-","")</f>
        <v>4008385075</v>
      </c>
      <c r="AA926" t="str">
        <f>TRIM(PROPER(Before_Tbl[[#This Row],[Performance_Score]]))</f>
        <v>Excellent</v>
      </c>
      <c r="AB926" s="2" t="str">
        <f>TRIM(UPPER(Before_Tbl[[#This Row],[Remote_Work]]))</f>
        <v>FALSE</v>
      </c>
    </row>
    <row r="927" spans="1:28" x14ac:dyDescent="0.35">
      <c r="A927" t="s">
        <v>1506</v>
      </c>
      <c r="B927" t="s">
        <v>13</v>
      </c>
      <c r="C927" t="s">
        <v>38</v>
      </c>
      <c r="D927">
        <v>35</v>
      </c>
      <c r="E927" t="s">
        <v>39</v>
      </c>
      <c r="F927" t="s">
        <v>28</v>
      </c>
      <c r="G927" t="s">
        <v>1424</v>
      </c>
      <c r="H927">
        <v>65425.54</v>
      </c>
      <c r="I927" t="s">
        <v>144</v>
      </c>
      <c r="J927">
        <v>-5975954507</v>
      </c>
      <c r="K927" t="s">
        <v>41</v>
      </c>
      <c r="L927" t="b">
        <v>1</v>
      </c>
      <c r="P927" t="str">
        <f>TRIM(Before_Tbl[[#This Row],[Employee_ID]])</f>
        <v>EMP1925</v>
      </c>
      <c r="Q927" t="str">
        <f>TRIM(PROPER(Before_Tbl[[#This Row],[First_Name]]))</f>
        <v>Bob</v>
      </c>
      <c r="R927" t="str">
        <f>TRIM(PROPER(Before_Tbl[[#This Row],[Last_Name]]))</f>
        <v>Williams</v>
      </c>
      <c r="S927" s="25">
        <f t="shared" si="14"/>
        <v>35</v>
      </c>
      <c r="T927" t="str">
        <f>LEFT(Before_Tbl[[#This Row],[Department_Region]],FIND("-",Before_Tbl[[#This Row],[Department_Region]])-1)</f>
        <v>Cloud Tech</v>
      </c>
      <c r="U927" t="str">
        <f>RIGHT(Before_Tbl[[#This Row],[Department_Region]],LEN(Before_Tbl[[#This Row],[Department_Region]])-FIND("-",Before_Tbl[[#This Row],[Department_Region]]))</f>
        <v>Florida</v>
      </c>
      <c r="V927" t="str">
        <f>TRIM(PROPER(Before_Tbl[[#This Row],[Status]]))</f>
        <v>Pending</v>
      </c>
      <c r="W927" s="26">
        <v>45553</v>
      </c>
      <c r="X927" s="4">
        <v>65425.54</v>
      </c>
      <c r="Y927" t="str">
        <f>TRIM(LOWER(Before_Tbl[[#This Row],[Email]]))</f>
        <v>bob.williams@example.com</v>
      </c>
      <c r="Z927" s="2" t="str">
        <f>SUBSTITUTE(Before_Tbl[[#This Row],[Phone]],"-","")</f>
        <v>5975954507</v>
      </c>
      <c r="AA927" t="str">
        <f>TRIM(PROPER(Before_Tbl[[#This Row],[Performance_Score]]))</f>
        <v>Poor</v>
      </c>
      <c r="AB927" s="2" t="str">
        <f>TRIM(UPPER(Before_Tbl[[#This Row],[Remote_Work]]))</f>
        <v>TRUE</v>
      </c>
    </row>
    <row r="928" spans="1:28" x14ac:dyDescent="0.35">
      <c r="A928" t="s">
        <v>1507</v>
      </c>
      <c r="B928" t="s">
        <v>37</v>
      </c>
      <c r="C928" t="s">
        <v>26</v>
      </c>
      <c r="D928">
        <v>25</v>
      </c>
      <c r="E928" t="s">
        <v>219</v>
      </c>
      <c r="F928" t="s">
        <v>16</v>
      </c>
      <c r="G928" s="1">
        <v>45173</v>
      </c>
      <c r="H928">
        <v>86850.37</v>
      </c>
      <c r="I928" t="s">
        <v>47</v>
      </c>
      <c r="J928">
        <v>-9177680897</v>
      </c>
      <c r="K928" t="s">
        <v>23</v>
      </c>
      <c r="L928" t="b">
        <v>1</v>
      </c>
      <c r="P928" t="str">
        <f>TRIM(Before_Tbl[[#This Row],[Employee_ID]])</f>
        <v>EMP1926</v>
      </c>
      <c r="Q928" t="str">
        <f>TRIM(PROPER(Before_Tbl[[#This Row],[First_Name]]))</f>
        <v>Frank</v>
      </c>
      <c r="R928" t="str">
        <f>TRIM(PROPER(Before_Tbl[[#This Row],[Last_Name]]))</f>
        <v>Jones</v>
      </c>
      <c r="S928" s="25">
        <f t="shared" si="14"/>
        <v>25</v>
      </c>
      <c r="T928" t="str">
        <f>LEFT(Before_Tbl[[#This Row],[Department_Region]],FIND("-",Before_Tbl[[#This Row],[Department_Region]])-1)</f>
        <v>Sales</v>
      </c>
      <c r="U928" t="str">
        <f>RIGHT(Before_Tbl[[#This Row],[Department_Region]],LEN(Before_Tbl[[#This Row],[Department_Region]])-FIND("-",Before_Tbl[[#This Row],[Department_Region]]))</f>
        <v>Nevada</v>
      </c>
      <c r="V928" t="str">
        <f>TRIM(PROPER(Before_Tbl[[#This Row],[Status]]))</f>
        <v>Active</v>
      </c>
      <c r="W928" s="26">
        <v>45173</v>
      </c>
      <c r="X928" s="4">
        <v>86850.37</v>
      </c>
      <c r="Y928" t="str">
        <f>TRIM(LOWER(Before_Tbl[[#This Row],[Email]]))</f>
        <v>frank.jones@example.com</v>
      </c>
      <c r="Z928" s="2" t="str">
        <f>SUBSTITUTE(Before_Tbl[[#This Row],[Phone]],"-","")</f>
        <v>9177680897</v>
      </c>
      <c r="AA928" t="str">
        <f>TRIM(PROPER(Before_Tbl[[#This Row],[Performance_Score]]))</f>
        <v>Excellent</v>
      </c>
      <c r="AB928" s="2" t="str">
        <f>TRIM(UPPER(Before_Tbl[[#This Row],[Remote_Work]]))</f>
        <v>TRUE</v>
      </c>
    </row>
    <row r="929" spans="1:28" x14ac:dyDescent="0.35">
      <c r="A929" t="s">
        <v>1508</v>
      </c>
      <c r="B929" t="s">
        <v>32</v>
      </c>
      <c r="C929" t="s">
        <v>20</v>
      </c>
      <c r="D929">
        <v>30</v>
      </c>
      <c r="E929" t="s">
        <v>159</v>
      </c>
      <c r="F929" t="s">
        <v>28</v>
      </c>
      <c r="G929" s="1">
        <v>45422</v>
      </c>
      <c r="H929">
        <v>81182.070000000007</v>
      </c>
      <c r="I929" t="s">
        <v>155</v>
      </c>
      <c r="J929">
        <v>-1265742230</v>
      </c>
      <c r="K929" t="s">
        <v>30</v>
      </c>
      <c r="L929" t="b">
        <v>1</v>
      </c>
      <c r="P929" t="str">
        <f>TRIM(Before_Tbl[[#This Row],[Employee_ID]])</f>
        <v>EMP1927</v>
      </c>
      <c r="Q929" t="str">
        <f>TRIM(PROPER(Before_Tbl[[#This Row],[First_Name]]))</f>
        <v>Eva</v>
      </c>
      <c r="R929" t="str">
        <f>TRIM(PROPER(Before_Tbl[[#This Row],[Last_Name]]))</f>
        <v>Brown</v>
      </c>
      <c r="S929" s="25">
        <f t="shared" si="14"/>
        <v>30</v>
      </c>
      <c r="T929" t="str">
        <f>LEFT(Before_Tbl[[#This Row],[Department_Region]],FIND("-",Before_Tbl[[#This Row],[Department_Region]])-1)</f>
        <v>Cloud Tech</v>
      </c>
      <c r="U929" t="str">
        <f>RIGHT(Before_Tbl[[#This Row],[Department_Region]],LEN(Before_Tbl[[#This Row],[Department_Region]])-FIND("-",Before_Tbl[[#This Row],[Department_Region]]))</f>
        <v>Texas</v>
      </c>
      <c r="V929" t="str">
        <f>TRIM(PROPER(Before_Tbl[[#This Row],[Status]]))</f>
        <v>Pending</v>
      </c>
      <c r="W929" s="26">
        <v>45422</v>
      </c>
      <c r="X929" s="4">
        <v>81182.070000000007</v>
      </c>
      <c r="Y929" t="str">
        <f>TRIM(LOWER(Before_Tbl[[#This Row],[Email]]))</f>
        <v>eva.brown@example.com</v>
      </c>
      <c r="Z929" s="2" t="str">
        <f>SUBSTITUTE(Before_Tbl[[#This Row],[Phone]],"-","")</f>
        <v>1265742230</v>
      </c>
      <c r="AA929" t="str">
        <f>TRIM(PROPER(Before_Tbl[[#This Row],[Performance_Score]]))</f>
        <v>Good</v>
      </c>
      <c r="AB929" s="2" t="str">
        <f>TRIM(UPPER(Before_Tbl[[#This Row],[Remote_Work]]))</f>
        <v>TRUE</v>
      </c>
    </row>
    <row r="930" spans="1:28" x14ac:dyDescent="0.35">
      <c r="A930" t="s">
        <v>1509</v>
      </c>
      <c r="B930" t="s">
        <v>13</v>
      </c>
      <c r="C930" t="s">
        <v>92</v>
      </c>
      <c r="E930" t="s">
        <v>227</v>
      </c>
      <c r="F930" t="s">
        <v>33</v>
      </c>
      <c r="G930" s="1">
        <v>44540</v>
      </c>
      <c r="H930">
        <v>92222.03</v>
      </c>
      <c r="I930" t="s">
        <v>93</v>
      </c>
      <c r="J930">
        <v>-9646300401</v>
      </c>
      <c r="K930" t="s">
        <v>41</v>
      </c>
      <c r="L930" t="b">
        <v>1</v>
      </c>
      <c r="P930" t="str">
        <f>TRIM(Before_Tbl[[#This Row],[Employee_ID]])</f>
        <v>EMP1928</v>
      </c>
      <c r="Q930" t="str">
        <f>TRIM(PROPER(Before_Tbl[[#This Row],[First_Name]]))</f>
        <v>Bob</v>
      </c>
      <c r="R930" t="str">
        <f>TRIM(PROPER(Before_Tbl[[#This Row],[Last_Name]]))</f>
        <v>Miller</v>
      </c>
      <c r="S930" s="25">
        <f t="shared" si="14"/>
        <v>30</v>
      </c>
      <c r="T930" t="str">
        <f>LEFT(Before_Tbl[[#This Row],[Department_Region]],FIND("-",Before_Tbl[[#This Row],[Department_Region]])-1)</f>
        <v>Finance</v>
      </c>
      <c r="U930" t="str">
        <f>RIGHT(Before_Tbl[[#This Row],[Department_Region]],LEN(Before_Tbl[[#This Row],[Department_Region]])-FIND("-",Before_Tbl[[#This Row],[Department_Region]]))</f>
        <v>New York</v>
      </c>
      <c r="V930" t="str">
        <f>TRIM(PROPER(Before_Tbl[[#This Row],[Status]]))</f>
        <v>Inactive</v>
      </c>
      <c r="W930" s="26">
        <v>44540</v>
      </c>
      <c r="X930" s="4">
        <v>92222.03</v>
      </c>
      <c r="Y930" t="str">
        <f>TRIM(LOWER(Before_Tbl[[#This Row],[Email]]))</f>
        <v>bob.miller@example.com</v>
      </c>
      <c r="Z930" s="2" t="str">
        <f>SUBSTITUTE(Before_Tbl[[#This Row],[Phone]],"-","")</f>
        <v>9646300401</v>
      </c>
      <c r="AA930" t="str">
        <f>TRIM(PROPER(Before_Tbl[[#This Row],[Performance_Score]]))</f>
        <v>Poor</v>
      </c>
      <c r="AB930" s="2" t="str">
        <f>TRIM(UPPER(Before_Tbl[[#This Row],[Remote_Work]]))</f>
        <v>TRUE</v>
      </c>
    </row>
    <row r="931" spans="1:28" x14ac:dyDescent="0.35">
      <c r="A931" t="s">
        <v>1510</v>
      </c>
      <c r="B931" t="s">
        <v>25</v>
      </c>
      <c r="C931" t="s">
        <v>122</v>
      </c>
      <c r="D931">
        <v>35</v>
      </c>
      <c r="E931" t="s">
        <v>227</v>
      </c>
      <c r="F931" t="s">
        <v>28</v>
      </c>
      <c r="G931" t="s">
        <v>1511</v>
      </c>
      <c r="H931">
        <v>79934.83</v>
      </c>
      <c r="I931" t="s">
        <v>182</v>
      </c>
      <c r="J931">
        <v>-3693626893</v>
      </c>
      <c r="K931" t="s">
        <v>18</v>
      </c>
      <c r="L931" t="b">
        <v>1</v>
      </c>
      <c r="P931" t="str">
        <f>TRIM(Before_Tbl[[#This Row],[Employee_ID]])</f>
        <v>EMP1929</v>
      </c>
      <c r="Q931" t="str">
        <f>TRIM(PROPER(Before_Tbl[[#This Row],[First_Name]]))</f>
        <v>Alice</v>
      </c>
      <c r="R931" t="str">
        <f>TRIM(PROPER(Before_Tbl[[#This Row],[Last_Name]]))</f>
        <v>Smith</v>
      </c>
      <c r="S931" s="25">
        <f t="shared" si="14"/>
        <v>35</v>
      </c>
      <c r="T931" t="str">
        <f>LEFT(Before_Tbl[[#This Row],[Department_Region]],FIND("-",Before_Tbl[[#This Row],[Department_Region]])-1)</f>
        <v>Finance</v>
      </c>
      <c r="U931" t="str">
        <f>RIGHT(Before_Tbl[[#This Row],[Department_Region]],LEN(Before_Tbl[[#This Row],[Department_Region]])-FIND("-",Before_Tbl[[#This Row],[Department_Region]]))</f>
        <v>New York</v>
      </c>
      <c r="V931" t="str">
        <f>TRIM(PROPER(Before_Tbl[[#This Row],[Status]]))</f>
        <v>Pending</v>
      </c>
      <c r="W931" s="26">
        <v>45579</v>
      </c>
      <c r="X931" s="4">
        <v>79934.83</v>
      </c>
      <c r="Y931" t="str">
        <f>TRIM(LOWER(Before_Tbl[[#This Row],[Email]]))</f>
        <v>alice.smith@example.com</v>
      </c>
      <c r="Z931" s="2" t="str">
        <f>SUBSTITUTE(Before_Tbl[[#This Row],[Phone]],"-","")</f>
        <v>3693626893</v>
      </c>
      <c r="AA931" t="str">
        <f>TRIM(PROPER(Before_Tbl[[#This Row],[Performance_Score]]))</f>
        <v>Average</v>
      </c>
      <c r="AB931" s="2" t="str">
        <f>TRIM(UPPER(Before_Tbl[[#This Row],[Remote_Work]]))</f>
        <v>TRUE</v>
      </c>
    </row>
    <row r="932" spans="1:28" x14ac:dyDescent="0.35">
      <c r="A932" t="s">
        <v>1512</v>
      </c>
      <c r="B932" t="s">
        <v>25</v>
      </c>
      <c r="C932" t="s">
        <v>14</v>
      </c>
      <c r="D932">
        <v>35</v>
      </c>
      <c r="E932" t="s">
        <v>146</v>
      </c>
      <c r="F932" t="s">
        <v>33</v>
      </c>
      <c r="G932" s="1">
        <v>44568</v>
      </c>
      <c r="H932">
        <v>111201.12</v>
      </c>
      <c r="I932" t="s">
        <v>163</v>
      </c>
      <c r="J932">
        <v>-3012047136</v>
      </c>
      <c r="K932" t="s">
        <v>41</v>
      </c>
      <c r="L932" t="b">
        <v>0</v>
      </c>
      <c r="P932" t="str">
        <f>TRIM(Before_Tbl[[#This Row],[Employee_ID]])</f>
        <v>EMP1930</v>
      </c>
      <c r="Q932" t="str">
        <f>TRIM(PROPER(Before_Tbl[[#This Row],[First_Name]]))</f>
        <v>Alice</v>
      </c>
      <c r="R932" t="str">
        <f>TRIM(PROPER(Before_Tbl[[#This Row],[Last_Name]]))</f>
        <v>Davis</v>
      </c>
      <c r="S932" s="25">
        <f t="shared" si="14"/>
        <v>35</v>
      </c>
      <c r="T932" t="str">
        <f>LEFT(Before_Tbl[[#This Row],[Department_Region]],FIND("-",Before_Tbl[[#This Row],[Department_Region]])-1)</f>
        <v>HR</v>
      </c>
      <c r="U932" t="str">
        <f>RIGHT(Before_Tbl[[#This Row],[Department_Region]],LEN(Before_Tbl[[#This Row],[Department_Region]])-FIND("-",Before_Tbl[[#This Row],[Department_Region]]))</f>
        <v>California</v>
      </c>
      <c r="V932" t="str">
        <f>TRIM(PROPER(Before_Tbl[[#This Row],[Status]]))</f>
        <v>Inactive</v>
      </c>
      <c r="W932" s="26">
        <v>44568</v>
      </c>
      <c r="X932" s="4">
        <v>111201.12</v>
      </c>
      <c r="Y932" t="str">
        <f>TRIM(LOWER(Before_Tbl[[#This Row],[Email]]))</f>
        <v>alice.davis@example.com</v>
      </c>
      <c r="Z932" s="2" t="str">
        <f>SUBSTITUTE(Before_Tbl[[#This Row],[Phone]],"-","")</f>
        <v>3012047136</v>
      </c>
      <c r="AA932" t="str">
        <f>TRIM(PROPER(Before_Tbl[[#This Row],[Performance_Score]]))</f>
        <v>Poor</v>
      </c>
      <c r="AB932" s="2" t="str">
        <f>TRIM(UPPER(Before_Tbl[[#This Row],[Remote_Work]]))</f>
        <v>FALSE</v>
      </c>
    </row>
    <row r="933" spans="1:28" x14ac:dyDescent="0.35">
      <c r="A933" t="s">
        <v>1513</v>
      </c>
      <c r="B933" t="s">
        <v>65</v>
      </c>
      <c r="C933" t="s">
        <v>20</v>
      </c>
      <c r="D933">
        <v>40</v>
      </c>
      <c r="E933" t="s">
        <v>70</v>
      </c>
      <c r="F933" t="s">
        <v>16</v>
      </c>
      <c r="G933" s="1">
        <v>45511</v>
      </c>
      <c r="H933">
        <v>100960.05</v>
      </c>
      <c r="I933" t="s">
        <v>404</v>
      </c>
      <c r="J933">
        <v>-2711759573</v>
      </c>
      <c r="K933" t="s">
        <v>18</v>
      </c>
      <c r="L933" t="b">
        <v>0</v>
      </c>
      <c r="P933" t="str">
        <f>TRIM(Before_Tbl[[#This Row],[Employee_ID]])</f>
        <v>EMP1931</v>
      </c>
      <c r="Q933" t="str">
        <f>TRIM(PROPER(Before_Tbl[[#This Row],[First_Name]]))</f>
        <v>Heidi</v>
      </c>
      <c r="R933" t="str">
        <f>TRIM(PROPER(Before_Tbl[[#This Row],[Last_Name]]))</f>
        <v>Brown</v>
      </c>
      <c r="S933" s="25">
        <f t="shared" si="14"/>
        <v>40</v>
      </c>
      <c r="T933" t="str">
        <f>LEFT(Before_Tbl[[#This Row],[Department_Region]],FIND("-",Before_Tbl[[#This Row],[Department_Region]])-1)</f>
        <v>Finance</v>
      </c>
      <c r="U933" t="str">
        <f>RIGHT(Before_Tbl[[#This Row],[Department_Region]],LEN(Before_Tbl[[#This Row],[Department_Region]])-FIND("-",Before_Tbl[[#This Row],[Department_Region]]))</f>
        <v>California</v>
      </c>
      <c r="V933" t="str">
        <f>TRIM(PROPER(Before_Tbl[[#This Row],[Status]]))</f>
        <v>Active</v>
      </c>
      <c r="W933" s="26">
        <v>45511</v>
      </c>
      <c r="X933" s="4">
        <v>100960.05</v>
      </c>
      <c r="Y933" t="str">
        <f>TRIM(LOWER(Before_Tbl[[#This Row],[Email]]))</f>
        <v>heidi.brown@example.com</v>
      </c>
      <c r="Z933" s="2" t="str">
        <f>SUBSTITUTE(Before_Tbl[[#This Row],[Phone]],"-","")</f>
        <v>2711759573</v>
      </c>
      <c r="AA933" t="str">
        <f>TRIM(PROPER(Before_Tbl[[#This Row],[Performance_Score]]))</f>
        <v>Average</v>
      </c>
      <c r="AB933" s="2" t="str">
        <f>TRIM(UPPER(Before_Tbl[[#This Row],[Remote_Work]]))</f>
        <v>FALSE</v>
      </c>
    </row>
    <row r="934" spans="1:28" x14ac:dyDescent="0.35">
      <c r="A934" t="s">
        <v>1514</v>
      </c>
      <c r="B934" t="s">
        <v>69</v>
      </c>
      <c r="C934" t="s">
        <v>122</v>
      </c>
      <c r="D934">
        <v>30</v>
      </c>
      <c r="E934" t="s">
        <v>98</v>
      </c>
      <c r="F934" t="s">
        <v>16</v>
      </c>
      <c r="G934" t="s">
        <v>1515</v>
      </c>
      <c r="H934">
        <v>64544.87</v>
      </c>
      <c r="I934" t="s">
        <v>135</v>
      </c>
      <c r="J934">
        <v>-9885582983</v>
      </c>
      <c r="K934" t="s">
        <v>18</v>
      </c>
      <c r="L934" t="b">
        <v>1</v>
      </c>
      <c r="P934" t="str">
        <f>TRIM(Before_Tbl[[#This Row],[Employee_ID]])</f>
        <v>EMP1932</v>
      </c>
      <c r="Q934" t="str">
        <f>TRIM(PROPER(Before_Tbl[[#This Row],[First_Name]]))</f>
        <v>Grace</v>
      </c>
      <c r="R934" t="str">
        <f>TRIM(PROPER(Before_Tbl[[#This Row],[Last_Name]]))</f>
        <v>Smith</v>
      </c>
      <c r="S934" s="25">
        <f t="shared" si="14"/>
        <v>30</v>
      </c>
      <c r="T934" t="str">
        <f>LEFT(Before_Tbl[[#This Row],[Department_Region]],FIND("-",Before_Tbl[[#This Row],[Department_Region]])-1)</f>
        <v>Sales</v>
      </c>
      <c r="U934" t="str">
        <f>RIGHT(Before_Tbl[[#This Row],[Department_Region]],LEN(Before_Tbl[[#This Row],[Department_Region]])-FIND("-",Before_Tbl[[#This Row],[Department_Region]]))</f>
        <v>Illinois</v>
      </c>
      <c r="V934" t="str">
        <f>TRIM(PROPER(Before_Tbl[[#This Row],[Status]]))</f>
        <v>Active</v>
      </c>
      <c r="W934" s="26">
        <v>44125</v>
      </c>
      <c r="X934" s="4">
        <v>64544.87</v>
      </c>
      <c r="Y934" t="str">
        <f>TRIM(LOWER(Before_Tbl[[#This Row],[Email]]))</f>
        <v>grace.smith@example.com</v>
      </c>
      <c r="Z934" s="2" t="str">
        <f>SUBSTITUTE(Before_Tbl[[#This Row],[Phone]],"-","")</f>
        <v>9885582983</v>
      </c>
      <c r="AA934" t="str">
        <f>TRIM(PROPER(Before_Tbl[[#This Row],[Performance_Score]]))</f>
        <v>Average</v>
      </c>
      <c r="AB934" s="2" t="str">
        <f>TRIM(UPPER(Before_Tbl[[#This Row],[Remote_Work]]))</f>
        <v>TRUE</v>
      </c>
    </row>
    <row r="935" spans="1:28" x14ac:dyDescent="0.35">
      <c r="A935" t="s">
        <v>1516</v>
      </c>
      <c r="B935" t="s">
        <v>37</v>
      </c>
      <c r="C935" t="s">
        <v>122</v>
      </c>
      <c r="D935">
        <v>25</v>
      </c>
      <c r="E935" t="s">
        <v>74</v>
      </c>
      <c r="F935" t="s">
        <v>16</v>
      </c>
      <c r="G935" t="s">
        <v>1517</v>
      </c>
      <c r="H935">
        <v>78662.240000000005</v>
      </c>
      <c r="I935" t="s">
        <v>137</v>
      </c>
      <c r="J935">
        <v>-9330674583</v>
      </c>
      <c r="K935" t="s">
        <v>41</v>
      </c>
      <c r="L935" t="b">
        <v>1</v>
      </c>
      <c r="P935" t="str">
        <f>TRIM(Before_Tbl[[#This Row],[Employee_ID]])</f>
        <v>EMP1933</v>
      </c>
      <c r="Q935" t="str">
        <f>TRIM(PROPER(Before_Tbl[[#This Row],[First_Name]]))</f>
        <v>Frank</v>
      </c>
      <c r="R935" t="str">
        <f>TRIM(PROPER(Before_Tbl[[#This Row],[Last_Name]]))</f>
        <v>Smith</v>
      </c>
      <c r="S935" s="25">
        <f t="shared" si="14"/>
        <v>25</v>
      </c>
      <c r="T935" t="str">
        <f>LEFT(Before_Tbl[[#This Row],[Department_Region]],FIND("-",Before_Tbl[[#This Row],[Department_Region]])-1)</f>
        <v>Sales</v>
      </c>
      <c r="U935" t="str">
        <f>RIGHT(Before_Tbl[[#This Row],[Department_Region]],LEN(Before_Tbl[[#This Row],[Department_Region]])-FIND("-",Before_Tbl[[#This Row],[Department_Region]]))</f>
        <v>Florida</v>
      </c>
      <c r="V935" t="str">
        <f>TRIM(PROPER(Before_Tbl[[#This Row],[Status]]))</f>
        <v>Active</v>
      </c>
      <c r="W935" s="26">
        <v>43844</v>
      </c>
      <c r="X935" s="4">
        <v>78662.240000000005</v>
      </c>
      <c r="Y935" t="str">
        <f>TRIM(LOWER(Before_Tbl[[#This Row],[Email]]))</f>
        <v>frank.smith@example.com</v>
      </c>
      <c r="Z935" s="2" t="str">
        <f>SUBSTITUTE(Before_Tbl[[#This Row],[Phone]],"-","")</f>
        <v>9330674583</v>
      </c>
      <c r="AA935" t="str">
        <f>TRIM(PROPER(Before_Tbl[[#This Row],[Performance_Score]]))</f>
        <v>Poor</v>
      </c>
      <c r="AB935" s="2" t="str">
        <f>TRIM(UPPER(Before_Tbl[[#This Row],[Remote_Work]]))</f>
        <v>TRUE</v>
      </c>
    </row>
    <row r="936" spans="1:28" x14ac:dyDescent="0.35">
      <c r="A936" t="s">
        <v>1518</v>
      </c>
      <c r="B936" t="s">
        <v>69</v>
      </c>
      <c r="C936" t="s">
        <v>43</v>
      </c>
      <c r="D936">
        <v>30</v>
      </c>
      <c r="E936" t="s">
        <v>74</v>
      </c>
      <c r="F936" t="s">
        <v>28</v>
      </c>
      <c r="G936" s="1">
        <v>45172</v>
      </c>
      <c r="H936">
        <v>102867.06</v>
      </c>
      <c r="I936" t="s">
        <v>83</v>
      </c>
      <c r="J936">
        <v>-7609441282</v>
      </c>
      <c r="K936" t="s">
        <v>18</v>
      </c>
      <c r="L936" t="b">
        <v>1</v>
      </c>
      <c r="P936" t="str">
        <f>TRIM(Before_Tbl[[#This Row],[Employee_ID]])</f>
        <v>EMP1934</v>
      </c>
      <c r="Q936" t="str">
        <f>TRIM(PROPER(Before_Tbl[[#This Row],[First_Name]]))</f>
        <v>Grace</v>
      </c>
      <c r="R936" t="str">
        <f>TRIM(PROPER(Before_Tbl[[#This Row],[Last_Name]]))</f>
        <v>Garcia</v>
      </c>
      <c r="S936" s="25">
        <f t="shared" si="14"/>
        <v>30</v>
      </c>
      <c r="T936" t="str">
        <f>LEFT(Before_Tbl[[#This Row],[Department_Region]],FIND("-",Before_Tbl[[#This Row],[Department_Region]])-1)</f>
        <v>Sales</v>
      </c>
      <c r="U936" t="str">
        <f>RIGHT(Before_Tbl[[#This Row],[Department_Region]],LEN(Before_Tbl[[#This Row],[Department_Region]])-FIND("-",Before_Tbl[[#This Row],[Department_Region]]))</f>
        <v>Florida</v>
      </c>
      <c r="V936" t="str">
        <f>TRIM(PROPER(Before_Tbl[[#This Row],[Status]]))</f>
        <v>Pending</v>
      </c>
      <c r="W936" s="26">
        <v>45172</v>
      </c>
      <c r="X936" s="4">
        <v>102867.06</v>
      </c>
      <c r="Y936" t="str">
        <f>TRIM(LOWER(Before_Tbl[[#This Row],[Email]]))</f>
        <v>grace.garcia@example.com</v>
      </c>
      <c r="Z936" s="2" t="str">
        <f>SUBSTITUTE(Before_Tbl[[#This Row],[Phone]],"-","")</f>
        <v>7609441282</v>
      </c>
      <c r="AA936" t="str">
        <f>TRIM(PROPER(Before_Tbl[[#This Row],[Performance_Score]]))</f>
        <v>Average</v>
      </c>
      <c r="AB936" s="2" t="str">
        <f>TRIM(UPPER(Before_Tbl[[#This Row],[Remote_Work]]))</f>
        <v>TRUE</v>
      </c>
    </row>
    <row r="937" spans="1:28" x14ac:dyDescent="0.35">
      <c r="A937" t="s">
        <v>1519</v>
      </c>
      <c r="B937" t="s">
        <v>54</v>
      </c>
      <c r="C937" t="s">
        <v>122</v>
      </c>
      <c r="D937">
        <v>40</v>
      </c>
      <c r="E937" t="s">
        <v>192</v>
      </c>
      <c r="F937" t="s">
        <v>33</v>
      </c>
      <c r="G937" t="s">
        <v>1121</v>
      </c>
      <c r="H937">
        <v>107595.95</v>
      </c>
      <c r="I937" t="s">
        <v>194</v>
      </c>
      <c r="J937">
        <v>-3372188565</v>
      </c>
      <c r="K937" t="s">
        <v>23</v>
      </c>
      <c r="L937" t="b">
        <v>1</v>
      </c>
      <c r="P937" t="str">
        <f>TRIM(Before_Tbl[[#This Row],[Employee_ID]])</f>
        <v>EMP1935</v>
      </c>
      <c r="Q937" t="str">
        <f>TRIM(PROPER(Before_Tbl[[#This Row],[First_Name]]))</f>
        <v>Charlie</v>
      </c>
      <c r="R937" t="str">
        <f>TRIM(PROPER(Before_Tbl[[#This Row],[Last_Name]]))</f>
        <v>Smith</v>
      </c>
      <c r="S937" s="25">
        <f t="shared" si="14"/>
        <v>40</v>
      </c>
      <c r="T937" t="str">
        <f>LEFT(Before_Tbl[[#This Row],[Department_Region]],FIND("-",Before_Tbl[[#This Row],[Department_Region]])-1)</f>
        <v>HR</v>
      </c>
      <c r="U937" t="str">
        <f>RIGHT(Before_Tbl[[#This Row],[Department_Region]],LEN(Before_Tbl[[#This Row],[Department_Region]])-FIND("-",Before_Tbl[[#This Row],[Department_Region]]))</f>
        <v>Illinois</v>
      </c>
      <c r="V937" t="str">
        <f>TRIM(PROPER(Before_Tbl[[#This Row],[Status]]))</f>
        <v>Inactive</v>
      </c>
      <c r="W937" s="26">
        <v>43917</v>
      </c>
      <c r="X937" s="4">
        <v>107595.95</v>
      </c>
      <c r="Y937" t="str">
        <f>TRIM(LOWER(Before_Tbl[[#This Row],[Email]]))</f>
        <v>charlie.smith@example.com</v>
      </c>
      <c r="Z937" s="2" t="str">
        <f>SUBSTITUTE(Before_Tbl[[#This Row],[Phone]],"-","")</f>
        <v>3372188565</v>
      </c>
      <c r="AA937" t="str">
        <f>TRIM(PROPER(Before_Tbl[[#This Row],[Performance_Score]]))</f>
        <v>Excellent</v>
      </c>
      <c r="AB937" s="2" t="str">
        <f>TRIM(UPPER(Before_Tbl[[#This Row],[Remote_Work]]))</f>
        <v>TRUE</v>
      </c>
    </row>
    <row r="938" spans="1:28" x14ac:dyDescent="0.35">
      <c r="A938" t="s">
        <v>1520</v>
      </c>
      <c r="B938" t="s">
        <v>32</v>
      </c>
      <c r="C938" t="s">
        <v>92</v>
      </c>
      <c r="D938">
        <v>40</v>
      </c>
      <c r="E938" t="s">
        <v>219</v>
      </c>
      <c r="F938" t="s">
        <v>33</v>
      </c>
      <c r="G938" s="1">
        <v>44290</v>
      </c>
      <c r="H938" t="s">
        <v>277</v>
      </c>
      <c r="I938" t="s">
        <v>263</v>
      </c>
      <c r="J938">
        <v>-6954132970</v>
      </c>
      <c r="K938" t="s">
        <v>30</v>
      </c>
      <c r="L938" t="b">
        <v>0</v>
      </c>
      <c r="P938" t="str">
        <f>TRIM(Before_Tbl[[#This Row],[Employee_ID]])</f>
        <v>EMP1936</v>
      </c>
      <c r="Q938" t="str">
        <f>TRIM(PROPER(Before_Tbl[[#This Row],[First_Name]]))</f>
        <v>Eva</v>
      </c>
      <c r="R938" t="str">
        <f>TRIM(PROPER(Before_Tbl[[#This Row],[Last_Name]]))</f>
        <v>Miller</v>
      </c>
      <c r="S938" s="25">
        <f t="shared" si="14"/>
        <v>40</v>
      </c>
      <c r="T938" t="str">
        <f>LEFT(Before_Tbl[[#This Row],[Department_Region]],FIND("-",Before_Tbl[[#This Row],[Department_Region]])-1)</f>
        <v>Sales</v>
      </c>
      <c r="U938" t="str">
        <f>RIGHT(Before_Tbl[[#This Row],[Department_Region]],LEN(Before_Tbl[[#This Row],[Department_Region]])-FIND("-",Before_Tbl[[#This Row],[Department_Region]]))</f>
        <v>Nevada</v>
      </c>
      <c r="V938" t="str">
        <f>TRIM(PROPER(Before_Tbl[[#This Row],[Status]]))</f>
        <v>Inactive</v>
      </c>
      <c r="W938" s="26">
        <v>44290</v>
      </c>
      <c r="X938" s="4"/>
      <c r="Y938" t="str">
        <f>TRIM(LOWER(Before_Tbl[[#This Row],[Email]]))</f>
        <v>eva.miller@example.com</v>
      </c>
      <c r="Z938" s="2" t="str">
        <f>SUBSTITUTE(Before_Tbl[[#This Row],[Phone]],"-","")</f>
        <v>6954132970</v>
      </c>
      <c r="AA938" t="str">
        <f>TRIM(PROPER(Before_Tbl[[#This Row],[Performance_Score]]))</f>
        <v>Good</v>
      </c>
      <c r="AB938" s="2" t="str">
        <f>TRIM(UPPER(Before_Tbl[[#This Row],[Remote_Work]]))</f>
        <v>FALSE</v>
      </c>
    </row>
    <row r="939" spans="1:28" x14ac:dyDescent="0.35">
      <c r="A939" t="s">
        <v>1521</v>
      </c>
      <c r="B939" t="s">
        <v>32</v>
      </c>
      <c r="C939" t="s">
        <v>26</v>
      </c>
      <c r="D939">
        <v>35</v>
      </c>
      <c r="E939" t="s">
        <v>329</v>
      </c>
      <c r="F939" t="s">
        <v>33</v>
      </c>
      <c r="G939" s="1">
        <v>44144</v>
      </c>
      <c r="H939">
        <v>95766.91</v>
      </c>
      <c r="I939" t="s">
        <v>278</v>
      </c>
      <c r="J939">
        <v>-5066626704</v>
      </c>
      <c r="K939" t="s">
        <v>18</v>
      </c>
      <c r="L939" t="b">
        <v>1</v>
      </c>
      <c r="P939" t="str">
        <f>TRIM(Before_Tbl[[#This Row],[Employee_ID]])</f>
        <v>EMP1937</v>
      </c>
      <c r="Q939" t="str">
        <f>TRIM(PROPER(Before_Tbl[[#This Row],[First_Name]]))</f>
        <v>Eva</v>
      </c>
      <c r="R939" t="str">
        <f>TRIM(PROPER(Before_Tbl[[#This Row],[Last_Name]]))</f>
        <v>Jones</v>
      </c>
      <c r="S939" s="25">
        <f t="shared" si="14"/>
        <v>35</v>
      </c>
      <c r="T939" t="str">
        <f>LEFT(Before_Tbl[[#This Row],[Department_Region]],FIND("-",Before_Tbl[[#This Row],[Department_Region]])-1)</f>
        <v>DevOps</v>
      </c>
      <c r="U939" t="str">
        <f>RIGHT(Before_Tbl[[#This Row],[Department_Region]],LEN(Before_Tbl[[#This Row],[Department_Region]])-FIND("-",Before_Tbl[[#This Row],[Department_Region]]))</f>
        <v>Nevada</v>
      </c>
      <c r="V939" t="str">
        <f>TRIM(PROPER(Before_Tbl[[#This Row],[Status]]))</f>
        <v>Inactive</v>
      </c>
      <c r="W939" s="26">
        <v>44144</v>
      </c>
      <c r="X939" s="4">
        <v>95766.91</v>
      </c>
      <c r="Y939" t="str">
        <f>TRIM(LOWER(Before_Tbl[[#This Row],[Email]]))</f>
        <v>eva.jones@example.com</v>
      </c>
      <c r="Z939" s="2" t="str">
        <f>SUBSTITUTE(Before_Tbl[[#This Row],[Phone]],"-","")</f>
        <v>5066626704</v>
      </c>
      <c r="AA939" t="str">
        <f>TRIM(PROPER(Before_Tbl[[#This Row],[Performance_Score]]))</f>
        <v>Average</v>
      </c>
      <c r="AB939" s="2" t="str">
        <f>TRIM(UPPER(Before_Tbl[[#This Row],[Remote_Work]]))</f>
        <v>TRUE</v>
      </c>
    </row>
    <row r="940" spans="1:28" x14ac:dyDescent="0.35">
      <c r="A940" t="s">
        <v>1522</v>
      </c>
      <c r="B940" t="s">
        <v>69</v>
      </c>
      <c r="C940" t="s">
        <v>92</v>
      </c>
      <c r="D940">
        <v>30</v>
      </c>
      <c r="E940" t="s">
        <v>100</v>
      </c>
      <c r="F940" t="s">
        <v>28</v>
      </c>
      <c r="G940" t="s">
        <v>1523</v>
      </c>
      <c r="H940">
        <v>51990.98</v>
      </c>
      <c r="I940" t="s">
        <v>168</v>
      </c>
      <c r="J940">
        <v>-5143776935</v>
      </c>
      <c r="K940" t="s">
        <v>23</v>
      </c>
      <c r="L940" t="b">
        <v>1</v>
      </c>
      <c r="P940" t="str">
        <f>TRIM(Before_Tbl[[#This Row],[Employee_ID]])</f>
        <v>EMP1938</v>
      </c>
      <c r="Q940" t="str">
        <f>TRIM(PROPER(Before_Tbl[[#This Row],[First_Name]]))</f>
        <v>Grace</v>
      </c>
      <c r="R940" t="str">
        <f>TRIM(PROPER(Before_Tbl[[#This Row],[Last_Name]]))</f>
        <v>Miller</v>
      </c>
      <c r="S940" s="25">
        <f t="shared" si="14"/>
        <v>30</v>
      </c>
      <c r="T940" t="str">
        <f>LEFT(Before_Tbl[[#This Row],[Department_Region]],FIND("-",Before_Tbl[[#This Row],[Department_Region]])-1)</f>
        <v>Finance</v>
      </c>
      <c r="U940" t="str">
        <f>RIGHT(Before_Tbl[[#This Row],[Department_Region]],LEN(Before_Tbl[[#This Row],[Department_Region]])-FIND("-",Before_Tbl[[#This Row],[Department_Region]]))</f>
        <v>Nevada</v>
      </c>
      <c r="V940" t="str">
        <f>TRIM(PROPER(Before_Tbl[[#This Row],[Status]]))</f>
        <v>Pending</v>
      </c>
      <c r="W940" s="26">
        <v>44332</v>
      </c>
      <c r="X940" s="4">
        <v>51990.98</v>
      </c>
      <c r="Y940" t="str">
        <f>TRIM(LOWER(Before_Tbl[[#This Row],[Email]]))</f>
        <v>grace.miller@example.com</v>
      </c>
      <c r="Z940" s="2" t="str">
        <f>SUBSTITUTE(Before_Tbl[[#This Row],[Phone]],"-","")</f>
        <v>5143776935</v>
      </c>
      <c r="AA940" t="str">
        <f>TRIM(PROPER(Before_Tbl[[#This Row],[Performance_Score]]))</f>
        <v>Excellent</v>
      </c>
      <c r="AB940" s="2" t="str">
        <f>TRIM(UPPER(Before_Tbl[[#This Row],[Remote_Work]]))</f>
        <v>TRUE</v>
      </c>
    </row>
    <row r="941" spans="1:28" x14ac:dyDescent="0.35">
      <c r="A941" t="s">
        <v>1524</v>
      </c>
      <c r="B941" t="s">
        <v>65</v>
      </c>
      <c r="C941" t="s">
        <v>55</v>
      </c>
      <c r="D941">
        <v>25</v>
      </c>
      <c r="E941" t="s">
        <v>219</v>
      </c>
      <c r="F941" t="s">
        <v>33</v>
      </c>
      <c r="G941" s="1">
        <v>45050</v>
      </c>
      <c r="H941">
        <v>83634.009999999995</v>
      </c>
      <c r="I941" t="s">
        <v>113</v>
      </c>
      <c r="J941">
        <v>-6343925294</v>
      </c>
      <c r="K941" t="s">
        <v>18</v>
      </c>
      <c r="L941" t="b">
        <v>1</v>
      </c>
      <c r="P941" t="str">
        <f>TRIM(Before_Tbl[[#This Row],[Employee_ID]])</f>
        <v>EMP1939</v>
      </c>
      <c r="Q941" t="str">
        <f>TRIM(PROPER(Before_Tbl[[#This Row],[First_Name]]))</f>
        <v>Heidi</v>
      </c>
      <c r="R941" t="str">
        <f>TRIM(PROPER(Before_Tbl[[#This Row],[Last_Name]]))</f>
        <v>Johnson</v>
      </c>
      <c r="S941" s="25">
        <f t="shared" si="14"/>
        <v>25</v>
      </c>
      <c r="T941" t="str">
        <f>LEFT(Before_Tbl[[#This Row],[Department_Region]],FIND("-",Before_Tbl[[#This Row],[Department_Region]])-1)</f>
        <v>Sales</v>
      </c>
      <c r="U941" t="str">
        <f>RIGHT(Before_Tbl[[#This Row],[Department_Region]],LEN(Before_Tbl[[#This Row],[Department_Region]])-FIND("-",Before_Tbl[[#This Row],[Department_Region]]))</f>
        <v>Nevada</v>
      </c>
      <c r="V941" t="str">
        <f>TRIM(PROPER(Before_Tbl[[#This Row],[Status]]))</f>
        <v>Inactive</v>
      </c>
      <c r="W941" s="26">
        <v>45050</v>
      </c>
      <c r="X941" s="4">
        <v>83634.009999999995</v>
      </c>
      <c r="Y941" t="str">
        <f>TRIM(LOWER(Before_Tbl[[#This Row],[Email]]))</f>
        <v>heidi.johnson@example.com</v>
      </c>
      <c r="Z941" s="2" t="str">
        <f>SUBSTITUTE(Before_Tbl[[#This Row],[Phone]],"-","")</f>
        <v>6343925294</v>
      </c>
      <c r="AA941" t="str">
        <f>TRIM(PROPER(Before_Tbl[[#This Row],[Performance_Score]]))</f>
        <v>Average</v>
      </c>
      <c r="AB941" s="2" t="str">
        <f>TRIM(UPPER(Before_Tbl[[#This Row],[Remote_Work]]))</f>
        <v>TRUE</v>
      </c>
    </row>
    <row r="942" spans="1:28" x14ac:dyDescent="0.35">
      <c r="A942" t="s">
        <v>1525</v>
      </c>
      <c r="B942" t="s">
        <v>32</v>
      </c>
      <c r="C942" t="s">
        <v>20</v>
      </c>
      <c r="D942">
        <v>40</v>
      </c>
      <c r="E942" t="s">
        <v>237</v>
      </c>
      <c r="F942" t="s">
        <v>33</v>
      </c>
      <c r="G942" t="s">
        <v>1526</v>
      </c>
      <c r="H942" t="s">
        <v>277</v>
      </c>
      <c r="I942" t="s">
        <v>155</v>
      </c>
      <c r="J942">
        <v>-9611110285</v>
      </c>
      <c r="K942" t="s">
        <v>30</v>
      </c>
      <c r="L942" t="b">
        <v>1</v>
      </c>
      <c r="P942" t="str">
        <f>TRIM(Before_Tbl[[#This Row],[Employee_ID]])</f>
        <v>EMP1940</v>
      </c>
      <c r="Q942" t="str">
        <f>TRIM(PROPER(Before_Tbl[[#This Row],[First_Name]]))</f>
        <v>Eva</v>
      </c>
      <c r="R942" t="str">
        <f>TRIM(PROPER(Before_Tbl[[#This Row],[Last_Name]]))</f>
        <v>Brown</v>
      </c>
      <c r="S942" s="25">
        <f t="shared" si="14"/>
        <v>40</v>
      </c>
      <c r="T942" t="str">
        <f>LEFT(Before_Tbl[[#This Row],[Department_Region]],FIND("-",Before_Tbl[[#This Row],[Department_Region]])-1)</f>
        <v>DevOps</v>
      </c>
      <c r="U942" t="str">
        <f>RIGHT(Before_Tbl[[#This Row],[Department_Region]],LEN(Before_Tbl[[#This Row],[Department_Region]])-FIND("-",Before_Tbl[[#This Row],[Department_Region]]))</f>
        <v>Texas</v>
      </c>
      <c r="V942" t="str">
        <f>TRIM(PROPER(Before_Tbl[[#This Row],[Status]]))</f>
        <v>Inactive</v>
      </c>
      <c r="W942" s="26">
        <v>44880</v>
      </c>
      <c r="X942" s="4"/>
      <c r="Y942" t="str">
        <f>TRIM(LOWER(Before_Tbl[[#This Row],[Email]]))</f>
        <v>eva.brown@example.com</v>
      </c>
      <c r="Z942" s="2" t="str">
        <f>SUBSTITUTE(Before_Tbl[[#This Row],[Phone]],"-","")</f>
        <v>9611110285</v>
      </c>
      <c r="AA942" t="str">
        <f>TRIM(PROPER(Before_Tbl[[#This Row],[Performance_Score]]))</f>
        <v>Good</v>
      </c>
      <c r="AB942" s="2" t="str">
        <f>TRIM(UPPER(Before_Tbl[[#This Row],[Remote_Work]]))</f>
        <v>TRUE</v>
      </c>
    </row>
    <row r="943" spans="1:28" x14ac:dyDescent="0.35">
      <c r="A943" t="s">
        <v>1527</v>
      </c>
      <c r="B943" t="s">
        <v>32</v>
      </c>
      <c r="C943" t="s">
        <v>26</v>
      </c>
      <c r="D943">
        <v>30</v>
      </c>
      <c r="E943" t="s">
        <v>44</v>
      </c>
      <c r="F943" t="s">
        <v>16</v>
      </c>
      <c r="G943" t="s">
        <v>905</v>
      </c>
      <c r="H943">
        <v>82273.08</v>
      </c>
      <c r="I943" t="s">
        <v>278</v>
      </c>
      <c r="J943">
        <v>-7120072023</v>
      </c>
      <c r="K943" t="s">
        <v>23</v>
      </c>
      <c r="L943" t="b">
        <v>0</v>
      </c>
      <c r="P943" t="str">
        <f>TRIM(Before_Tbl[[#This Row],[Employee_ID]])</f>
        <v>EMP1941</v>
      </c>
      <c r="Q943" t="str">
        <f>TRIM(PROPER(Before_Tbl[[#This Row],[First_Name]]))</f>
        <v>Eva</v>
      </c>
      <c r="R943" t="str">
        <f>TRIM(PROPER(Before_Tbl[[#This Row],[Last_Name]]))</f>
        <v>Jones</v>
      </c>
      <c r="S943" s="25">
        <f t="shared" si="14"/>
        <v>30</v>
      </c>
      <c r="T943" t="str">
        <f>LEFT(Before_Tbl[[#This Row],[Department_Region]],FIND("-",Before_Tbl[[#This Row],[Department_Region]])-1)</f>
        <v>Sales</v>
      </c>
      <c r="U943" t="str">
        <f>RIGHT(Before_Tbl[[#This Row],[Department_Region]],LEN(Before_Tbl[[#This Row],[Department_Region]])-FIND("-",Before_Tbl[[#This Row],[Department_Region]]))</f>
        <v>Texas</v>
      </c>
      <c r="V943" t="str">
        <f>TRIM(PROPER(Before_Tbl[[#This Row],[Status]]))</f>
        <v>Active</v>
      </c>
      <c r="W943" s="26">
        <v>44485</v>
      </c>
      <c r="X943" s="4">
        <v>82273.08</v>
      </c>
      <c r="Y943" t="str">
        <f>TRIM(LOWER(Before_Tbl[[#This Row],[Email]]))</f>
        <v>eva.jones@example.com</v>
      </c>
      <c r="Z943" s="2" t="str">
        <f>SUBSTITUTE(Before_Tbl[[#This Row],[Phone]],"-","")</f>
        <v>7120072023</v>
      </c>
      <c r="AA943" t="str">
        <f>TRIM(PROPER(Before_Tbl[[#This Row],[Performance_Score]]))</f>
        <v>Excellent</v>
      </c>
      <c r="AB943" s="2" t="str">
        <f>TRIM(UPPER(Before_Tbl[[#This Row],[Remote_Work]]))</f>
        <v>FALSE</v>
      </c>
    </row>
    <row r="944" spans="1:28" x14ac:dyDescent="0.35">
      <c r="A944" t="s">
        <v>1528</v>
      </c>
      <c r="B944" t="s">
        <v>37</v>
      </c>
      <c r="C944" t="s">
        <v>43</v>
      </c>
      <c r="D944">
        <v>30</v>
      </c>
      <c r="E944" t="s">
        <v>268</v>
      </c>
      <c r="F944" t="s">
        <v>33</v>
      </c>
      <c r="G944" s="1">
        <v>44809</v>
      </c>
      <c r="H944">
        <v>94537.3</v>
      </c>
      <c r="I944" t="s">
        <v>180</v>
      </c>
      <c r="J944">
        <v>-5591024509</v>
      </c>
      <c r="K944" t="s">
        <v>30</v>
      </c>
      <c r="L944" t="b">
        <v>1</v>
      </c>
      <c r="P944" t="str">
        <f>TRIM(Before_Tbl[[#This Row],[Employee_ID]])</f>
        <v>EMP1942</v>
      </c>
      <c r="Q944" t="str">
        <f>TRIM(PROPER(Before_Tbl[[#This Row],[First_Name]]))</f>
        <v>Frank</v>
      </c>
      <c r="R944" t="str">
        <f>TRIM(PROPER(Before_Tbl[[#This Row],[Last_Name]]))</f>
        <v>Garcia</v>
      </c>
      <c r="S944" s="25">
        <f t="shared" si="14"/>
        <v>30</v>
      </c>
      <c r="T944" t="str">
        <f>LEFT(Before_Tbl[[#This Row],[Department_Region]],FIND("-",Before_Tbl[[#This Row],[Department_Region]])-1)</f>
        <v>Cloud Tech</v>
      </c>
      <c r="U944" t="str">
        <f>RIGHT(Before_Tbl[[#This Row],[Department_Region]],LEN(Before_Tbl[[#This Row],[Department_Region]])-FIND("-",Before_Tbl[[#This Row],[Department_Region]]))</f>
        <v>California</v>
      </c>
      <c r="V944" t="str">
        <f>TRIM(PROPER(Before_Tbl[[#This Row],[Status]]))</f>
        <v>Inactive</v>
      </c>
      <c r="W944" s="26">
        <v>44809</v>
      </c>
      <c r="X944" s="4">
        <v>94537.3</v>
      </c>
      <c r="Y944" t="str">
        <f>TRIM(LOWER(Before_Tbl[[#This Row],[Email]]))</f>
        <v>frank.garcia@example.com</v>
      </c>
      <c r="Z944" s="2" t="str">
        <f>SUBSTITUTE(Before_Tbl[[#This Row],[Phone]],"-","")</f>
        <v>5591024509</v>
      </c>
      <c r="AA944" t="str">
        <f>TRIM(PROPER(Before_Tbl[[#This Row],[Performance_Score]]))</f>
        <v>Good</v>
      </c>
      <c r="AB944" s="2" t="str">
        <f>TRIM(UPPER(Before_Tbl[[#This Row],[Remote_Work]]))</f>
        <v>TRUE</v>
      </c>
    </row>
    <row r="945" spans="1:28" x14ac:dyDescent="0.35">
      <c r="A945" t="s">
        <v>1529</v>
      </c>
      <c r="B945" t="s">
        <v>25</v>
      </c>
      <c r="C945" t="s">
        <v>26</v>
      </c>
      <c r="D945">
        <v>35</v>
      </c>
      <c r="E945" t="s">
        <v>192</v>
      </c>
      <c r="F945" t="s">
        <v>28</v>
      </c>
      <c r="G945" s="1">
        <v>43988</v>
      </c>
      <c r="H945">
        <v>85970.65</v>
      </c>
      <c r="I945" t="s">
        <v>29</v>
      </c>
      <c r="J945">
        <v>-9109032670</v>
      </c>
      <c r="K945" t="s">
        <v>30</v>
      </c>
      <c r="L945" t="b">
        <v>1</v>
      </c>
      <c r="P945" t="str">
        <f>TRIM(Before_Tbl[[#This Row],[Employee_ID]])</f>
        <v>EMP1943</v>
      </c>
      <c r="Q945" t="str">
        <f>TRIM(PROPER(Before_Tbl[[#This Row],[First_Name]]))</f>
        <v>Alice</v>
      </c>
      <c r="R945" t="str">
        <f>TRIM(PROPER(Before_Tbl[[#This Row],[Last_Name]]))</f>
        <v>Jones</v>
      </c>
      <c r="S945" s="25">
        <f t="shared" si="14"/>
        <v>35</v>
      </c>
      <c r="T945" t="str">
        <f>LEFT(Before_Tbl[[#This Row],[Department_Region]],FIND("-",Before_Tbl[[#This Row],[Department_Region]])-1)</f>
        <v>HR</v>
      </c>
      <c r="U945" t="str">
        <f>RIGHT(Before_Tbl[[#This Row],[Department_Region]],LEN(Before_Tbl[[#This Row],[Department_Region]])-FIND("-",Before_Tbl[[#This Row],[Department_Region]]))</f>
        <v>Illinois</v>
      </c>
      <c r="V945" t="str">
        <f>TRIM(PROPER(Before_Tbl[[#This Row],[Status]]))</f>
        <v>Pending</v>
      </c>
      <c r="W945" s="26">
        <v>43988</v>
      </c>
      <c r="X945" s="4">
        <v>85970.65</v>
      </c>
      <c r="Y945" t="str">
        <f>TRIM(LOWER(Before_Tbl[[#This Row],[Email]]))</f>
        <v>alice.jones@example.com</v>
      </c>
      <c r="Z945" s="2" t="str">
        <f>SUBSTITUTE(Before_Tbl[[#This Row],[Phone]],"-","")</f>
        <v>9109032670</v>
      </c>
      <c r="AA945" t="str">
        <f>TRIM(PROPER(Before_Tbl[[#This Row],[Performance_Score]]))</f>
        <v>Good</v>
      </c>
      <c r="AB945" s="2" t="str">
        <f>TRIM(UPPER(Before_Tbl[[#This Row],[Remote_Work]]))</f>
        <v>TRUE</v>
      </c>
    </row>
    <row r="946" spans="1:28" x14ac:dyDescent="0.35">
      <c r="A946" t="s">
        <v>1530</v>
      </c>
      <c r="B946" t="s">
        <v>54</v>
      </c>
      <c r="C946" t="s">
        <v>26</v>
      </c>
      <c r="D946">
        <v>25</v>
      </c>
      <c r="E946" t="s">
        <v>109</v>
      </c>
      <c r="F946" t="s">
        <v>28</v>
      </c>
      <c r="G946" t="s">
        <v>1531</v>
      </c>
      <c r="H946">
        <v>111071.02</v>
      </c>
      <c r="I946" t="s">
        <v>120</v>
      </c>
      <c r="J946">
        <v>-4949819420</v>
      </c>
      <c r="K946" t="s">
        <v>23</v>
      </c>
      <c r="L946" t="b">
        <v>0</v>
      </c>
      <c r="P946" t="str">
        <f>TRIM(Before_Tbl[[#This Row],[Employee_ID]])</f>
        <v>EMP1944</v>
      </c>
      <c r="Q946" t="str">
        <f>TRIM(PROPER(Before_Tbl[[#This Row],[First_Name]]))</f>
        <v>Charlie</v>
      </c>
      <c r="R946" t="str">
        <f>TRIM(PROPER(Before_Tbl[[#This Row],[Last_Name]]))</f>
        <v>Jones</v>
      </c>
      <c r="S946" s="25">
        <f t="shared" si="14"/>
        <v>25</v>
      </c>
      <c r="T946" t="str">
        <f>LEFT(Before_Tbl[[#This Row],[Department_Region]],FIND("-",Before_Tbl[[#This Row],[Department_Region]])-1)</f>
        <v>Sales</v>
      </c>
      <c r="U946" t="str">
        <f>RIGHT(Before_Tbl[[#This Row],[Department_Region]],LEN(Before_Tbl[[#This Row],[Department_Region]])-FIND("-",Before_Tbl[[#This Row],[Department_Region]]))</f>
        <v>New York</v>
      </c>
      <c r="V946" t="str">
        <f>TRIM(PROPER(Before_Tbl[[#This Row],[Status]]))</f>
        <v>Pending</v>
      </c>
      <c r="W946" s="26">
        <v>44491</v>
      </c>
      <c r="X946" s="4">
        <v>111071.02</v>
      </c>
      <c r="Y946" t="str">
        <f>TRIM(LOWER(Before_Tbl[[#This Row],[Email]]))</f>
        <v>charlie.jones@example.com</v>
      </c>
      <c r="Z946" s="2" t="str">
        <f>SUBSTITUTE(Before_Tbl[[#This Row],[Phone]],"-","")</f>
        <v>4949819420</v>
      </c>
      <c r="AA946" t="str">
        <f>TRIM(PROPER(Before_Tbl[[#This Row],[Performance_Score]]))</f>
        <v>Excellent</v>
      </c>
      <c r="AB946" s="2" t="str">
        <f>TRIM(UPPER(Before_Tbl[[#This Row],[Remote_Work]]))</f>
        <v>FALSE</v>
      </c>
    </row>
    <row r="947" spans="1:28" x14ac:dyDescent="0.35">
      <c r="A947" t="s">
        <v>1532</v>
      </c>
      <c r="B947" t="s">
        <v>32</v>
      </c>
      <c r="C947" t="s">
        <v>14</v>
      </c>
      <c r="D947">
        <v>35</v>
      </c>
      <c r="E947" t="s">
        <v>329</v>
      </c>
      <c r="F947" t="s">
        <v>28</v>
      </c>
      <c r="G947" s="1">
        <v>44896</v>
      </c>
      <c r="H947">
        <v>56708.34</v>
      </c>
      <c r="I947" t="s">
        <v>35</v>
      </c>
      <c r="J947">
        <v>-7942817933</v>
      </c>
      <c r="K947" t="s">
        <v>23</v>
      </c>
      <c r="L947" t="b">
        <v>0</v>
      </c>
      <c r="P947" t="str">
        <f>TRIM(Before_Tbl[[#This Row],[Employee_ID]])</f>
        <v>EMP1945</v>
      </c>
      <c r="Q947" t="str">
        <f>TRIM(PROPER(Before_Tbl[[#This Row],[First_Name]]))</f>
        <v>Eva</v>
      </c>
      <c r="R947" t="str">
        <f>TRIM(PROPER(Before_Tbl[[#This Row],[Last_Name]]))</f>
        <v>Davis</v>
      </c>
      <c r="S947" s="25">
        <f t="shared" si="14"/>
        <v>35</v>
      </c>
      <c r="T947" t="str">
        <f>LEFT(Before_Tbl[[#This Row],[Department_Region]],FIND("-",Before_Tbl[[#This Row],[Department_Region]])-1)</f>
        <v>DevOps</v>
      </c>
      <c r="U947" t="str">
        <f>RIGHT(Before_Tbl[[#This Row],[Department_Region]],LEN(Before_Tbl[[#This Row],[Department_Region]])-FIND("-",Before_Tbl[[#This Row],[Department_Region]]))</f>
        <v>Nevada</v>
      </c>
      <c r="V947" t="str">
        <f>TRIM(PROPER(Before_Tbl[[#This Row],[Status]]))</f>
        <v>Pending</v>
      </c>
      <c r="W947" s="26">
        <v>44896</v>
      </c>
      <c r="X947" s="4">
        <v>56708.34</v>
      </c>
      <c r="Y947" t="str">
        <f>TRIM(LOWER(Before_Tbl[[#This Row],[Email]]))</f>
        <v>eva.davis@example.com</v>
      </c>
      <c r="Z947" s="2" t="str">
        <f>SUBSTITUTE(Before_Tbl[[#This Row],[Phone]],"-","")</f>
        <v>7942817933</v>
      </c>
      <c r="AA947" t="str">
        <f>TRIM(PROPER(Before_Tbl[[#This Row],[Performance_Score]]))</f>
        <v>Excellent</v>
      </c>
      <c r="AB947" s="2" t="str">
        <f>TRIM(UPPER(Before_Tbl[[#This Row],[Remote_Work]]))</f>
        <v>FALSE</v>
      </c>
    </row>
    <row r="948" spans="1:28" x14ac:dyDescent="0.35">
      <c r="A948" t="s">
        <v>1533</v>
      </c>
      <c r="B948" t="s">
        <v>54</v>
      </c>
      <c r="C948" t="s">
        <v>26</v>
      </c>
      <c r="D948">
        <v>25</v>
      </c>
      <c r="E948" t="s">
        <v>89</v>
      </c>
      <c r="F948" t="s">
        <v>33</v>
      </c>
      <c r="G948" s="1">
        <v>44594</v>
      </c>
      <c r="H948">
        <v>104516.55</v>
      </c>
      <c r="I948" t="s">
        <v>120</v>
      </c>
      <c r="J948">
        <v>-652775843</v>
      </c>
      <c r="K948" t="s">
        <v>23</v>
      </c>
      <c r="L948" t="b">
        <v>0</v>
      </c>
      <c r="P948" t="str">
        <f>TRIM(Before_Tbl[[#This Row],[Employee_ID]])</f>
        <v>EMP1946</v>
      </c>
      <c r="Q948" t="str">
        <f>TRIM(PROPER(Before_Tbl[[#This Row],[First_Name]]))</f>
        <v>Charlie</v>
      </c>
      <c r="R948" t="str">
        <f>TRIM(PROPER(Before_Tbl[[#This Row],[Last_Name]]))</f>
        <v>Jones</v>
      </c>
      <c r="S948" s="25">
        <f t="shared" si="14"/>
        <v>25</v>
      </c>
      <c r="T948" t="str">
        <f>LEFT(Before_Tbl[[#This Row],[Department_Region]],FIND("-",Before_Tbl[[#This Row],[Department_Region]])-1)</f>
        <v>Admin</v>
      </c>
      <c r="U948" t="str">
        <f>RIGHT(Before_Tbl[[#This Row],[Department_Region]],LEN(Before_Tbl[[#This Row],[Department_Region]])-FIND("-",Before_Tbl[[#This Row],[Department_Region]]))</f>
        <v>Illinois</v>
      </c>
      <c r="V948" t="str">
        <f>TRIM(PROPER(Before_Tbl[[#This Row],[Status]]))</f>
        <v>Inactive</v>
      </c>
      <c r="W948" s="26">
        <v>44594</v>
      </c>
      <c r="X948" s="4">
        <v>104516.55</v>
      </c>
      <c r="Y948" t="str">
        <f>TRIM(LOWER(Before_Tbl[[#This Row],[Email]]))</f>
        <v>charlie.jones@example.com</v>
      </c>
      <c r="Z948" s="2" t="str">
        <f>SUBSTITUTE(Before_Tbl[[#This Row],[Phone]],"-","")</f>
        <v>652775843</v>
      </c>
      <c r="AA948" t="str">
        <f>TRIM(PROPER(Before_Tbl[[#This Row],[Performance_Score]]))</f>
        <v>Excellent</v>
      </c>
      <c r="AB948" s="2" t="str">
        <f>TRIM(UPPER(Before_Tbl[[#This Row],[Remote_Work]]))</f>
        <v>FALSE</v>
      </c>
    </row>
    <row r="949" spans="1:28" x14ac:dyDescent="0.35">
      <c r="A949" t="s">
        <v>1534</v>
      </c>
      <c r="B949" t="s">
        <v>54</v>
      </c>
      <c r="C949" t="s">
        <v>43</v>
      </c>
      <c r="D949">
        <v>25</v>
      </c>
      <c r="E949" t="s">
        <v>196</v>
      </c>
      <c r="F949" t="s">
        <v>28</v>
      </c>
      <c r="G949" t="s">
        <v>842</v>
      </c>
      <c r="H949">
        <v>108210.15</v>
      </c>
      <c r="I949" t="s">
        <v>87</v>
      </c>
      <c r="J949">
        <v>-6634533721</v>
      </c>
      <c r="K949" t="s">
        <v>41</v>
      </c>
      <c r="L949" t="b">
        <v>1</v>
      </c>
      <c r="P949" t="str">
        <f>TRIM(Before_Tbl[[#This Row],[Employee_ID]])</f>
        <v>EMP1947</v>
      </c>
      <c r="Q949" t="str">
        <f>TRIM(PROPER(Before_Tbl[[#This Row],[First_Name]]))</f>
        <v>Charlie</v>
      </c>
      <c r="R949" t="str">
        <f>TRIM(PROPER(Before_Tbl[[#This Row],[Last_Name]]))</f>
        <v>Garcia</v>
      </c>
      <c r="S949" s="25">
        <f t="shared" si="14"/>
        <v>25</v>
      </c>
      <c r="T949" t="str">
        <f>LEFT(Before_Tbl[[#This Row],[Department_Region]],FIND("-",Before_Tbl[[#This Row],[Department_Region]])-1)</f>
        <v>Admin</v>
      </c>
      <c r="U949" t="str">
        <f>RIGHT(Before_Tbl[[#This Row],[Department_Region]],LEN(Before_Tbl[[#This Row],[Department_Region]])-FIND("-",Before_Tbl[[#This Row],[Department_Region]]))</f>
        <v>New York</v>
      </c>
      <c r="V949" t="str">
        <f>TRIM(PROPER(Before_Tbl[[#This Row],[Status]]))</f>
        <v>Pending</v>
      </c>
      <c r="W949" s="26">
        <v>44283</v>
      </c>
      <c r="X949" s="4">
        <v>108210.15</v>
      </c>
      <c r="Y949" t="str">
        <f>TRIM(LOWER(Before_Tbl[[#This Row],[Email]]))</f>
        <v>charlie.garcia@example.com</v>
      </c>
      <c r="Z949" s="2" t="str">
        <f>SUBSTITUTE(Before_Tbl[[#This Row],[Phone]],"-","")</f>
        <v>6634533721</v>
      </c>
      <c r="AA949" t="str">
        <f>TRIM(PROPER(Before_Tbl[[#This Row],[Performance_Score]]))</f>
        <v>Poor</v>
      </c>
      <c r="AB949" s="2" t="str">
        <f>TRIM(UPPER(Before_Tbl[[#This Row],[Remote_Work]]))</f>
        <v>TRUE</v>
      </c>
    </row>
    <row r="950" spans="1:28" x14ac:dyDescent="0.35">
      <c r="A950" t="s">
        <v>1535</v>
      </c>
      <c r="B950" t="s">
        <v>13</v>
      </c>
      <c r="C950" t="s">
        <v>92</v>
      </c>
      <c r="D950">
        <v>40</v>
      </c>
      <c r="E950" t="s">
        <v>21</v>
      </c>
      <c r="F950" t="s">
        <v>16</v>
      </c>
      <c r="G950" s="1">
        <v>45359</v>
      </c>
      <c r="H950" t="s">
        <v>277</v>
      </c>
      <c r="I950" t="s">
        <v>93</v>
      </c>
      <c r="J950">
        <v>-109121721</v>
      </c>
      <c r="K950" t="s">
        <v>23</v>
      </c>
      <c r="L950" t="b">
        <v>1</v>
      </c>
      <c r="P950" t="str">
        <f>TRIM(Before_Tbl[[#This Row],[Employee_ID]])</f>
        <v>EMP1948</v>
      </c>
      <c r="Q950" t="str">
        <f>TRIM(PROPER(Before_Tbl[[#This Row],[First_Name]]))</f>
        <v>Bob</v>
      </c>
      <c r="R950" t="str">
        <f>TRIM(PROPER(Before_Tbl[[#This Row],[Last_Name]]))</f>
        <v>Miller</v>
      </c>
      <c r="S950" s="25">
        <f t="shared" si="14"/>
        <v>40</v>
      </c>
      <c r="T950" t="str">
        <f>LEFT(Before_Tbl[[#This Row],[Department_Region]],FIND("-",Before_Tbl[[#This Row],[Department_Region]])-1)</f>
        <v>Finance</v>
      </c>
      <c r="U950" t="str">
        <f>RIGHT(Before_Tbl[[#This Row],[Department_Region]],LEN(Before_Tbl[[#This Row],[Department_Region]])-FIND("-",Before_Tbl[[#This Row],[Department_Region]]))</f>
        <v>Texas</v>
      </c>
      <c r="V950" t="str">
        <f>TRIM(PROPER(Before_Tbl[[#This Row],[Status]]))</f>
        <v>Active</v>
      </c>
      <c r="W950" s="26">
        <v>45359</v>
      </c>
      <c r="X950" s="4"/>
      <c r="Y950" t="str">
        <f>TRIM(LOWER(Before_Tbl[[#This Row],[Email]]))</f>
        <v>bob.miller@example.com</v>
      </c>
      <c r="Z950" s="2" t="str">
        <f>SUBSTITUTE(Before_Tbl[[#This Row],[Phone]],"-","")</f>
        <v>109121721</v>
      </c>
      <c r="AA950" t="str">
        <f>TRIM(PROPER(Before_Tbl[[#This Row],[Performance_Score]]))</f>
        <v>Excellent</v>
      </c>
      <c r="AB950" s="2" t="str">
        <f>TRIM(UPPER(Before_Tbl[[#This Row],[Remote_Work]]))</f>
        <v>TRUE</v>
      </c>
    </row>
    <row r="951" spans="1:28" x14ac:dyDescent="0.35">
      <c r="A951" t="s">
        <v>1536</v>
      </c>
      <c r="B951" t="s">
        <v>37</v>
      </c>
      <c r="C951" t="s">
        <v>26</v>
      </c>
      <c r="D951">
        <v>35</v>
      </c>
      <c r="E951" t="s">
        <v>15</v>
      </c>
      <c r="F951" t="s">
        <v>16</v>
      </c>
      <c r="G951" t="s">
        <v>965</v>
      </c>
      <c r="H951">
        <v>80935.649999999994</v>
      </c>
      <c r="I951" t="s">
        <v>47</v>
      </c>
      <c r="J951">
        <v>-1455937660</v>
      </c>
      <c r="K951" t="s">
        <v>23</v>
      </c>
      <c r="L951" t="b">
        <v>0</v>
      </c>
      <c r="P951" t="str">
        <f>TRIM(Before_Tbl[[#This Row],[Employee_ID]])</f>
        <v>EMP1949</v>
      </c>
      <c r="Q951" t="str">
        <f>TRIM(PROPER(Before_Tbl[[#This Row],[First_Name]]))</f>
        <v>Frank</v>
      </c>
      <c r="R951" t="str">
        <f>TRIM(PROPER(Before_Tbl[[#This Row],[Last_Name]]))</f>
        <v>Jones</v>
      </c>
      <c r="S951" s="25">
        <f t="shared" si="14"/>
        <v>35</v>
      </c>
      <c r="T951" t="str">
        <f>LEFT(Before_Tbl[[#This Row],[Department_Region]],FIND("-",Before_Tbl[[#This Row],[Department_Region]])-1)</f>
        <v>DevOps</v>
      </c>
      <c r="U951" t="str">
        <f>RIGHT(Before_Tbl[[#This Row],[Department_Region]],LEN(Before_Tbl[[#This Row],[Department_Region]])-FIND("-",Before_Tbl[[#This Row],[Department_Region]]))</f>
        <v>California</v>
      </c>
      <c r="V951" t="str">
        <f>TRIM(PROPER(Before_Tbl[[#This Row],[Status]]))</f>
        <v>Active</v>
      </c>
      <c r="W951" s="26">
        <v>45504</v>
      </c>
      <c r="X951" s="4">
        <v>80935.649999999994</v>
      </c>
      <c r="Y951" t="str">
        <f>TRIM(LOWER(Before_Tbl[[#This Row],[Email]]))</f>
        <v>frank.jones@example.com</v>
      </c>
      <c r="Z951" s="2" t="str">
        <f>SUBSTITUTE(Before_Tbl[[#This Row],[Phone]],"-","")</f>
        <v>1455937660</v>
      </c>
      <c r="AA951" t="str">
        <f>TRIM(PROPER(Before_Tbl[[#This Row],[Performance_Score]]))</f>
        <v>Excellent</v>
      </c>
      <c r="AB951" s="2" t="str">
        <f>TRIM(UPPER(Before_Tbl[[#This Row],[Remote_Work]]))</f>
        <v>FALSE</v>
      </c>
    </row>
    <row r="952" spans="1:28" x14ac:dyDescent="0.35">
      <c r="A952" t="s">
        <v>1537</v>
      </c>
      <c r="B952" t="s">
        <v>37</v>
      </c>
      <c r="C952" t="s">
        <v>38</v>
      </c>
      <c r="D952">
        <v>30</v>
      </c>
      <c r="E952" t="s">
        <v>15</v>
      </c>
      <c r="F952" t="s">
        <v>16</v>
      </c>
      <c r="G952" s="1">
        <v>45385</v>
      </c>
      <c r="H952">
        <v>107020.19</v>
      </c>
      <c r="I952" t="s">
        <v>40</v>
      </c>
      <c r="J952">
        <v>-8943705262</v>
      </c>
      <c r="K952" t="s">
        <v>23</v>
      </c>
      <c r="L952" t="b">
        <v>0</v>
      </c>
      <c r="P952" t="str">
        <f>TRIM(Before_Tbl[[#This Row],[Employee_ID]])</f>
        <v>EMP1950</v>
      </c>
      <c r="Q952" t="str">
        <f>TRIM(PROPER(Before_Tbl[[#This Row],[First_Name]]))</f>
        <v>Frank</v>
      </c>
      <c r="R952" t="str">
        <f>TRIM(PROPER(Before_Tbl[[#This Row],[Last_Name]]))</f>
        <v>Williams</v>
      </c>
      <c r="S952" s="25">
        <f t="shared" si="14"/>
        <v>30</v>
      </c>
      <c r="T952" t="str">
        <f>LEFT(Before_Tbl[[#This Row],[Department_Region]],FIND("-",Before_Tbl[[#This Row],[Department_Region]])-1)</f>
        <v>DevOps</v>
      </c>
      <c r="U952" t="str">
        <f>RIGHT(Before_Tbl[[#This Row],[Department_Region]],LEN(Before_Tbl[[#This Row],[Department_Region]])-FIND("-",Before_Tbl[[#This Row],[Department_Region]]))</f>
        <v>California</v>
      </c>
      <c r="V952" t="str">
        <f>TRIM(PROPER(Before_Tbl[[#This Row],[Status]]))</f>
        <v>Active</v>
      </c>
      <c r="W952" s="26">
        <v>45385</v>
      </c>
      <c r="X952" s="4">
        <v>107020.19</v>
      </c>
      <c r="Y952" t="str">
        <f>TRIM(LOWER(Before_Tbl[[#This Row],[Email]]))</f>
        <v>frank.williams@example.com</v>
      </c>
      <c r="Z952" s="2" t="str">
        <f>SUBSTITUTE(Before_Tbl[[#This Row],[Phone]],"-","")</f>
        <v>8943705262</v>
      </c>
      <c r="AA952" t="str">
        <f>TRIM(PROPER(Before_Tbl[[#This Row],[Performance_Score]]))</f>
        <v>Excellent</v>
      </c>
      <c r="AB952" s="2" t="str">
        <f>TRIM(UPPER(Before_Tbl[[#This Row],[Remote_Work]]))</f>
        <v>FALSE</v>
      </c>
    </row>
    <row r="953" spans="1:28" x14ac:dyDescent="0.35">
      <c r="A953" t="s">
        <v>1538</v>
      </c>
      <c r="B953" t="s">
        <v>54</v>
      </c>
      <c r="C953" t="s">
        <v>20</v>
      </c>
      <c r="D953">
        <v>30</v>
      </c>
      <c r="E953" t="s">
        <v>66</v>
      </c>
      <c r="F953" t="s">
        <v>16</v>
      </c>
      <c r="G953" t="s">
        <v>380</v>
      </c>
      <c r="H953">
        <v>118677.67</v>
      </c>
      <c r="I953" t="s">
        <v>125</v>
      </c>
      <c r="J953">
        <v>-5100462775</v>
      </c>
      <c r="K953" t="s">
        <v>23</v>
      </c>
      <c r="L953" t="b">
        <v>0</v>
      </c>
      <c r="P953" t="str">
        <f>TRIM(Before_Tbl[[#This Row],[Employee_ID]])</f>
        <v>EMP1951</v>
      </c>
      <c r="Q953" t="str">
        <f>TRIM(PROPER(Before_Tbl[[#This Row],[First_Name]]))</f>
        <v>Charlie</v>
      </c>
      <c r="R953" t="str">
        <f>TRIM(PROPER(Before_Tbl[[#This Row],[Last_Name]]))</f>
        <v>Brown</v>
      </c>
      <c r="S953" s="25">
        <f t="shared" si="14"/>
        <v>30</v>
      </c>
      <c r="T953" t="str">
        <f>LEFT(Before_Tbl[[#This Row],[Department_Region]],FIND("-",Before_Tbl[[#This Row],[Department_Region]])-1)</f>
        <v>HR</v>
      </c>
      <c r="U953" t="str">
        <f>RIGHT(Before_Tbl[[#This Row],[Department_Region]],LEN(Before_Tbl[[#This Row],[Department_Region]])-FIND("-",Before_Tbl[[#This Row],[Department_Region]]))</f>
        <v>New York</v>
      </c>
      <c r="V953" t="str">
        <f>TRIM(PROPER(Before_Tbl[[#This Row],[Status]]))</f>
        <v>Active</v>
      </c>
      <c r="W953" s="26">
        <v>44097</v>
      </c>
      <c r="X953" s="4">
        <v>118677.67</v>
      </c>
      <c r="Y953" t="str">
        <f>TRIM(LOWER(Before_Tbl[[#This Row],[Email]]))</f>
        <v>charlie.brown@example.com</v>
      </c>
      <c r="Z953" s="2" t="str">
        <f>SUBSTITUTE(Before_Tbl[[#This Row],[Phone]],"-","")</f>
        <v>5100462775</v>
      </c>
      <c r="AA953" t="str">
        <f>TRIM(PROPER(Before_Tbl[[#This Row],[Performance_Score]]))</f>
        <v>Excellent</v>
      </c>
      <c r="AB953" s="2" t="str">
        <f>TRIM(UPPER(Before_Tbl[[#This Row],[Remote_Work]]))</f>
        <v>FALSE</v>
      </c>
    </row>
    <row r="954" spans="1:28" x14ac:dyDescent="0.35">
      <c r="A954" t="s">
        <v>1539</v>
      </c>
      <c r="B954" t="s">
        <v>13</v>
      </c>
      <c r="C954" t="s">
        <v>26</v>
      </c>
      <c r="D954">
        <v>25</v>
      </c>
      <c r="E954" t="s">
        <v>39</v>
      </c>
      <c r="F954" t="s">
        <v>33</v>
      </c>
      <c r="G954" t="s">
        <v>810</v>
      </c>
      <c r="H954">
        <v>63744.57</v>
      </c>
      <c r="I954" t="s">
        <v>50</v>
      </c>
      <c r="J954">
        <v>-5725659201</v>
      </c>
      <c r="K954" t="s">
        <v>18</v>
      </c>
      <c r="L954" t="b">
        <v>0</v>
      </c>
      <c r="P954" t="str">
        <f>TRIM(Before_Tbl[[#This Row],[Employee_ID]])</f>
        <v>EMP1952</v>
      </c>
      <c r="Q954" t="str">
        <f>TRIM(PROPER(Before_Tbl[[#This Row],[First_Name]]))</f>
        <v>Bob</v>
      </c>
      <c r="R954" t="str">
        <f>TRIM(PROPER(Before_Tbl[[#This Row],[Last_Name]]))</f>
        <v>Jones</v>
      </c>
      <c r="S954" s="25">
        <f t="shared" si="14"/>
        <v>25</v>
      </c>
      <c r="T954" t="str">
        <f>LEFT(Before_Tbl[[#This Row],[Department_Region]],FIND("-",Before_Tbl[[#This Row],[Department_Region]])-1)</f>
        <v>Cloud Tech</v>
      </c>
      <c r="U954" t="str">
        <f>RIGHT(Before_Tbl[[#This Row],[Department_Region]],LEN(Before_Tbl[[#This Row],[Department_Region]])-FIND("-",Before_Tbl[[#This Row],[Department_Region]]))</f>
        <v>Florida</v>
      </c>
      <c r="V954" t="str">
        <f>TRIM(PROPER(Before_Tbl[[#This Row],[Status]]))</f>
        <v>Inactive</v>
      </c>
      <c r="W954" s="26">
        <v>43918</v>
      </c>
      <c r="X954" s="4">
        <v>63744.57</v>
      </c>
      <c r="Y954" t="str">
        <f>TRIM(LOWER(Before_Tbl[[#This Row],[Email]]))</f>
        <v>bob.jones@example.com</v>
      </c>
      <c r="Z954" s="2" t="str">
        <f>SUBSTITUTE(Before_Tbl[[#This Row],[Phone]],"-","")</f>
        <v>5725659201</v>
      </c>
      <c r="AA954" t="str">
        <f>TRIM(PROPER(Before_Tbl[[#This Row],[Performance_Score]]))</f>
        <v>Average</v>
      </c>
      <c r="AB954" s="2" t="str">
        <f>TRIM(UPPER(Before_Tbl[[#This Row],[Remote_Work]]))</f>
        <v>FALSE</v>
      </c>
    </row>
    <row r="955" spans="1:28" x14ac:dyDescent="0.35">
      <c r="A955" t="s">
        <v>1540</v>
      </c>
      <c r="B955" t="s">
        <v>25</v>
      </c>
      <c r="C955" t="s">
        <v>20</v>
      </c>
      <c r="D955">
        <v>40</v>
      </c>
      <c r="E955" t="s">
        <v>268</v>
      </c>
      <c r="F955" t="s">
        <v>16</v>
      </c>
      <c r="G955" t="s">
        <v>1541</v>
      </c>
      <c r="H955" t="s">
        <v>277</v>
      </c>
      <c r="I955" t="s">
        <v>80</v>
      </c>
      <c r="J955">
        <v>-4617520237</v>
      </c>
      <c r="K955" t="s">
        <v>41</v>
      </c>
      <c r="L955" t="b">
        <v>0</v>
      </c>
      <c r="P955" t="str">
        <f>TRIM(Before_Tbl[[#This Row],[Employee_ID]])</f>
        <v>EMP1953</v>
      </c>
      <c r="Q955" t="str">
        <f>TRIM(PROPER(Before_Tbl[[#This Row],[First_Name]]))</f>
        <v>Alice</v>
      </c>
      <c r="R955" t="str">
        <f>TRIM(PROPER(Before_Tbl[[#This Row],[Last_Name]]))</f>
        <v>Brown</v>
      </c>
      <c r="S955" s="25">
        <f t="shared" si="14"/>
        <v>40</v>
      </c>
      <c r="T955" t="str">
        <f>LEFT(Before_Tbl[[#This Row],[Department_Region]],FIND("-",Before_Tbl[[#This Row],[Department_Region]])-1)</f>
        <v>Cloud Tech</v>
      </c>
      <c r="U955" t="str">
        <f>RIGHT(Before_Tbl[[#This Row],[Department_Region]],LEN(Before_Tbl[[#This Row],[Department_Region]])-FIND("-",Before_Tbl[[#This Row],[Department_Region]]))</f>
        <v>California</v>
      </c>
      <c r="V955" t="str">
        <f>TRIM(PROPER(Before_Tbl[[#This Row],[Status]]))</f>
        <v>Active</v>
      </c>
      <c r="W955" s="26">
        <v>43966</v>
      </c>
      <c r="X955" s="4"/>
      <c r="Y955" t="str">
        <f>TRIM(LOWER(Before_Tbl[[#This Row],[Email]]))</f>
        <v>alice.brown@example.com</v>
      </c>
      <c r="Z955" s="2" t="str">
        <f>SUBSTITUTE(Before_Tbl[[#This Row],[Phone]],"-","")</f>
        <v>4617520237</v>
      </c>
      <c r="AA955" t="str">
        <f>TRIM(PROPER(Before_Tbl[[#This Row],[Performance_Score]]))</f>
        <v>Poor</v>
      </c>
      <c r="AB955" s="2" t="str">
        <f>TRIM(UPPER(Before_Tbl[[#This Row],[Remote_Work]]))</f>
        <v>FALSE</v>
      </c>
    </row>
    <row r="956" spans="1:28" x14ac:dyDescent="0.35">
      <c r="A956" t="s">
        <v>1542</v>
      </c>
      <c r="B956" t="s">
        <v>13</v>
      </c>
      <c r="C956" t="s">
        <v>38</v>
      </c>
      <c r="D956">
        <v>25</v>
      </c>
      <c r="E956" t="s">
        <v>109</v>
      </c>
      <c r="F956" t="s">
        <v>28</v>
      </c>
      <c r="G956" t="s">
        <v>1543</v>
      </c>
      <c r="H956">
        <v>62934.73</v>
      </c>
      <c r="I956" t="s">
        <v>144</v>
      </c>
      <c r="J956">
        <v>-9743260054</v>
      </c>
      <c r="K956" t="s">
        <v>30</v>
      </c>
      <c r="L956" t="b">
        <v>0</v>
      </c>
      <c r="P956" t="str">
        <f>TRIM(Before_Tbl[[#This Row],[Employee_ID]])</f>
        <v>EMP1954</v>
      </c>
      <c r="Q956" t="str">
        <f>TRIM(PROPER(Before_Tbl[[#This Row],[First_Name]]))</f>
        <v>Bob</v>
      </c>
      <c r="R956" t="str">
        <f>TRIM(PROPER(Before_Tbl[[#This Row],[Last_Name]]))</f>
        <v>Williams</v>
      </c>
      <c r="S956" s="25">
        <f t="shared" si="14"/>
        <v>25</v>
      </c>
      <c r="T956" t="str">
        <f>LEFT(Before_Tbl[[#This Row],[Department_Region]],FIND("-",Before_Tbl[[#This Row],[Department_Region]])-1)</f>
        <v>Sales</v>
      </c>
      <c r="U956" t="str">
        <f>RIGHT(Before_Tbl[[#This Row],[Department_Region]],LEN(Before_Tbl[[#This Row],[Department_Region]])-FIND("-",Before_Tbl[[#This Row],[Department_Region]]))</f>
        <v>New York</v>
      </c>
      <c r="V956" t="str">
        <f>TRIM(PROPER(Before_Tbl[[#This Row],[Status]]))</f>
        <v>Pending</v>
      </c>
      <c r="W956" s="26">
        <v>44240</v>
      </c>
      <c r="X956" s="4">
        <v>62934.73</v>
      </c>
      <c r="Y956" t="str">
        <f>TRIM(LOWER(Before_Tbl[[#This Row],[Email]]))</f>
        <v>bob.williams@example.com</v>
      </c>
      <c r="Z956" s="2" t="str">
        <f>SUBSTITUTE(Before_Tbl[[#This Row],[Phone]],"-","")</f>
        <v>9743260054</v>
      </c>
      <c r="AA956" t="str">
        <f>TRIM(PROPER(Before_Tbl[[#This Row],[Performance_Score]]))</f>
        <v>Good</v>
      </c>
      <c r="AB956" s="2" t="str">
        <f>TRIM(UPPER(Before_Tbl[[#This Row],[Remote_Work]]))</f>
        <v>FALSE</v>
      </c>
    </row>
    <row r="957" spans="1:28" x14ac:dyDescent="0.35">
      <c r="A957" t="s">
        <v>1544</v>
      </c>
      <c r="B957" t="s">
        <v>13</v>
      </c>
      <c r="C957" t="s">
        <v>38</v>
      </c>
      <c r="D957">
        <v>30</v>
      </c>
      <c r="E957" t="s">
        <v>15</v>
      </c>
      <c r="F957" t="s">
        <v>28</v>
      </c>
      <c r="G957" t="s">
        <v>1447</v>
      </c>
      <c r="H957">
        <v>74654.23</v>
      </c>
      <c r="I957" t="s">
        <v>144</v>
      </c>
      <c r="J957">
        <v>-9550178331</v>
      </c>
      <c r="K957" t="s">
        <v>23</v>
      </c>
      <c r="L957" t="b">
        <v>1</v>
      </c>
      <c r="P957" t="str">
        <f>TRIM(Before_Tbl[[#This Row],[Employee_ID]])</f>
        <v>EMP1955</v>
      </c>
      <c r="Q957" t="str">
        <f>TRIM(PROPER(Before_Tbl[[#This Row],[First_Name]]))</f>
        <v>Bob</v>
      </c>
      <c r="R957" t="str">
        <f>TRIM(PROPER(Before_Tbl[[#This Row],[Last_Name]]))</f>
        <v>Williams</v>
      </c>
      <c r="S957" s="25">
        <f t="shared" si="14"/>
        <v>30</v>
      </c>
      <c r="T957" t="str">
        <f>LEFT(Before_Tbl[[#This Row],[Department_Region]],FIND("-",Before_Tbl[[#This Row],[Department_Region]])-1)</f>
        <v>DevOps</v>
      </c>
      <c r="U957" t="str">
        <f>RIGHT(Before_Tbl[[#This Row],[Department_Region]],LEN(Before_Tbl[[#This Row],[Department_Region]])-FIND("-",Before_Tbl[[#This Row],[Department_Region]]))</f>
        <v>California</v>
      </c>
      <c r="V957" t="str">
        <f>TRIM(PROPER(Before_Tbl[[#This Row],[Status]]))</f>
        <v>Pending</v>
      </c>
      <c r="W957" s="26">
        <v>44543</v>
      </c>
      <c r="X957" s="4">
        <v>74654.23</v>
      </c>
      <c r="Y957" t="str">
        <f>TRIM(LOWER(Before_Tbl[[#This Row],[Email]]))</f>
        <v>bob.williams@example.com</v>
      </c>
      <c r="Z957" s="2" t="str">
        <f>SUBSTITUTE(Before_Tbl[[#This Row],[Phone]],"-","")</f>
        <v>9550178331</v>
      </c>
      <c r="AA957" t="str">
        <f>TRIM(PROPER(Before_Tbl[[#This Row],[Performance_Score]]))</f>
        <v>Excellent</v>
      </c>
      <c r="AB957" s="2" t="str">
        <f>TRIM(UPPER(Before_Tbl[[#This Row],[Remote_Work]]))</f>
        <v>TRUE</v>
      </c>
    </row>
    <row r="958" spans="1:28" x14ac:dyDescent="0.35">
      <c r="A958" t="s">
        <v>1545</v>
      </c>
      <c r="B958" t="s">
        <v>59</v>
      </c>
      <c r="C958" t="s">
        <v>20</v>
      </c>
      <c r="E958" t="s">
        <v>44</v>
      </c>
      <c r="F958" t="s">
        <v>16</v>
      </c>
      <c r="G958" s="1">
        <v>45420</v>
      </c>
      <c r="H958" t="s">
        <v>277</v>
      </c>
      <c r="I958" t="s">
        <v>225</v>
      </c>
      <c r="J958">
        <v>-5848689992</v>
      </c>
      <c r="K958" t="s">
        <v>18</v>
      </c>
      <c r="L958" t="b">
        <v>1</v>
      </c>
      <c r="P958" t="str">
        <f>TRIM(Before_Tbl[[#This Row],[Employee_ID]])</f>
        <v>EMP1956</v>
      </c>
      <c r="Q958" t="str">
        <f>TRIM(PROPER(Before_Tbl[[#This Row],[First_Name]]))</f>
        <v>David</v>
      </c>
      <c r="R958" t="str">
        <f>TRIM(PROPER(Before_Tbl[[#This Row],[Last_Name]]))</f>
        <v>Brown</v>
      </c>
      <c r="S958" s="25">
        <f t="shared" si="14"/>
        <v>30</v>
      </c>
      <c r="T958" t="str">
        <f>LEFT(Before_Tbl[[#This Row],[Department_Region]],FIND("-",Before_Tbl[[#This Row],[Department_Region]])-1)</f>
        <v>Sales</v>
      </c>
      <c r="U958" t="str">
        <f>RIGHT(Before_Tbl[[#This Row],[Department_Region]],LEN(Before_Tbl[[#This Row],[Department_Region]])-FIND("-",Before_Tbl[[#This Row],[Department_Region]]))</f>
        <v>Texas</v>
      </c>
      <c r="V958" t="str">
        <f>TRIM(PROPER(Before_Tbl[[#This Row],[Status]]))</f>
        <v>Active</v>
      </c>
      <c r="W958" s="26">
        <v>45420</v>
      </c>
      <c r="X958" s="4"/>
      <c r="Y958" t="str">
        <f>TRIM(LOWER(Before_Tbl[[#This Row],[Email]]))</f>
        <v>david.brown@example.com</v>
      </c>
      <c r="Z958" s="2" t="str">
        <f>SUBSTITUTE(Before_Tbl[[#This Row],[Phone]],"-","")</f>
        <v>5848689992</v>
      </c>
      <c r="AA958" t="str">
        <f>TRIM(PROPER(Before_Tbl[[#This Row],[Performance_Score]]))</f>
        <v>Average</v>
      </c>
      <c r="AB958" s="2" t="str">
        <f>TRIM(UPPER(Before_Tbl[[#This Row],[Remote_Work]]))</f>
        <v>TRUE</v>
      </c>
    </row>
    <row r="959" spans="1:28" x14ac:dyDescent="0.35">
      <c r="A959" t="s">
        <v>1546</v>
      </c>
      <c r="B959" t="s">
        <v>59</v>
      </c>
      <c r="C959" t="s">
        <v>122</v>
      </c>
      <c r="D959">
        <v>30</v>
      </c>
      <c r="E959" t="s">
        <v>66</v>
      </c>
      <c r="F959" t="s">
        <v>28</v>
      </c>
      <c r="G959" s="1">
        <v>44075</v>
      </c>
      <c r="H959">
        <v>118150.59</v>
      </c>
      <c r="I959" t="s">
        <v>341</v>
      </c>
      <c r="J959">
        <v>-6079848703</v>
      </c>
      <c r="K959" t="s">
        <v>18</v>
      </c>
      <c r="L959" t="b">
        <v>1</v>
      </c>
      <c r="P959" t="str">
        <f>TRIM(Before_Tbl[[#This Row],[Employee_ID]])</f>
        <v>EMP1957</v>
      </c>
      <c r="Q959" t="str">
        <f>TRIM(PROPER(Before_Tbl[[#This Row],[First_Name]]))</f>
        <v>David</v>
      </c>
      <c r="R959" t="str">
        <f>TRIM(PROPER(Before_Tbl[[#This Row],[Last_Name]]))</f>
        <v>Smith</v>
      </c>
      <c r="S959" s="25">
        <f t="shared" si="14"/>
        <v>30</v>
      </c>
      <c r="T959" t="str">
        <f>LEFT(Before_Tbl[[#This Row],[Department_Region]],FIND("-",Before_Tbl[[#This Row],[Department_Region]])-1)</f>
        <v>HR</v>
      </c>
      <c r="U959" t="str">
        <f>RIGHT(Before_Tbl[[#This Row],[Department_Region]],LEN(Before_Tbl[[#This Row],[Department_Region]])-FIND("-",Before_Tbl[[#This Row],[Department_Region]]))</f>
        <v>New York</v>
      </c>
      <c r="V959" t="str">
        <f>TRIM(PROPER(Before_Tbl[[#This Row],[Status]]))</f>
        <v>Pending</v>
      </c>
      <c r="W959" s="26">
        <v>44075</v>
      </c>
      <c r="X959" s="4">
        <v>118150.59</v>
      </c>
      <c r="Y959" t="str">
        <f>TRIM(LOWER(Before_Tbl[[#This Row],[Email]]))</f>
        <v>david.smith@example.com</v>
      </c>
      <c r="Z959" s="2" t="str">
        <f>SUBSTITUTE(Before_Tbl[[#This Row],[Phone]],"-","")</f>
        <v>6079848703</v>
      </c>
      <c r="AA959" t="str">
        <f>TRIM(PROPER(Before_Tbl[[#This Row],[Performance_Score]]))</f>
        <v>Average</v>
      </c>
      <c r="AB959" s="2" t="str">
        <f>TRIM(UPPER(Before_Tbl[[#This Row],[Remote_Work]]))</f>
        <v>TRUE</v>
      </c>
    </row>
    <row r="960" spans="1:28" x14ac:dyDescent="0.35">
      <c r="A960" t="s">
        <v>1547</v>
      </c>
      <c r="B960" t="s">
        <v>59</v>
      </c>
      <c r="C960" t="s">
        <v>55</v>
      </c>
      <c r="E960" t="s">
        <v>230</v>
      </c>
      <c r="F960" t="s">
        <v>33</v>
      </c>
      <c r="G960" t="s">
        <v>1548</v>
      </c>
      <c r="H960">
        <v>91256.639999999999</v>
      </c>
      <c r="I960" t="s">
        <v>217</v>
      </c>
      <c r="J960">
        <v>-5069176798</v>
      </c>
      <c r="K960" t="s">
        <v>18</v>
      </c>
      <c r="L960" t="b">
        <v>0</v>
      </c>
      <c r="P960" t="str">
        <f>TRIM(Before_Tbl[[#This Row],[Employee_ID]])</f>
        <v>EMP1958</v>
      </c>
      <c r="Q960" t="str">
        <f>TRIM(PROPER(Before_Tbl[[#This Row],[First_Name]]))</f>
        <v>David</v>
      </c>
      <c r="R960" t="str">
        <f>TRIM(PROPER(Before_Tbl[[#This Row],[Last_Name]]))</f>
        <v>Johnson</v>
      </c>
      <c r="S960" s="25">
        <f t="shared" si="14"/>
        <v>30</v>
      </c>
      <c r="T960" t="str">
        <f>LEFT(Before_Tbl[[#This Row],[Department_Region]],FIND("-",Before_Tbl[[#This Row],[Department_Region]])-1)</f>
        <v>DevOps</v>
      </c>
      <c r="U960" t="str">
        <f>RIGHT(Before_Tbl[[#This Row],[Department_Region]],LEN(Before_Tbl[[#This Row],[Department_Region]])-FIND("-",Before_Tbl[[#This Row],[Department_Region]]))</f>
        <v>Florida</v>
      </c>
      <c r="V960" t="str">
        <f>TRIM(PROPER(Before_Tbl[[#This Row],[Status]]))</f>
        <v>Inactive</v>
      </c>
      <c r="W960" s="26">
        <v>45260</v>
      </c>
      <c r="X960" s="4">
        <v>91256.639999999999</v>
      </c>
      <c r="Y960" t="str">
        <f>TRIM(LOWER(Before_Tbl[[#This Row],[Email]]))</f>
        <v>david.johnson@example.com</v>
      </c>
      <c r="Z960" s="2" t="str">
        <f>SUBSTITUTE(Before_Tbl[[#This Row],[Phone]],"-","")</f>
        <v>5069176798</v>
      </c>
      <c r="AA960" t="str">
        <f>TRIM(PROPER(Before_Tbl[[#This Row],[Performance_Score]]))</f>
        <v>Average</v>
      </c>
      <c r="AB960" s="2" t="str">
        <f>TRIM(UPPER(Before_Tbl[[#This Row],[Remote_Work]]))</f>
        <v>FALSE</v>
      </c>
    </row>
    <row r="961" spans="1:28" x14ac:dyDescent="0.35">
      <c r="A961" t="s">
        <v>1549</v>
      </c>
      <c r="B961" t="s">
        <v>13</v>
      </c>
      <c r="C961" t="s">
        <v>14</v>
      </c>
      <c r="D961">
        <v>30</v>
      </c>
      <c r="E961" t="s">
        <v>212</v>
      </c>
      <c r="F961" t="s">
        <v>33</v>
      </c>
      <c r="G961" t="s">
        <v>1217</v>
      </c>
      <c r="H961">
        <v>85997.57</v>
      </c>
      <c r="I961" t="s">
        <v>17</v>
      </c>
      <c r="J961">
        <v>-3593744038</v>
      </c>
      <c r="K961" t="s">
        <v>30</v>
      </c>
      <c r="L961" t="b">
        <v>0</v>
      </c>
      <c r="P961" t="str">
        <f>TRIM(Before_Tbl[[#This Row],[Employee_ID]])</f>
        <v>EMP1959</v>
      </c>
      <c r="Q961" t="str">
        <f>TRIM(PROPER(Before_Tbl[[#This Row],[First_Name]]))</f>
        <v>Bob</v>
      </c>
      <c r="R961" t="str">
        <f>TRIM(PROPER(Before_Tbl[[#This Row],[Last_Name]]))</f>
        <v>Davis</v>
      </c>
      <c r="S961" s="25">
        <f t="shared" si="14"/>
        <v>30</v>
      </c>
      <c r="T961" t="str">
        <f>LEFT(Before_Tbl[[#This Row],[Department_Region]],FIND("-",Before_Tbl[[#This Row],[Department_Region]])-1)</f>
        <v>HR</v>
      </c>
      <c r="U961" t="str">
        <f>RIGHT(Before_Tbl[[#This Row],[Department_Region]],LEN(Before_Tbl[[#This Row],[Department_Region]])-FIND("-",Before_Tbl[[#This Row],[Department_Region]]))</f>
        <v>Florida</v>
      </c>
      <c r="V961" t="str">
        <f>TRIM(PROPER(Before_Tbl[[#This Row],[Status]]))</f>
        <v>Inactive</v>
      </c>
      <c r="W961" s="26">
        <v>44269</v>
      </c>
      <c r="X961" s="4">
        <v>85997.57</v>
      </c>
      <c r="Y961" t="str">
        <f>TRIM(LOWER(Before_Tbl[[#This Row],[Email]]))</f>
        <v>bob.davis@example.com</v>
      </c>
      <c r="Z961" s="2" t="str">
        <f>SUBSTITUTE(Before_Tbl[[#This Row],[Phone]],"-","")</f>
        <v>3593744038</v>
      </c>
      <c r="AA961" t="str">
        <f>TRIM(PROPER(Before_Tbl[[#This Row],[Performance_Score]]))</f>
        <v>Good</v>
      </c>
      <c r="AB961" s="2" t="str">
        <f>TRIM(UPPER(Before_Tbl[[#This Row],[Remote_Work]]))</f>
        <v>FALSE</v>
      </c>
    </row>
    <row r="962" spans="1:28" x14ac:dyDescent="0.35">
      <c r="A962" t="s">
        <v>1550</v>
      </c>
      <c r="B962" t="s">
        <v>37</v>
      </c>
      <c r="C962" t="s">
        <v>122</v>
      </c>
      <c r="D962">
        <v>25</v>
      </c>
      <c r="E962" t="s">
        <v>21</v>
      </c>
      <c r="F962" t="s">
        <v>28</v>
      </c>
      <c r="G962" s="1">
        <v>43961</v>
      </c>
      <c r="H962">
        <v>84707.12</v>
      </c>
      <c r="I962" t="s">
        <v>137</v>
      </c>
      <c r="J962">
        <v>-4640830372</v>
      </c>
      <c r="K962" t="s">
        <v>23</v>
      </c>
      <c r="L962" t="b">
        <v>0</v>
      </c>
      <c r="P962" t="str">
        <f>TRIM(Before_Tbl[[#This Row],[Employee_ID]])</f>
        <v>EMP1960</v>
      </c>
      <c r="Q962" t="str">
        <f>TRIM(PROPER(Before_Tbl[[#This Row],[First_Name]]))</f>
        <v>Frank</v>
      </c>
      <c r="R962" t="str">
        <f>TRIM(PROPER(Before_Tbl[[#This Row],[Last_Name]]))</f>
        <v>Smith</v>
      </c>
      <c r="S962" s="25">
        <f t="shared" ref="S962:S1021" si="15">IF(ISBLANK(D962),30,D962)</f>
        <v>25</v>
      </c>
      <c r="T962" t="str">
        <f>LEFT(Before_Tbl[[#This Row],[Department_Region]],FIND("-",Before_Tbl[[#This Row],[Department_Region]])-1)</f>
        <v>Finance</v>
      </c>
      <c r="U962" t="str">
        <f>RIGHT(Before_Tbl[[#This Row],[Department_Region]],LEN(Before_Tbl[[#This Row],[Department_Region]])-FIND("-",Before_Tbl[[#This Row],[Department_Region]]))</f>
        <v>Texas</v>
      </c>
      <c r="V962" t="str">
        <f>TRIM(PROPER(Before_Tbl[[#This Row],[Status]]))</f>
        <v>Pending</v>
      </c>
      <c r="W962" s="26">
        <v>43961</v>
      </c>
      <c r="X962" s="4">
        <v>84707.12</v>
      </c>
      <c r="Y962" t="str">
        <f>TRIM(LOWER(Before_Tbl[[#This Row],[Email]]))</f>
        <v>frank.smith@example.com</v>
      </c>
      <c r="Z962" s="2" t="str">
        <f>SUBSTITUTE(Before_Tbl[[#This Row],[Phone]],"-","")</f>
        <v>4640830372</v>
      </c>
      <c r="AA962" t="str">
        <f>TRIM(PROPER(Before_Tbl[[#This Row],[Performance_Score]]))</f>
        <v>Excellent</v>
      </c>
      <c r="AB962" s="2" t="str">
        <f>TRIM(UPPER(Before_Tbl[[#This Row],[Remote_Work]]))</f>
        <v>FALSE</v>
      </c>
    </row>
    <row r="963" spans="1:28" x14ac:dyDescent="0.35">
      <c r="A963" t="s">
        <v>1551</v>
      </c>
      <c r="B963" t="s">
        <v>32</v>
      </c>
      <c r="C963" t="s">
        <v>122</v>
      </c>
      <c r="E963" t="s">
        <v>237</v>
      </c>
      <c r="F963" t="s">
        <v>16</v>
      </c>
      <c r="G963" s="1">
        <v>44238</v>
      </c>
      <c r="H963">
        <v>84559.9</v>
      </c>
      <c r="I963" t="s">
        <v>522</v>
      </c>
      <c r="J963">
        <v>-6060148859</v>
      </c>
      <c r="K963" t="s">
        <v>41</v>
      </c>
      <c r="L963" t="b">
        <v>0</v>
      </c>
      <c r="P963" t="str">
        <f>TRIM(Before_Tbl[[#This Row],[Employee_ID]])</f>
        <v>EMP1961</v>
      </c>
      <c r="Q963" t="str">
        <f>TRIM(PROPER(Before_Tbl[[#This Row],[First_Name]]))</f>
        <v>Eva</v>
      </c>
      <c r="R963" t="str">
        <f>TRIM(PROPER(Before_Tbl[[#This Row],[Last_Name]]))</f>
        <v>Smith</v>
      </c>
      <c r="S963" s="25">
        <f t="shared" si="15"/>
        <v>30</v>
      </c>
      <c r="T963" t="str">
        <f>LEFT(Before_Tbl[[#This Row],[Department_Region]],FIND("-",Before_Tbl[[#This Row],[Department_Region]])-1)</f>
        <v>DevOps</v>
      </c>
      <c r="U963" t="str">
        <f>RIGHT(Before_Tbl[[#This Row],[Department_Region]],LEN(Before_Tbl[[#This Row],[Department_Region]])-FIND("-",Before_Tbl[[#This Row],[Department_Region]]))</f>
        <v>Texas</v>
      </c>
      <c r="V963" t="str">
        <f>TRIM(PROPER(Before_Tbl[[#This Row],[Status]]))</f>
        <v>Active</v>
      </c>
      <c r="W963" s="26">
        <v>44238</v>
      </c>
      <c r="X963" s="4">
        <v>84559.9</v>
      </c>
      <c r="Y963" t="str">
        <f>TRIM(LOWER(Before_Tbl[[#This Row],[Email]]))</f>
        <v>eva.smith@example.com</v>
      </c>
      <c r="Z963" s="2" t="str">
        <f>SUBSTITUTE(Before_Tbl[[#This Row],[Phone]],"-","")</f>
        <v>6060148859</v>
      </c>
      <c r="AA963" t="str">
        <f>TRIM(PROPER(Before_Tbl[[#This Row],[Performance_Score]]))</f>
        <v>Poor</v>
      </c>
      <c r="AB963" s="2" t="str">
        <f>TRIM(UPPER(Before_Tbl[[#This Row],[Remote_Work]]))</f>
        <v>FALSE</v>
      </c>
    </row>
    <row r="964" spans="1:28" x14ac:dyDescent="0.35">
      <c r="A964" t="s">
        <v>1552</v>
      </c>
      <c r="B964" t="s">
        <v>65</v>
      </c>
      <c r="C964" t="s">
        <v>92</v>
      </c>
      <c r="E964" t="s">
        <v>15</v>
      </c>
      <c r="F964" t="s">
        <v>28</v>
      </c>
      <c r="G964" t="s">
        <v>1424</v>
      </c>
      <c r="H964">
        <v>81076.91</v>
      </c>
      <c r="I964" t="s">
        <v>130</v>
      </c>
      <c r="J964">
        <v>-8490793883</v>
      </c>
      <c r="K964" t="s">
        <v>41</v>
      </c>
      <c r="L964" t="b">
        <v>0</v>
      </c>
      <c r="P964" t="str">
        <f>TRIM(Before_Tbl[[#This Row],[Employee_ID]])</f>
        <v>EMP1962</v>
      </c>
      <c r="Q964" t="str">
        <f>TRIM(PROPER(Before_Tbl[[#This Row],[First_Name]]))</f>
        <v>Heidi</v>
      </c>
      <c r="R964" t="str">
        <f>TRIM(PROPER(Before_Tbl[[#This Row],[Last_Name]]))</f>
        <v>Miller</v>
      </c>
      <c r="S964" s="25">
        <f t="shared" si="15"/>
        <v>30</v>
      </c>
      <c r="T964" t="str">
        <f>LEFT(Before_Tbl[[#This Row],[Department_Region]],FIND("-",Before_Tbl[[#This Row],[Department_Region]])-1)</f>
        <v>DevOps</v>
      </c>
      <c r="U964" t="str">
        <f>RIGHT(Before_Tbl[[#This Row],[Department_Region]],LEN(Before_Tbl[[#This Row],[Department_Region]])-FIND("-",Before_Tbl[[#This Row],[Department_Region]]))</f>
        <v>California</v>
      </c>
      <c r="V964" t="str">
        <f>TRIM(PROPER(Before_Tbl[[#This Row],[Status]]))</f>
        <v>Pending</v>
      </c>
      <c r="W964" s="26">
        <v>45553</v>
      </c>
      <c r="X964" s="4">
        <v>81076.91</v>
      </c>
      <c r="Y964" t="str">
        <f>TRIM(LOWER(Before_Tbl[[#This Row],[Email]]))</f>
        <v>heidi.miller@example.com</v>
      </c>
      <c r="Z964" s="2" t="str">
        <f>SUBSTITUTE(Before_Tbl[[#This Row],[Phone]],"-","")</f>
        <v>8490793883</v>
      </c>
      <c r="AA964" t="str">
        <f>TRIM(PROPER(Before_Tbl[[#This Row],[Performance_Score]]))</f>
        <v>Poor</v>
      </c>
      <c r="AB964" s="2" t="str">
        <f>TRIM(UPPER(Before_Tbl[[#This Row],[Remote_Work]]))</f>
        <v>FALSE</v>
      </c>
    </row>
    <row r="965" spans="1:28" x14ac:dyDescent="0.35">
      <c r="A965" t="s">
        <v>1553</v>
      </c>
      <c r="B965" t="s">
        <v>32</v>
      </c>
      <c r="C965" t="s">
        <v>14</v>
      </c>
      <c r="D965">
        <v>40</v>
      </c>
      <c r="E965" t="s">
        <v>103</v>
      </c>
      <c r="F965" t="s">
        <v>33</v>
      </c>
      <c r="G965" t="s">
        <v>1554</v>
      </c>
      <c r="H965" t="s">
        <v>277</v>
      </c>
      <c r="I965" t="s">
        <v>35</v>
      </c>
      <c r="J965">
        <v>-1368528305</v>
      </c>
      <c r="K965" t="s">
        <v>18</v>
      </c>
      <c r="L965" t="b">
        <v>0</v>
      </c>
      <c r="P965" t="str">
        <f>TRIM(Before_Tbl[[#This Row],[Employee_ID]])</f>
        <v>EMP1963</v>
      </c>
      <c r="Q965" t="str">
        <f>TRIM(PROPER(Before_Tbl[[#This Row],[First_Name]]))</f>
        <v>Eva</v>
      </c>
      <c r="R965" t="str">
        <f>TRIM(PROPER(Before_Tbl[[#This Row],[Last_Name]]))</f>
        <v>Davis</v>
      </c>
      <c r="S965" s="25">
        <f t="shared" si="15"/>
        <v>40</v>
      </c>
      <c r="T965" t="str">
        <f>LEFT(Before_Tbl[[#This Row],[Department_Region]],FIND("-",Before_Tbl[[#This Row],[Department_Region]])-1)</f>
        <v>Admin</v>
      </c>
      <c r="U965" t="str">
        <f>RIGHT(Before_Tbl[[#This Row],[Department_Region]],LEN(Before_Tbl[[#This Row],[Department_Region]])-FIND("-",Before_Tbl[[#This Row],[Department_Region]]))</f>
        <v>Texas</v>
      </c>
      <c r="V965" t="str">
        <f>TRIM(PROPER(Before_Tbl[[#This Row],[Status]]))</f>
        <v>Inactive</v>
      </c>
      <c r="W965" s="26">
        <v>45221</v>
      </c>
      <c r="X965" s="4"/>
      <c r="Y965" t="str">
        <f>TRIM(LOWER(Before_Tbl[[#This Row],[Email]]))</f>
        <v>eva.davis@example.com</v>
      </c>
      <c r="Z965" s="2" t="str">
        <f>SUBSTITUTE(Before_Tbl[[#This Row],[Phone]],"-","")</f>
        <v>1368528305</v>
      </c>
      <c r="AA965" t="str">
        <f>TRIM(PROPER(Before_Tbl[[#This Row],[Performance_Score]]))</f>
        <v>Average</v>
      </c>
      <c r="AB965" s="2" t="str">
        <f>TRIM(UPPER(Before_Tbl[[#This Row],[Remote_Work]]))</f>
        <v>FALSE</v>
      </c>
    </row>
    <row r="966" spans="1:28" x14ac:dyDescent="0.35">
      <c r="A966" t="s">
        <v>1555</v>
      </c>
      <c r="B966" t="s">
        <v>65</v>
      </c>
      <c r="C966" t="s">
        <v>14</v>
      </c>
      <c r="D966">
        <v>25</v>
      </c>
      <c r="E966" t="s">
        <v>112</v>
      </c>
      <c r="F966" t="s">
        <v>28</v>
      </c>
      <c r="G966" s="1">
        <v>45208</v>
      </c>
      <c r="H966">
        <v>97356.31</v>
      </c>
      <c r="I966" t="s">
        <v>395</v>
      </c>
      <c r="J966">
        <v>-1537012423</v>
      </c>
      <c r="K966" t="s">
        <v>30</v>
      </c>
      <c r="L966" t="b">
        <v>1</v>
      </c>
      <c r="P966" t="str">
        <f>TRIM(Before_Tbl[[#This Row],[Employee_ID]])</f>
        <v>EMP1964</v>
      </c>
      <c r="Q966" t="str">
        <f>TRIM(PROPER(Before_Tbl[[#This Row],[First_Name]]))</f>
        <v>Heidi</v>
      </c>
      <c r="R966" t="str">
        <f>TRIM(PROPER(Before_Tbl[[#This Row],[Last_Name]]))</f>
        <v>Davis</v>
      </c>
      <c r="S966" s="25">
        <f t="shared" si="15"/>
        <v>25</v>
      </c>
      <c r="T966" t="str">
        <f>LEFT(Before_Tbl[[#This Row],[Department_Region]],FIND("-",Before_Tbl[[#This Row],[Department_Region]])-1)</f>
        <v>Finance</v>
      </c>
      <c r="U966" t="str">
        <f>RIGHT(Before_Tbl[[#This Row],[Department_Region]],LEN(Before_Tbl[[#This Row],[Department_Region]])-FIND("-",Before_Tbl[[#This Row],[Department_Region]]))</f>
        <v>Florida</v>
      </c>
      <c r="V966" t="str">
        <f>TRIM(PROPER(Before_Tbl[[#This Row],[Status]]))</f>
        <v>Pending</v>
      </c>
      <c r="W966" s="26">
        <v>45208</v>
      </c>
      <c r="X966" s="4">
        <v>97356.31</v>
      </c>
      <c r="Y966" t="str">
        <f>TRIM(LOWER(Before_Tbl[[#This Row],[Email]]))</f>
        <v>heidi.davis@example.com</v>
      </c>
      <c r="Z966" s="2" t="str">
        <f>SUBSTITUTE(Before_Tbl[[#This Row],[Phone]],"-","")</f>
        <v>1537012423</v>
      </c>
      <c r="AA966" t="str">
        <f>TRIM(PROPER(Before_Tbl[[#This Row],[Performance_Score]]))</f>
        <v>Good</v>
      </c>
      <c r="AB966" s="2" t="str">
        <f>TRIM(UPPER(Before_Tbl[[#This Row],[Remote_Work]]))</f>
        <v>TRUE</v>
      </c>
    </row>
    <row r="967" spans="1:28" x14ac:dyDescent="0.35">
      <c r="A967" t="s">
        <v>1556</v>
      </c>
      <c r="B967" t="s">
        <v>69</v>
      </c>
      <c r="C967" t="s">
        <v>122</v>
      </c>
      <c r="D967">
        <v>40</v>
      </c>
      <c r="E967" t="s">
        <v>78</v>
      </c>
      <c r="F967" t="s">
        <v>16</v>
      </c>
      <c r="G967" t="s">
        <v>635</v>
      </c>
      <c r="H967">
        <v>114770.32</v>
      </c>
      <c r="I967" t="s">
        <v>135</v>
      </c>
      <c r="J967">
        <v>-4626325143</v>
      </c>
      <c r="K967" t="s">
        <v>30</v>
      </c>
      <c r="L967" t="b">
        <v>1</v>
      </c>
      <c r="P967" t="str">
        <f>TRIM(Before_Tbl[[#This Row],[Employee_ID]])</f>
        <v>EMP1965</v>
      </c>
      <c r="Q967" t="str">
        <f>TRIM(PROPER(Before_Tbl[[#This Row],[First_Name]]))</f>
        <v>Grace</v>
      </c>
      <c r="R967" t="str">
        <f>TRIM(PROPER(Before_Tbl[[#This Row],[Last_Name]]))</f>
        <v>Smith</v>
      </c>
      <c r="S967" s="25">
        <f t="shared" si="15"/>
        <v>40</v>
      </c>
      <c r="T967" t="str">
        <f>LEFT(Before_Tbl[[#This Row],[Department_Region]],FIND("-",Before_Tbl[[#This Row],[Department_Region]])-1)</f>
        <v>DevOps</v>
      </c>
      <c r="U967" t="str">
        <f>RIGHT(Before_Tbl[[#This Row],[Department_Region]],LEN(Before_Tbl[[#This Row],[Department_Region]])-FIND("-",Before_Tbl[[#This Row],[Department_Region]]))</f>
        <v>Illinois</v>
      </c>
      <c r="V967" t="str">
        <f>TRIM(PROPER(Before_Tbl[[#This Row],[Status]]))</f>
        <v>Active</v>
      </c>
      <c r="W967" s="26">
        <v>45349</v>
      </c>
      <c r="X967" s="4">
        <v>114770.32</v>
      </c>
      <c r="Y967" t="str">
        <f>TRIM(LOWER(Before_Tbl[[#This Row],[Email]]))</f>
        <v>grace.smith@example.com</v>
      </c>
      <c r="Z967" s="2" t="str">
        <f>SUBSTITUTE(Before_Tbl[[#This Row],[Phone]],"-","")</f>
        <v>4626325143</v>
      </c>
      <c r="AA967" t="str">
        <f>TRIM(PROPER(Before_Tbl[[#This Row],[Performance_Score]]))</f>
        <v>Good</v>
      </c>
      <c r="AB967" s="2" t="str">
        <f>TRIM(UPPER(Before_Tbl[[#This Row],[Remote_Work]]))</f>
        <v>TRUE</v>
      </c>
    </row>
    <row r="968" spans="1:28" x14ac:dyDescent="0.35">
      <c r="A968" t="s">
        <v>1557</v>
      </c>
      <c r="B968" t="s">
        <v>13</v>
      </c>
      <c r="C968" t="s">
        <v>26</v>
      </c>
      <c r="D968">
        <v>35</v>
      </c>
      <c r="E968" t="s">
        <v>118</v>
      </c>
      <c r="F968" t="s">
        <v>16</v>
      </c>
      <c r="G968" s="1">
        <v>44990</v>
      </c>
      <c r="H968">
        <v>109082.07</v>
      </c>
      <c r="I968" t="s">
        <v>50</v>
      </c>
      <c r="J968">
        <v>-8811210313</v>
      </c>
      <c r="K968" t="s">
        <v>30</v>
      </c>
      <c r="L968" t="b">
        <v>0</v>
      </c>
      <c r="P968" t="str">
        <f>TRIM(Before_Tbl[[#This Row],[Employee_ID]])</f>
        <v>EMP1966</v>
      </c>
      <c r="Q968" t="str">
        <f>TRIM(PROPER(Before_Tbl[[#This Row],[First_Name]]))</f>
        <v>Bob</v>
      </c>
      <c r="R968" t="str">
        <f>TRIM(PROPER(Before_Tbl[[#This Row],[Last_Name]]))</f>
        <v>Jones</v>
      </c>
      <c r="S968" s="25">
        <f t="shared" si="15"/>
        <v>35</v>
      </c>
      <c r="T968" t="str">
        <f>LEFT(Before_Tbl[[#This Row],[Department_Region]],FIND("-",Before_Tbl[[#This Row],[Department_Region]])-1)</f>
        <v>Admin</v>
      </c>
      <c r="U968" t="str">
        <f>RIGHT(Before_Tbl[[#This Row],[Department_Region]],LEN(Before_Tbl[[#This Row],[Department_Region]])-FIND("-",Before_Tbl[[#This Row],[Department_Region]]))</f>
        <v>California</v>
      </c>
      <c r="V968" t="str">
        <f>TRIM(PROPER(Before_Tbl[[#This Row],[Status]]))</f>
        <v>Active</v>
      </c>
      <c r="W968" s="26">
        <v>44990</v>
      </c>
      <c r="X968" s="4">
        <v>109082.07</v>
      </c>
      <c r="Y968" t="str">
        <f>TRIM(LOWER(Before_Tbl[[#This Row],[Email]]))</f>
        <v>bob.jones@example.com</v>
      </c>
      <c r="Z968" s="2" t="str">
        <f>SUBSTITUTE(Before_Tbl[[#This Row],[Phone]],"-","")</f>
        <v>8811210313</v>
      </c>
      <c r="AA968" t="str">
        <f>TRIM(PROPER(Before_Tbl[[#This Row],[Performance_Score]]))</f>
        <v>Good</v>
      </c>
      <c r="AB968" s="2" t="str">
        <f>TRIM(UPPER(Before_Tbl[[#This Row],[Remote_Work]]))</f>
        <v>FALSE</v>
      </c>
    </row>
    <row r="969" spans="1:28" x14ac:dyDescent="0.35">
      <c r="A969" t="s">
        <v>1558</v>
      </c>
      <c r="B969" t="s">
        <v>59</v>
      </c>
      <c r="C969" t="s">
        <v>92</v>
      </c>
      <c r="D969">
        <v>40</v>
      </c>
      <c r="E969" t="s">
        <v>230</v>
      </c>
      <c r="F969" t="s">
        <v>33</v>
      </c>
      <c r="G969" t="s">
        <v>1559</v>
      </c>
      <c r="H969">
        <v>99944.57</v>
      </c>
      <c r="I969" t="s">
        <v>107</v>
      </c>
      <c r="J969">
        <v>-2175188780</v>
      </c>
      <c r="K969" t="s">
        <v>41</v>
      </c>
      <c r="L969" t="b">
        <v>1</v>
      </c>
      <c r="P969" t="str">
        <f>TRIM(Before_Tbl[[#This Row],[Employee_ID]])</f>
        <v>EMP1967</v>
      </c>
      <c r="Q969" t="str">
        <f>TRIM(PROPER(Before_Tbl[[#This Row],[First_Name]]))</f>
        <v>David</v>
      </c>
      <c r="R969" t="str">
        <f>TRIM(PROPER(Before_Tbl[[#This Row],[Last_Name]]))</f>
        <v>Miller</v>
      </c>
      <c r="S969" s="25">
        <f t="shared" si="15"/>
        <v>40</v>
      </c>
      <c r="T969" t="str">
        <f>LEFT(Before_Tbl[[#This Row],[Department_Region]],FIND("-",Before_Tbl[[#This Row],[Department_Region]])-1)</f>
        <v>DevOps</v>
      </c>
      <c r="U969" t="str">
        <f>RIGHT(Before_Tbl[[#This Row],[Department_Region]],LEN(Before_Tbl[[#This Row],[Department_Region]])-FIND("-",Before_Tbl[[#This Row],[Department_Region]]))</f>
        <v>Florida</v>
      </c>
      <c r="V969" t="str">
        <f>TRIM(PROPER(Before_Tbl[[#This Row],[Status]]))</f>
        <v>Inactive</v>
      </c>
      <c r="W969" s="26">
        <v>45397</v>
      </c>
      <c r="X969" s="4">
        <v>99944.57</v>
      </c>
      <c r="Y969" t="str">
        <f>TRIM(LOWER(Before_Tbl[[#This Row],[Email]]))</f>
        <v>david.miller@example.com</v>
      </c>
      <c r="Z969" s="2" t="str">
        <f>SUBSTITUTE(Before_Tbl[[#This Row],[Phone]],"-","")</f>
        <v>2175188780</v>
      </c>
      <c r="AA969" t="str">
        <f>TRIM(PROPER(Before_Tbl[[#This Row],[Performance_Score]]))</f>
        <v>Poor</v>
      </c>
      <c r="AB969" s="2" t="str">
        <f>TRIM(UPPER(Before_Tbl[[#This Row],[Remote_Work]]))</f>
        <v>TRUE</v>
      </c>
    </row>
    <row r="970" spans="1:28" x14ac:dyDescent="0.35">
      <c r="A970" t="s">
        <v>1560</v>
      </c>
      <c r="B970" t="s">
        <v>32</v>
      </c>
      <c r="C970" t="s">
        <v>92</v>
      </c>
      <c r="D970">
        <v>40</v>
      </c>
      <c r="E970" t="s">
        <v>212</v>
      </c>
      <c r="F970" t="s">
        <v>28</v>
      </c>
      <c r="G970" t="s">
        <v>1077</v>
      </c>
      <c r="H970">
        <v>116509.72</v>
      </c>
      <c r="I970" t="s">
        <v>263</v>
      </c>
      <c r="J970">
        <v>-7941515262</v>
      </c>
      <c r="K970" t="s">
        <v>18</v>
      </c>
      <c r="L970" t="b">
        <v>0</v>
      </c>
      <c r="P970" t="str">
        <f>TRIM(Before_Tbl[[#This Row],[Employee_ID]])</f>
        <v>EMP1968</v>
      </c>
      <c r="Q970" t="str">
        <f>TRIM(PROPER(Before_Tbl[[#This Row],[First_Name]]))</f>
        <v>Eva</v>
      </c>
      <c r="R970" t="str">
        <f>TRIM(PROPER(Before_Tbl[[#This Row],[Last_Name]]))</f>
        <v>Miller</v>
      </c>
      <c r="S970" s="25">
        <f t="shared" si="15"/>
        <v>40</v>
      </c>
      <c r="T970" t="str">
        <f>LEFT(Before_Tbl[[#This Row],[Department_Region]],FIND("-",Before_Tbl[[#This Row],[Department_Region]])-1)</f>
        <v>HR</v>
      </c>
      <c r="U970" t="str">
        <f>RIGHT(Before_Tbl[[#This Row],[Department_Region]],LEN(Before_Tbl[[#This Row],[Department_Region]])-FIND("-",Before_Tbl[[#This Row],[Department_Region]]))</f>
        <v>Florida</v>
      </c>
      <c r="V970" t="str">
        <f>TRIM(PROPER(Before_Tbl[[#This Row],[Status]]))</f>
        <v>Pending</v>
      </c>
      <c r="W970" s="26">
        <v>45066</v>
      </c>
      <c r="X970" s="4">
        <v>116509.72</v>
      </c>
      <c r="Y970" t="str">
        <f>TRIM(LOWER(Before_Tbl[[#This Row],[Email]]))</f>
        <v>eva.miller@example.com</v>
      </c>
      <c r="Z970" s="2" t="str">
        <f>SUBSTITUTE(Before_Tbl[[#This Row],[Phone]],"-","")</f>
        <v>7941515262</v>
      </c>
      <c r="AA970" t="str">
        <f>TRIM(PROPER(Before_Tbl[[#This Row],[Performance_Score]]))</f>
        <v>Average</v>
      </c>
      <c r="AB970" s="2" t="str">
        <f>TRIM(UPPER(Before_Tbl[[#This Row],[Remote_Work]]))</f>
        <v>FALSE</v>
      </c>
    </row>
    <row r="971" spans="1:28" x14ac:dyDescent="0.35">
      <c r="A971" t="s">
        <v>1561</v>
      </c>
      <c r="B971" t="s">
        <v>32</v>
      </c>
      <c r="C971" t="s">
        <v>38</v>
      </c>
      <c r="D971">
        <v>30</v>
      </c>
      <c r="E971" t="s">
        <v>21</v>
      </c>
      <c r="F971" t="s">
        <v>16</v>
      </c>
      <c r="G971" t="s">
        <v>519</v>
      </c>
      <c r="H971">
        <v>84253.9</v>
      </c>
      <c r="I971" t="s">
        <v>141</v>
      </c>
      <c r="J971">
        <v>-8409112251</v>
      </c>
      <c r="K971" t="s">
        <v>23</v>
      </c>
      <c r="L971" t="b">
        <v>1</v>
      </c>
      <c r="P971" t="str">
        <f>TRIM(Before_Tbl[[#This Row],[Employee_ID]])</f>
        <v>EMP1969</v>
      </c>
      <c r="Q971" t="str">
        <f>TRIM(PROPER(Before_Tbl[[#This Row],[First_Name]]))</f>
        <v>Eva</v>
      </c>
      <c r="R971" t="str">
        <f>TRIM(PROPER(Before_Tbl[[#This Row],[Last_Name]]))</f>
        <v>Williams</v>
      </c>
      <c r="S971" s="25">
        <f t="shared" si="15"/>
        <v>30</v>
      </c>
      <c r="T971" t="str">
        <f>LEFT(Before_Tbl[[#This Row],[Department_Region]],FIND("-",Before_Tbl[[#This Row],[Department_Region]])-1)</f>
        <v>Finance</v>
      </c>
      <c r="U971" t="str">
        <f>RIGHT(Before_Tbl[[#This Row],[Department_Region]],LEN(Before_Tbl[[#This Row],[Department_Region]])-FIND("-",Before_Tbl[[#This Row],[Department_Region]]))</f>
        <v>Texas</v>
      </c>
      <c r="V971" t="str">
        <f>TRIM(PROPER(Before_Tbl[[#This Row],[Status]]))</f>
        <v>Active</v>
      </c>
      <c r="W971" s="26">
        <v>44344</v>
      </c>
      <c r="X971" s="4">
        <v>84253.9</v>
      </c>
      <c r="Y971" t="str">
        <f>TRIM(LOWER(Before_Tbl[[#This Row],[Email]]))</f>
        <v>eva.williams@example.com</v>
      </c>
      <c r="Z971" s="2" t="str">
        <f>SUBSTITUTE(Before_Tbl[[#This Row],[Phone]],"-","")</f>
        <v>8409112251</v>
      </c>
      <c r="AA971" t="str">
        <f>TRIM(PROPER(Before_Tbl[[#This Row],[Performance_Score]]))</f>
        <v>Excellent</v>
      </c>
      <c r="AB971" s="2" t="str">
        <f>TRIM(UPPER(Before_Tbl[[#This Row],[Remote_Work]]))</f>
        <v>TRUE</v>
      </c>
    </row>
    <row r="972" spans="1:28" x14ac:dyDescent="0.35">
      <c r="A972" t="s">
        <v>1562</v>
      </c>
      <c r="B972" t="s">
        <v>54</v>
      </c>
      <c r="C972" t="s">
        <v>43</v>
      </c>
      <c r="D972">
        <v>25</v>
      </c>
      <c r="E972" t="s">
        <v>85</v>
      </c>
      <c r="F972" t="s">
        <v>16</v>
      </c>
      <c r="G972" t="s">
        <v>1563</v>
      </c>
      <c r="H972">
        <v>54776.01</v>
      </c>
      <c r="I972" t="s">
        <v>87</v>
      </c>
      <c r="J972">
        <v>-8837505660</v>
      </c>
      <c r="K972" t="s">
        <v>41</v>
      </c>
      <c r="L972" t="b">
        <v>0</v>
      </c>
      <c r="P972" t="str">
        <f>TRIM(Before_Tbl[[#This Row],[Employee_ID]])</f>
        <v>EMP1970</v>
      </c>
      <c r="Q972" t="str">
        <f>TRIM(PROPER(Before_Tbl[[#This Row],[First_Name]]))</f>
        <v>Charlie</v>
      </c>
      <c r="R972" t="str">
        <f>TRIM(PROPER(Before_Tbl[[#This Row],[Last_Name]]))</f>
        <v>Garcia</v>
      </c>
      <c r="S972" s="25">
        <f t="shared" si="15"/>
        <v>25</v>
      </c>
      <c r="T972" t="str">
        <f>LEFT(Before_Tbl[[#This Row],[Department_Region]],FIND("-",Before_Tbl[[#This Row],[Department_Region]])-1)</f>
        <v>Cloud Tech</v>
      </c>
      <c r="U972" t="str">
        <f>RIGHT(Before_Tbl[[#This Row],[Department_Region]],LEN(Before_Tbl[[#This Row],[Department_Region]])-FIND("-",Before_Tbl[[#This Row],[Department_Region]]))</f>
        <v>Nevada</v>
      </c>
      <c r="V972" t="str">
        <f>TRIM(PROPER(Before_Tbl[[#This Row],[Status]]))</f>
        <v>Active</v>
      </c>
      <c r="W972" s="26">
        <v>45531</v>
      </c>
      <c r="X972" s="4">
        <v>54776.01</v>
      </c>
      <c r="Y972" t="str">
        <f>TRIM(LOWER(Before_Tbl[[#This Row],[Email]]))</f>
        <v>charlie.garcia@example.com</v>
      </c>
      <c r="Z972" s="2" t="str">
        <f>SUBSTITUTE(Before_Tbl[[#This Row],[Phone]],"-","")</f>
        <v>8837505660</v>
      </c>
      <c r="AA972" t="str">
        <f>TRIM(PROPER(Before_Tbl[[#This Row],[Performance_Score]]))</f>
        <v>Poor</v>
      </c>
      <c r="AB972" s="2" t="str">
        <f>TRIM(UPPER(Before_Tbl[[#This Row],[Remote_Work]]))</f>
        <v>FALSE</v>
      </c>
    </row>
    <row r="973" spans="1:28" x14ac:dyDescent="0.35">
      <c r="A973" t="s">
        <v>1564</v>
      </c>
      <c r="B973" t="s">
        <v>54</v>
      </c>
      <c r="C973" t="s">
        <v>14</v>
      </c>
      <c r="D973">
        <v>40</v>
      </c>
      <c r="E973" t="s">
        <v>219</v>
      </c>
      <c r="F973" t="s">
        <v>33</v>
      </c>
      <c r="G973" s="1">
        <v>44054</v>
      </c>
      <c r="H973">
        <v>71192.679999999993</v>
      </c>
      <c r="I973" t="s">
        <v>170</v>
      </c>
      <c r="J973">
        <v>-8632397912</v>
      </c>
      <c r="K973" t="s">
        <v>18</v>
      </c>
      <c r="L973" t="b">
        <v>0</v>
      </c>
      <c r="P973" t="str">
        <f>TRIM(Before_Tbl[[#This Row],[Employee_ID]])</f>
        <v>EMP1971</v>
      </c>
      <c r="Q973" t="str">
        <f>TRIM(PROPER(Before_Tbl[[#This Row],[First_Name]]))</f>
        <v>Charlie</v>
      </c>
      <c r="R973" t="str">
        <f>TRIM(PROPER(Before_Tbl[[#This Row],[Last_Name]]))</f>
        <v>Davis</v>
      </c>
      <c r="S973" s="25">
        <f t="shared" si="15"/>
        <v>40</v>
      </c>
      <c r="T973" t="str">
        <f>LEFT(Before_Tbl[[#This Row],[Department_Region]],FIND("-",Before_Tbl[[#This Row],[Department_Region]])-1)</f>
        <v>Sales</v>
      </c>
      <c r="U973" t="str">
        <f>RIGHT(Before_Tbl[[#This Row],[Department_Region]],LEN(Before_Tbl[[#This Row],[Department_Region]])-FIND("-",Before_Tbl[[#This Row],[Department_Region]]))</f>
        <v>Nevada</v>
      </c>
      <c r="V973" t="str">
        <f>TRIM(PROPER(Before_Tbl[[#This Row],[Status]]))</f>
        <v>Inactive</v>
      </c>
      <c r="W973" s="26">
        <v>44054</v>
      </c>
      <c r="X973" s="4">
        <v>71192.679999999993</v>
      </c>
      <c r="Y973" t="str">
        <f>TRIM(LOWER(Before_Tbl[[#This Row],[Email]]))</f>
        <v>charlie.davis@example.com</v>
      </c>
      <c r="Z973" s="2" t="str">
        <f>SUBSTITUTE(Before_Tbl[[#This Row],[Phone]],"-","")</f>
        <v>8632397912</v>
      </c>
      <c r="AA973" t="str">
        <f>TRIM(PROPER(Before_Tbl[[#This Row],[Performance_Score]]))</f>
        <v>Average</v>
      </c>
      <c r="AB973" s="2" t="str">
        <f>TRIM(UPPER(Before_Tbl[[#This Row],[Remote_Work]]))</f>
        <v>FALSE</v>
      </c>
    </row>
    <row r="974" spans="1:28" x14ac:dyDescent="0.35">
      <c r="A974" t="s">
        <v>1565</v>
      </c>
      <c r="B974" t="s">
        <v>13</v>
      </c>
      <c r="C974" t="s">
        <v>122</v>
      </c>
      <c r="E974" t="s">
        <v>112</v>
      </c>
      <c r="F974" t="s">
        <v>16</v>
      </c>
      <c r="G974" t="s">
        <v>1566</v>
      </c>
      <c r="H974">
        <v>96346.53</v>
      </c>
      <c r="I974" t="s">
        <v>123</v>
      </c>
      <c r="J974">
        <v>-7876553006</v>
      </c>
      <c r="K974" t="s">
        <v>18</v>
      </c>
      <c r="L974" t="b">
        <v>1</v>
      </c>
      <c r="P974" t="str">
        <f>TRIM(Before_Tbl[[#This Row],[Employee_ID]])</f>
        <v>EMP1972</v>
      </c>
      <c r="Q974" t="str">
        <f>TRIM(PROPER(Before_Tbl[[#This Row],[First_Name]]))</f>
        <v>Bob</v>
      </c>
      <c r="R974" t="str">
        <f>TRIM(PROPER(Before_Tbl[[#This Row],[Last_Name]]))</f>
        <v>Smith</v>
      </c>
      <c r="S974" s="25">
        <f t="shared" si="15"/>
        <v>30</v>
      </c>
      <c r="T974" t="str">
        <f>LEFT(Before_Tbl[[#This Row],[Department_Region]],FIND("-",Before_Tbl[[#This Row],[Department_Region]])-1)</f>
        <v>Finance</v>
      </c>
      <c r="U974" t="str">
        <f>RIGHT(Before_Tbl[[#This Row],[Department_Region]],LEN(Before_Tbl[[#This Row],[Department_Region]])-FIND("-",Before_Tbl[[#This Row],[Department_Region]]))</f>
        <v>Florida</v>
      </c>
      <c r="V974" t="str">
        <f>TRIM(PROPER(Before_Tbl[[#This Row],[Status]]))</f>
        <v>Active</v>
      </c>
      <c r="W974" s="26">
        <v>44432</v>
      </c>
      <c r="X974" s="4">
        <v>96346.53</v>
      </c>
      <c r="Y974" t="str">
        <f>TRIM(LOWER(Before_Tbl[[#This Row],[Email]]))</f>
        <v>bob.smith@example.com</v>
      </c>
      <c r="Z974" s="2" t="str">
        <f>SUBSTITUTE(Before_Tbl[[#This Row],[Phone]],"-","")</f>
        <v>7876553006</v>
      </c>
      <c r="AA974" t="str">
        <f>TRIM(PROPER(Before_Tbl[[#This Row],[Performance_Score]]))</f>
        <v>Average</v>
      </c>
      <c r="AB974" s="2" t="str">
        <f>TRIM(UPPER(Before_Tbl[[#This Row],[Remote_Work]]))</f>
        <v>TRUE</v>
      </c>
    </row>
    <row r="975" spans="1:28" x14ac:dyDescent="0.35">
      <c r="A975" t="s">
        <v>1567</v>
      </c>
      <c r="B975" t="s">
        <v>32</v>
      </c>
      <c r="C975" t="s">
        <v>38</v>
      </c>
      <c r="E975" t="s">
        <v>192</v>
      </c>
      <c r="F975" t="s">
        <v>28</v>
      </c>
      <c r="G975" s="1">
        <v>43984</v>
      </c>
      <c r="H975">
        <v>116680.63</v>
      </c>
      <c r="I975" t="s">
        <v>141</v>
      </c>
      <c r="J975">
        <v>-3095055604</v>
      </c>
      <c r="K975" t="s">
        <v>23</v>
      </c>
      <c r="L975" t="b">
        <v>1</v>
      </c>
      <c r="P975" t="str">
        <f>TRIM(Before_Tbl[[#This Row],[Employee_ID]])</f>
        <v>EMP1973</v>
      </c>
      <c r="Q975" t="str">
        <f>TRIM(PROPER(Before_Tbl[[#This Row],[First_Name]]))</f>
        <v>Eva</v>
      </c>
      <c r="R975" t="str">
        <f>TRIM(PROPER(Before_Tbl[[#This Row],[Last_Name]]))</f>
        <v>Williams</v>
      </c>
      <c r="S975" s="25">
        <f t="shared" si="15"/>
        <v>30</v>
      </c>
      <c r="T975" t="str">
        <f>LEFT(Before_Tbl[[#This Row],[Department_Region]],FIND("-",Before_Tbl[[#This Row],[Department_Region]])-1)</f>
        <v>HR</v>
      </c>
      <c r="U975" t="str">
        <f>RIGHT(Before_Tbl[[#This Row],[Department_Region]],LEN(Before_Tbl[[#This Row],[Department_Region]])-FIND("-",Before_Tbl[[#This Row],[Department_Region]]))</f>
        <v>Illinois</v>
      </c>
      <c r="V975" t="str">
        <f>TRIM(PROPER(Before_Tbl[[#This Row],[Status]]))</f>
        <v>Pending</v>
      </c>
      <c r="W975" s="26">
        <v>43984</v>
      </c>
      <c r="X975" s="4">
        <v>116680.63</v>
      </c>
      <c r="Y975" t="str">
        <f>TRIM(LOWER(Before_Tbl[[#This Row],[Email]]))</f>
        <v>eva.williams@example.com</v>
      </c>
      <c r="Z975" s="2" t="str">
        <f>SUBSTITUTE(Before_Tbl[[#This Row],[Phone]],"-","")</f>
        <v>3095055604</v>
      </c>
      <c r="AA975" t="str">
        <f>TRIM(PROPER(Before_Tbl[[#This Row],[Performance_Score]]))</f>
        <v>Excellent</v>
      </c>
      <c r="AB975" s="2" t="str">
        <f>TRIM(UPPER(Before_Tbl[[#This Row],[Remote_Work]]))</f>
        <v>TRUE</v>
      </c>
    </row>
    <row r="976" spans="1:28" x14ac:dyDescent="0.35">
      <c r="A976" t="s">
        <v>1568</v>
      </c>
      <c r="B976" t="s">
        <v>69</v>
      </c>
      <c r="C976" t="s">
        <v>20</v>
      </c>
      <c r="D976">
        <v>25</v>
      </c>
      <c r="E976" t="s">
        <v>112</v>
      </c>
      <c r="F976" t="s">
        <v>33</v>
      </c>
      <c r="G976" s="1">
        <v>45636</v>
      </c>
      <c r="H976">
        <v>76343.56</v>
      </c>
      <c r="I976" t="s">
        <v>201</v>
      </c>
      <c r="J976">
        <v>-7121988191</v>
      </c>
      <c r="K976" t="s">
        <v>23</v>
      </c>
      <c r="L976" t="b">
        <v>0</v>
      </c>
      <c r="P976" t="str">
        <f>TRIM(Before_Tbl[[#This Row],[Employee_ID]])</f>
        <v>EMP1974</v>
      </c>
      <c r="Q976" t="str">
        <f>TRIM(PROPER(Before_Tbl[[#This Row],[First_Name]]))</f>
        <v>Grace</v>
      </c>
      <c r="R976" t="str">
        <f>TRIM(PROPER(Before_Tbl[[#This Row],[Last_Name]]))</f>
        <v>Brown</v>
      </c>
      <c r="S976" s="25">
        <f t="shared" si="15"/>
        <v>25</v>
      </c>
      <c r="T976" t="str">
        <f>LEFT(Before_Tbl[[#This Row],[Department_Region]],FIND("-",Before_Tbl[[#This Row],[Department_Region]])-1)</f>
        <v>Finance</v>
      </c>
      <c r="U976" t="str">
        <f>RIGHT(Before_Tbl[[#This Row],[Department_Region]],LEN(Before_Tbl[[#This Row],[Department_Region]])-FIND("-",Before_Tbl[[#This Row],[Department_Region]]))</f>
        <v>Florida</v>
      </c>
      <c r="V976" t="str">
        <f>TRIM(PROPER(Before_Tbl[[#This Row],[Status]]))</f>
        <v>Inactive</v>
      </c>
      <c r="W976" s="26">
        <v>45636</v>
      </c>
      <c r="X976" s="4">
        <v>76343.56</v>
      </c>
      <c r="Y976" t="str">
        <f>TRIM(LOWER(Before_Tbl[[#This Row],[Email]]))</f>
        <v>grace.brown@example.com</v>
      </c>
      <c r="Z976" s="2" t="str">
        <f>SUBSTITUTE(Before_Tbl[[#This Row],[Phone]],"-","")</f>
        <v>7121988191</v>
      </c>
      <c r="AA976" t="str">
        <f>TRIM(PROPER(Before_Tbl[[#This Row],[Performance_Score]]))</f>
        <v>Excellent</v>
      </c>
      <c r="AB976" s="2" t="str">
        <f>TRIM(UPPER(Before_Tbl[[#This Row],[Remote_Work]]))</f>
        <v>FALSE</v>
      </c>
    </row>
    <row r="977" spans="1:28" x14ac:dyDescent="0.35">
      <c r="A977" t="s">
        <v>1569</v>
      </c>
      <c r="B977" t="s">
        <v>25</v>
      </c>
      <c r="C977" t="s">
        <v>55</v>
      </c>
      <c r="D977">
        <v>30</v>
      </c>
      <c r="E977" t="s">
        <v>219</v>
      </c>
      <c r="F977" t="s">
        <v>33</v>
      </c>
      <c r="G977" t="s">
        <v>1285</v>
      </c>
      <c r="H977">
        <v>99424.14</v>
      </c>
      <c r="I977" t="s">
        <v>150</v>
      </c>
      <c r="J977">
        <v>-7788519052</v>
      </c>
      <c r="K977" t="s">
        <v>23</v>
      </c>
      <c r="L977" t="b">
        <v>0</v>
      </c>
      <c r="P977" t="str">
        <f>TRIM(Before_Tbl[[#This Row],[Employee_ID]])</f>
        <v>EMP1975</v>
      </c>
      <c r="Q977" t="str">
        <f>TRIM(PROPER(Before_Tbl[[#This Row],[First_Name]]))</f>
        <v>Alice</v>
      </c>
      <c r="R977" t="str">
        <f>TRIM(PROPER(Before_Tbl[[#This Row],[Last_Name]]))</f>
        <v>Johnson</v>
      </c>
      <c r="S977" s="25">
        <f t="shared" si="15"/>
        <v>30</v>
      </c>
      <c r="T977" t="str">
        <f>LEFT(Before_Tbl[[#This Row],[Department_Region]],FIND("-",Before_Tbl[[#This Row],[Department_Region]])-1)</f>
        <v>Sales</v>
      </c>
      <c r="U977" t="str">
        <f>RIGHT(Before_Tbl[[#This Row],[Department_Region]],LEN(Before_Tbl[[#This Row],[Department_Region]])-FIND("-",Before_Tbl[[#This Row],[Department_Region]]))</f>
        <v>Nevada</v>
      </c>
      <c r="V977" t="str">
        <f>TRIM(PROPER(Before_Tbl[[#This Row],[Status]]))</f>
        <v>Inactive</v>
      </c>
      <c r="W977" s="26">
        <v>45642</v>
      </c>
      <c r="X977" s="4">
        <v>99424.14</v>
      </c>
      <c r="Y977" t="str">
        <f>TRIM(LOWER(Before_Tbl[[#This Row],[Email]]))</f>
        <v>alice.johnson@example.com</v>
      </c>
      <c r="Z977" s="2" t="str">
        <f>SUBSTITUTE(Before_Tbl[[#This Row],[Phone]],"-","")</f>
        <v>7788519052</v>
      </c>
      <c r="AA977" t="str">
        <f>TRIM(PROPER(Before_Tbl[[#This Row],[Performance_Score]]))</f>
        <v>Excellent</v>
      </c>
      <c r="AB977" s="2" t="str">
        <f>TRIM(UPPER(Before_Tbl[[#This Row],[Remote_Work]]))</f>
        <v>FALSE</v>
      </c>
    </row>
    <row r="978" spans="1:28" x14ac:dyDescent="0.35">
      <c r="A978" t="s">
        <v>1570</v>
      </c>
      <c r="B978" t="s">
        <v>54</v>
      </c>
      <c r="C978" t="s">
        <v>43</v>
      </c>
      <c r="D978">
        <v>35</v>
      </c>
      <c r="E978" t="s">
        <v>230</v>
      </c>
      <c r="F978" t="s">
        <v>33</v>
      </c>
      <c r="G978" t="s">
        <v>1571</v>
      </c>
      <c r="H978">
        <v>57656.74</v>
      </c>
      <c r="I978" t="s">
        <v>87</v>
      </c>
      <c r="J978">
        <v>-4864010423</v>
      </c>
      <c r="K978" t="s">
        <v>30</v>
      </c>
      <c r="L978" t="b">
        <v>1</v>
      </c>
      <c r="P978" t="str">
        <f>TRIM(Before_Tbl[[#This Row],[Employee_ID]])</f>
        <v>EMP1976</v>
      </c>
      <c r="Q978" t="str">
        <f>TRIM(PROPER(Before_Tbl[[#This Row],[First_Name]]))</f>
        <v>Charlie</v>
      </c>
      <c r="R978" t="str">
        <f>TRIM(PROPER(Before_Tbl[[#This Row],[Last_Name]]))</f>
        <v>Garcia</v>
      </c>
      <c r="S978" s="25">
        <f t="shared" si="15"/>
        <v>35</v>
      </c>
      <c r="T978" t="str">
        <f>LEFT(Before_Tbl[[#This Row],[Department_Region]],FIND("-",Before_Tbl[[#This Row],[Department_Region]])-1)</f>
        <v>DevOps</v>
      </c>
      <c r="U978" t="str">
        <f>RIGHT(Before_Tbl[[#This Row],[Department_Region]],LEN(Before_Tbl[[#This Row],[Department_Region]])-FIND("-",Before_Tbl[[#This Row],[Department_Region]]))</f>
        <v>Florida</v>
      </c>
      <c r="V978" t="str">
        <f>TRIM(PROPER(Before_Tbl[[#This Row],[Status]]))</f>
        <v>Inactive</v>
      </c>
      <c r="W978" s="26">
        <v>45395</v>
      </c>
      <c r="X978" s="4">
        <v>57656.74</v>
      </c>
      <c r="Y978" t="str">
        <f>TRIM(LOWER(Before_Tbl[[#This Row],[Email]]))</f>
        <v>charlie.garcia@example.com</v>
      </c>
      <c r="Z978" s="2" t="str">
        <f>SUBSTITUTE(Before_Tbl[[#This Row],[Phone]],"-","")</f>
        <v>4864010423</v>
      </c>
      <c r="AA978" t="str">
        <f>TRIM(PROPER(Before_Tbl[[#This Row],[Performance_Score]]))</f>
        <v>Good</v>
      </c>
      <c r="AB978" s="2" t="str">
        <f>TRIM(UPPER(Before_Tbl[[#This Row],[Remote_Work]]))</f>
        <v>TRUE</v>
      </c>
    </row>
    <row r="979" spans="1:28" x14ac:dyDescent="0.35">
      <c r="A979" t="s">
        <v>1572</v>
      </c>
      <c r="B979" t="s">
        <v>65</v>
      </c>
      <c r="C979" t="s">
        <v>43</v>
      </c>
      <c r="D979">
        <v>40</v>
      </c>
      <c r="E979" t="s">
        <v>109</v>
      </c>
      <c r="F979" t="s">
        <v>28</v>
      </c>
      <c r="G979" t="s">
        <v>658</v>
      </c>
      <c r="H979">
        <v>77396.94</v>
      </c>
      <c r="I979" t="s">
        <v>257</v>
      </c>
      <c r="J979">
        <v>-6245618516</v>
      </c>
      <c r="K979" t="s">
        <v>23</v>
      </c>
      <c r="L979" t="b">
        <v>1</v>
      </c>
      <c r="P979" t="str">
        <f>TRIM(Before_Tbl[[#This Row],[Employee_ID]])</f>
        <v>EMP1977</v>
      </c>
      <c r="Q979" t="str">
        <f>TRIM(PROPER(Before_Tbl[[#This Row],[First_Name]]))</f>
        <v>Heidi</v>
      </c>
      <c r="R979" t="str">
        <f>TRIM(PROPER(Before_Tbl[[#This Row],[Last_Name]]))</f>
        <v>Garcia</v>
      </c>
      <c r="S979" s="25">
        <f t="shared" si="15"/>
        <v>40</v>
      </c>
      <c r="T979" t="str">
        <f>LEFT(Before_Tbl[[#This Row],[Department_Region]],FIND("-",Before_Tbl[[#This Row],[Department_Region]])-1)</f>
        <v>Sales</v>
      </c>
      <c r="U979" t="str">
        <f>RIGHT(Before_Tbl[[#This Row],[Department_Region]],LEN(Before_Tbl[[#This Row],[Department_Region]])-FIND("-",Before_Tbl[[#This Row],[Department_Region]]))</f>
        <v>New York</v>
      </c>
      <c r="V979" t="str">
        <f>TRIM(PROPER(Before_Tbl[[#This Row],[Status]]))</f>
        <v>Pending</v>
      </c>
      <c r="W979" s="26">
        <v>43945</v>
      </c>
      <c r="X979" s="4">
        <v>77396.94</v>
      </c>
      <c r="Y979" t="str">
        <f>TRIM(LOWER(Before_Tbl[[#This Row],[Email]]))</f>
        <v>heidi.garcia@example.com</v>
      </c>
      <c r="Z979" s="2" t="str">
        <f>SUBSTITUTE(Before_Tbl[[#This Row],[Phone]],"-","")</f>
        <v>6245618516</v>
      </c>
      <c r="AA979" t="str">
        <f>TRIM(PROPER(Before_Tbl[[#This Row],[Performance_Score]]))</f>
        <v>Excellent</v>
      </c>
      <c r="AB979" s="2" t="str">
        <f>TRIM(UPPER(Before_Tbl[[#This Row],[Remote_Work]]))</f>
        <v>TRUE</v>
      </c>
    </row>
    <row r="980" spans="1:28" x14ac:dyDescent="0.35">
      <c r="A980" t="s">
        <v>1573</v>
      </c>
      <c r="B980" t="s">
        <v>69</v>
      </c>
      <c r="C980" t="s">
        <v>43</v>
      </c>
      <c r="E980" t="s">
        <v>15</v>
      </c>
      <c r="F980" t="s">
        <v>33</v>
      </c>
      <c r="G980" t="s">
        <v>1574</v>
      </c>
      <c r="H980">
        <v>54299.68</v>
      </c>
      <c r="I980" t="s">
        <v>83</v>
      </c>
      <c r="J980">
        <v>-4460045211</v>
      </c>
      <c r="K980" t="s">
        <v>18</v>
      </c>
      <c r="L980" t="b">
        <v>0</v>
      </c>
      <c r="P980" t="str">
        <f>TRIM(Before_Tbl[[#This Row],[Employee_ID]])</f>
        <v>EMP1978</v>
      </c>
      <c r="Q980" t="str">
        <f>TRIM(PROPER(Before_Tbl[[#This Row],[First_Name]]))</f>
        <v>Grace</v>
      </c>
      <c r="R980" t="str">
        <f>TRIM(PROPER(Before_Tbl[[#This Row],[Last_Name]]))</f>
        <v>Garcia</v>
      </c>
      <c r="S980" s="25">
        <f t="shared" si="15"/>
        <v>30</v>
      </c>
      <c r="T980" t="str">
        <f>LEFT(Before_Tbl[[#This Row],[Department_Region]],FIND("-",Before_Tbl[[#This Row],[Department_Region]])-1)</f>
        <v>DevOps</v>
      </c>
      <c r="U980" t="str">
        <f>RIGHT(Before_Tbl[[#This Row],[Department_Region]],LEN(Before_Tbl[[#This Row],[Department_Region]])-FIND("-",Before_Tbl[[#This Row],[Department_Region]]))</f>
        <v>California</v>
      </c>
      <c r="V980" t="str">
        <f>TRIM(PROPER(Before_Tbl[[#This Row],[Status]]))</f>
        <v>Inactive</v>
      </c>
      <c r="W980" s="26">
        <v>44487</v>
      </c>
      <c r="X980" s="4">
        <v>54299.68</v>
      </c>
      <c r="Y980" t="str">
        <f>TRIM(LOWER(Before_Tbl[[#This Row],[Email]]))</f>
        <v>grace.garcia@example.com</v>
      </c>
      <c r="Z980" s="2" t="str">
        <f>SUBSTITUTE(Before_Tbl[[#This Row],[Phone]],"-","")</f>
        <v>4460045211</v>
      </c>
      <c r="AA980" t="str">
        <f>TRIM(PROPER(Before_Tbl[[#This Row],[Performance_Score]]))</f>
        <v>Average</v>
      </c>
      <c r="AB980" s="2" t="str">
        <f>TRIM(UPPER(Before_Tbl[[#This Row],[Remote_Work]]))</f>
        <v>FALSE</v>
      </c>
    </row>
    <row r="981" spans="1:28" x14ac:dyDescent="0.35">
      <c r="A981" t="s">
        <v>1575</v>
      </c>
      <c r="B981" t="s">
        <v>54</v>
      </c>
      <c r="C981" t="s">
        <v>92</v>
      </c>
      <c r="D981">
        <v>35</v>
      </c>
      <c r="E981" t="s">
        <v>149</v>
      </c>
      <c r="F981" t="s">
        <v>28</v>
      </c>
      <c r="G981" t="s">
        <v>1576</v>
      </c>
      <c r="H981">
        <v>103563.58</v>
      </c>
      <c r="I981" t="s">
        <v>502</v>
      </c>
      <c r="J981">
        <v>-8991511454</v>
      </c>
      <c r="K981" t="s">
        <v>23</v>
      </c>
      <c r="L981" t="b">
        <v>1</v>
      </c>
      <c r="P981" t="str">
        <f>TRIM(Before_Tbl[[#This Row],[Employee_ID]])</f>
        <v>EMP1979</v>
      </c>
      <c r="Q981" t="str">
        <f>TRIM(PROPER(Before_Tbl[[#This Row],[First_Name]]))</f>
        <v>Charlie</v>
      </c>
      <c r="R981" t="str">
        <f>TRIM(PROPER(Before_Tbl[[#This Row],[Last_Name]]))</f>
        <v>Miller</v>
      </c>
      <c r="S981" s="25">
        <f t="shared" si="15"/>
        <v>35</v>
      </c>
      <c r="T981" t="str">
        <f>LEFT(Before_Tbl[[#This Row],[Department_Region]],FIND("-",Before_Tbl[[#This Row],[Department_Region]])-1)</f>
        <v>HR</v>
      </c>
      <c r="U981" t="str">
        <f>RIGHT(Before_Tbl[[#This Row],[Department_Region]],LEN(Before_Tbl[[#This Row],[Department_Region]])-FIND("-",Before_Tbl[[#This Row],[Department_Region]]))</f>
        <v>Nevada</v>
      </c>
      <c r="V981" t="str">
        <f>TRIM(PROPER(Before_Tbl[[#This Row],[Status]]))</f>
        <v>Pending</v>
      </c>
      <c r="W981" s="26">
        <v>43886</v>
      </c>
      <c r="X981" s="4">
        <v>103563.58</v>
      </c>
      <c r="Y981" t="str">
        <f>TRIM(LOWER(Before_Tbl[[#This Row],[Email]]))</f>
        <v>charlie.miller@example.com</v>
      </c>
      <c r="Z981" s="2" t="str">
        <f>SUBSTITUTE(Before_Tbl[[#This Row],[Phone]],"-","")</f>
        <v>8991511454</v>
      </c>
      <c r="AA981" t="str">
        <f>TRIM(PROPER(Before_Tbl[[#This Row],[Performance_Score]]))</f>
        <v>Excellent</v>
      </c>
      <c r="AB981" s="2" t="str">
        <f>TRIM(UPPER(Before_Tbl[[#This Row],[Remote_Work]]))</f>
        <v>TRUE</v>
      </c>
    </row>
    <row r="982" spans="1:28" x14ac:dyDescent="0.35">
      <c r="A982" t="s">
        <v>1577</v>
      </c>
      <c r="B982" t="s">
        <v>69</v>
      </c>
      <c r="C982" t="s">
        <v>20</v>
      </c>
      <c r="D982">
        <v>25</v>
      </c>
      <c r="E982" t="s">
        <v>70</v>
      </c>
      <c r="F982" t="s">
        <v>33</v>
      </c>
      <c r="G982" t="s">
        <v>754</v>
      </c>
      <c r="H982">
        <v>74588.850000000006</v>
      </c>
      <c r="I982" t="s">
        <v>201</v>
      </c>
      <c r="J982">
        <v>-1293913043</v>
      </c>
      <c r="K982" t="s">
        <v>18</v>
      </c>
      <c r="L982" t="b">
        <v>0</v>
      </c>
      <c r="P982" t="str">
        <f>TRIM(Before_Tbl[[#This Row],[Employee_ID]])</f>
        <v>EMP1980</v>
      </c>
      <c r="Q982" t="str">
        <f>TRIM(PROPER(Before_Tbl[[#This Row],[First_Name]]))</f>
        <v>Grace</v>
      </c>
      <c r="R982" t="str">
        <f>TRIM(PROPER(Before_Tbl[[#This Row],[Last_Name]]))</f>
        <v>Brown</v>
      </c>
      <c r="S982" s="25">
        <f t="shared" si="15"/>
        <v>25</v>
      </c>
      <c r="T982" t="str">
        <f>LEFT(Before_Tbl[[#This Row],[Department_Region]],FIND("-",Before_Tbl[[#This Row],[Department_Region]])-1)</f>
        <v>Finance</v>
      </c>
      <c r="U982" t="str">
        <f>RIGHT(Before_Tbl[[#This Row],[Department_Region]],LEN(Before_Tbl[[#This Row],[Department_Region]])-FIND("-",Before_Tbl[[#This Row],[Department_Region]]))</f>
        <v>California</v>
      </c>
      <c r="V982" t="str">
        <f>TRIM(PROPER(Before_Tbl[[#This Row],[Status]]))</f>
        <v>Inactive</v>
      </c>
      <c r="W982" s="26">
        <v>44674</v>
      </c>
      <c r="X982" s="4">
        <v>74588.850000000006</v>
      </c>
      <c r="Y982" t="str">
        <f>TRIM(LOWER(Before_Tbl[[#This Row],[Email]]))</f>
        <v>grace.brown@example.com</v>
      </c>
      <c r="Z982" s="2" t="str">
        <f>SUBSTITUTE(Before_Tbl[[#This Row],[Phone]],"-","")</f>
        <v>1293913043</v>
      </c>
      <c r="AA982" t="str">
        <f>TRIM(PROPER(Before_Tbl[[#This Row],[Performance_Score]]))</f>
        <v>Average</v>
      </c>
      <c r="AB982" s="2" t="str">
        <f>TRIM(UPPER(Before_Tbl[[#This Row],[Remote_Work]]))</f>
        <v>FALSE</v>
      </c>
    </row>
    <row r="983" spans="1:28" x14ac:dyDescent="0.35">
      <c r="A983" t="s">
        <v>1578</v>
      </c>
      <c r="B983" t="s">
        <v>59</v>
      </c>
      <c r="C983" t="s">
        <v>43</v>
      </c>
      <c r="D983">
        <v>30</v>
      </c>
      <c r="E983" t="s">
        <v>15</v>
      </c>
      <c r="F983" t="s">
        <v>28</v>
      </c>
      <c r="G983" t="s">
        <v>1579</v>
      </c>
      <c r="H983">
        <v>113727.23</v>
      </c>
      <c r="I983" t="s">
        <v>101</v>
      </c>
      <c r="J983">
        <v>-8818984840</v>
      </c>
      <c r="K983" t="s">
        <v>41</v>
      </c>
      <c r="L983" t="b">
        <v>0</v>
      </c>
      <c r="P983" t="str">
        <f>TRIM(Before_Tbl[[#This Row],[Employee_ID]])</f>
        <v>EMP1981</v>
      </c>
      <c r="Q983" t="str">
        <f>TRIM(PROPER(Before_Tbl[[#This Row],[First_Name]]))</f>
        <v>David</v>
      </c>
      <c r="R983" t="str">
        <f>TRIM(PROPER(Before_Tbl[[#This Row],[Last_Name]]))</f>
        <v>Garcia</v>
      </c>
      <c r="S983" s="25">
        <f t="shared" si="15"/>
        <v>30</v>
      </c>
      <c r="T983" t="str">
        <f>LEFT(Before_Tbl[[#This Row],[Department_Region]],FIND("-",Before_Tbl[[#This Row],[Department_Region]])-1)</f>
        <v>DevOps</v>
      </c>
      <c r="U983" t="str">
        <f>RIGHT(Before_Tbl[[#This Row],[Department_Region]],LEN(Before_Tbl[[#This Row],[Department_Region]])-FIND("-",Before_Tbl[[#This Row],[Department_Region]]))</f>
        <v>California</v>
      </c>
      <c r="V983" t="str">
        <f>TRIM(PROPER(Before_Tbl[[#This Row],[Status]]))</f>
        <v>Pending</v>
      </c>
      <c r="W983" s="26">
        <v>44004</v>
      </c>
      <c r="X983" s="4">
        <v>113727.23</v>
      </c>
      <c r="Y983" t="str">
        <f>TRIM(LOWER(Before_Tbl[[#This Row],[Email]]))</f>
        <v>david.garcia@example.com</v>
      </c>
      <c r="Z983" s="2" t="str">
        <f>SUBSTITUTE(Before_Tbl[[#This Row],[Phone]],"-","")</f>
        <v>8818984840</v>
      </c>
      <c r="AA983" t="str">
        <f>TRIM(PROPER(Before_Tbl[[#This Row],[Performance_Score]]))</f>
        <v>Poor</v>
      </c>
      <c r="AB983" s="2" t="str">
        <f>TRIM(UPPER(Before_Tbl[[#This Row],[Remote_Work]]))</f>
        <v>FALSE</v>
      </c>
    </row>
    <row r="984" spans="1:28" x14ac:dyDescent="0.35">
      <c r="A984" t="s">
        <v>1580</v>
      </c>
      <c r="B984" t="s">
        <v>32</v>
      </c>
      <c r="C984" t="s">
        <v>20</v>
      </c>
      <c r="D984">
        <v>25</v>
      </c>
      <c r="E984" t="s">
        <v>66</v>
      </c>
      <c r="F984" t="s">
        <v>16</v>
      </c>
      <c r="G984" s="1">
        <v>45108</v>
      </c>
      <c r="H984">
        <v>72828.179999999993</v>
      </c>
      <c r="I984" t="s">
        <v>155</v>
      </c>
      <c r="J984">
        <v>-6046154020</v>
      </c>
      <c r="K984" t="s">
        <v>30</v>
      </c>
      <c r="L984" t="b">
        <v>0</v>
      </c>
      <c r="P984" t="str">
        <f>TRIM(Before_Tbl[[#This Row],[Employee_ID]])</f>
        <v>EMP1982</v>
      </c>
      <c r="Q984" t="str">
        <f>TRIM(PROPER(Before_Tbl[[#This Row],[First_Name]]))</f>
        <v>Eva</v>
      </c>
      <c r="R984" t="str">
        <f>TRIM(PROPER(Before_Tbl[[#This Row],[Last_Name]]))</f>
        <v>Brown</v>
      </c>
      <c r="S984" s="25">
        <f t="shared" si="15"/>
        <v>25</v>
      </c>
      <c r="T984" t="str">
        <f>LEFT(Before_Tbl[[#This Row],[Department_Region]],FIND("-",Before_Tbl[[#This Row],[Department_Region]])-1)</f>
        <v>HR</v>
      </c>
      <c r="U984" t="str">
        <f>RIGHT(Before_Tbl[[#This Row],[Department_Region]],LEN(Before_Tbl[[#This Row],[Department_Region]])-FIND("-",Before_Tbl[[#This Row],[Department_Region]]))</f>
        <v>New York</v>
      </c>
      <c r="V984" t="str">
        <f>TRIM(PROPER(Before_Tbl[[#This Row],[Status]]))</f>
        <v>Active</v>
      </c>
      <c r="W984" s="26">
        <v>45108</v>
      </c>
      <c r="X984" s="4">
        <v>72828.179999999993</v>
      </c>
      <c r="Y984" t="str">
        <f>TRIM(LOWER(Before_Tbl[[#This Row],[Email]]))</f>
        <v>eva.brown@example.com</v>
      </c>
      <c r="Z984" s="2" t="str">
        <f>SUBSTITUTE(Before_Tbl[[#This Row],[Phone]],"-","")</f>
        <v>6046154020</v>
      </c>
      <c r="AA984" t="str">
        <f>TRIM(PROPER(Before_Tbl[[#This Row],[Performance_Score]]))</f>
        <v>Good</v>
      </c>
      <c r="AB984" s="2" t="str">
        <f>TRIM(UPPER(Before_Tbl[[#This Row],[Remote_Work]]))</f>
        <v>FALSE</v>
      </c>
    </row>
    <row r="985" spans="1:28" x14ac:dyDescent="0.35">
      <c r="A985" t="s">
        <v>1581</v>
      </c>
      <c r="B985" t="s">
        <v>69</v>
      </c>
      <c r="C985" t="s">
        <v>26</v>
      </c>
      <c r="E985" t="s">
        <v>74</v>
      </c>
      <c r="F985" t="s">
        <v>33</v>
      </c>
      <c r="G985" s="1">
        <v>44137</v>
      </c>
      <c r="H985">
        <v>98717.09</v>
      </c>
      <c r="I985" t="s">
        <v>76</v>
      </c>
      <c r="J985">
        <v>-1901707567</v>
      </c>
      <c r="K985" t="s">
        <v>41</v>
      </c>
      <c r="L985" t="b">
        <v>0</v>
      </c>
      <c r="P985" t="str">
        <f>TRIM(Before_Tbl[[#This Row],[Employee_ID]])</f>
        <v>EMP1983</v>
      </c>
      <c r="Q985" t="str">
        <f>TRIM(PROPER(Before_Tbl[[#This Row],[First_Name]]))</f>
        <v>Grace</v>
      </c>
      <c r="R985" t="str">
        <f>TRIM(PROPER(Before_Tbl[[#This Row],[Last_Name]]))</f>
        <v>Jones</v>
      </c>
      <c r="S985" s="25">
        <f t="shared" si="15"/>
        <v>30</v>
      </c>
      <c r="T985" t="str">
        <f>LEFT(Before_Tbl[[#This Row],[Department_Region]],FIND("-",Before_Tbl[[#This Row],[Department_Region]])-1)</f>
        <v>Sales</v>
      </c>
      <c r="U985" t="str">
        <f>RIGHT(Before_Tbl[[#This Row],[Department_Region]],LEN(Before_Tbl[[#This Row],[Department_Region]])-FIND("-",Before_Tbl[[#This Row],[Department_Region]]))</f>
        <v>Florida</v>
      </c>
      <c r="V985" t="str">
        <f>TRIM(PROPER(Before_Tbl[[#This Row],[Status]]))</f>
        <v>Inactive</v>
      </c>
      <c r="W985" s="26">
        <v>44137</v>
      </c>
      <c r="X985" s="4">
        <v>98717.09</v>
      </c>
      <c r="Y985" t="str">
        <f>TRIM(LOWER(Before_Tbl[[#This Row],[Email]]))</f>
        <v>grace.jones@example.com</v>
      </c>
      <c r="Z985" s="2" t="str">
        <f>SUBSTITUTE(Before_Tbl[[#This Row],[Phone]],"-","")</f>
        <v>1901707567</v>
      </c>
      <c r="AA985" t="str">
        <f>TRIM(PROPER(Before_Tbl[[#This Row],[Performance_Score]]))</f>
        <v>Poor</v>
      </c>
      <c r="AB985" s="2" t="str">
        <f>TRIM(UPPER(Before_Tbl[[#This Row],[Remote_Work]]))</f>
        <v>FALSE</v>
      </c>
    </row>
    <row r="986" spans="1:28" x14ac:dyDescent="0.35">
      <c r="A986" t="s">
        <v>1582</v>
      </c>
      <c r="B986" t="s">
        <v>37</v>
      </c>
      <c r="C986" t="s">
        <v>43</v>
      </c>
      <c r="D986">
        <v>40</v>
      </c>
      <c r="E986" t="s">
        <v>74</v>
      </c>
      <c r="F986" t="s">
        <v>33</v>
      </c>
      <c r="G986" t="s">
        <v>512</v>
      </c>
      <c r="H986">
        <v>56840.800000000003</v>
      </c>
      <c r="I986" t="s">
        <v>180</v>
      </c>
      <c r="J986">
        <v>-1429831521</v>
      </c>
      <c r="K986" t="s">
        <v>41</v>
      </c>
      <c r="L986" t="b">
        <v>1</v>
      </c>
      <c r="P986" t="str">
        <f>TRIM(Before_Tbl[[#This Row],[Employee_ID]])</f>
        <v>EMP1984</v>
      </c>
      <c r="Q986" t="str">
        <f>TRIM(PROPER(Before_Tbl[[#This Row],[First_Name]]))</f>
        <v>Frank</v>
      </c>
      <c r="R986" t="str">
        <f>TRIM(PROPER(Before_Tbl[[#This Row],[Last_Name]]))</f>
        <v>Garcia</v>
      </c>
      <c r="S986" s="25">
        <f t="shared" si="15"/>
        <v>40</v>
      </c>
      <c r="T986" t="str">
        <f>LEFT(Before_Tbl[[#This Row],[Department_Region]],FIND("-",Before_Tbl[[#This Row],[Department_Region]])-1)</f>
        <v>Sales</v>
      </c>
      <c r="U986" t="str">
        <f>RIGHT(Before_Tbl[[#This Row],[Department_Region]],LEN(Before_Tbl[[#This Row],[Department_Region]])-FIND("-",Before_Tbl[[#This Row],[Department_Region]]))</f>
        <v>Florida</v>
      </c>
      <c r="V986" t="str">
        <f>TRIM(PROPER(Before_Tbl[[#This Row],[Status]]))</f>
        <v>Inactive</v>
      </c>
      <c r="W986" s="26">
        <v>45003</v>
      </c>
      <c r="X986" s="4">
        <v>56840.800000000003</v>
      </c>
      <c r="Y986" t="str">
        <f>TRIM(LOWER(Before_Tbl[[#This Row],[Email]]))</f>
        <v>frank.garcia@example.com</v>
      </c>
      <c r="Z986" s="2" t="str">
        <f>SUBSTITUTE(Before_Tbl[[#This Row],[Phone]],"-","")</f>
        <v>1429831521</v>
      </c>
      <c r="AA986" t="str">
        <f>TRIM(PROPER(Before_Tbl[[#This Row],[Performance_Score]]))</f>
        <v>Poor</v>
      </c>
      <c r="AB986" s="2" t="str">
        <f>TRIM(UPPER(Before_Tbl[[#This Row],[Remote_Work]]))</f>
        <v>TRUE</v>
      </c>
    </row>
    <row r="987" spans="1:28" x14ac:dyDescent="0.35">
      <c r="A987" t="s">
        <v>1583</v>
      </c>
      <c r="B987" t="s">
        <v>59</v>
      </c>
      <c r="C987" t="s">
        <v>55</v>
      </c>
      <c r="D987">
        <v>35</v>
      </c>
      <c r="E987" t="s">
        <v>265</v>
      </c>
      <c r="F987" t="s">
        <v>28</v>
      </c>
      <c r="G987" t="s">
        <v>1584</v>
      </c>
      <c r="H987">
        <v>61663.91</v>
      </c>
      <c r="I987" t="s">
        <v>217</v>
      </c>
      <c r="J987">
        <v>-9107322835</v>
      </c>
      <c r="K987" t="s">
        <v>18</v>
      </c>
      <c r="L987" t="b">
        <v>1</v>
      </c>
      <c r="P987" t="str">
        <f>TRIM(Before_Tbl[[#This Row],[Employee_ID]])</f>
        <v>EMP1985</v>
      </c>
      <c r="Q987" t="str">
        <f>TRIM(PROPER(Before_Tbl[[#This Row],[First_Name]]))</f>
        <v>David</v>
      </c>
      <c r="R987" t="str">
        <f>TRIM(PROPER(Before_Tbl[[#This Row],[Last_Name]]))</f>
        <v>Johnson</v>
      </c>
      <c r="S987" s="25">
        <f t="shared" si="15"/>
        <v>35</v>
      </c>
      <c r="T987" t="str">
        <f>LEFT(Before_Tbl[[#This Row],[Department_Region]],FIND("-",Before_Tbl[[#This Row],[Department_Region]])-1)</f>
        <v>Finance</v>
      </c>
      <c r="U987" t="str">
        <f>RIGHT(Before_Tbl[[#This Row],[Department_Region]],LEN(Before_Tbl[[#This Row],[Department_Region]])-FIND("-",Before_Tbl[[#This Row],[Department_Region]]))</f>
        <v>Illinois</v>
      </c>
      <c r="V987" t="str">
        <f>TRIM(PROPER(Before_Tbl[[#This Row],[Status]]))</f>
        <v>Pending</v>
      </c>
      <c r="W987" s="26">
        <v>44526</v>
      </c>
      <c r="X987" s="4">
        <v>61663.91</v>
      </c>
      <c r="Y987" t="str">
        <f>TRIM(LOWER(Before_Tbl[[#This Row],[Email]]))</f>
        <v>david.johnson@example.com</v>
      </c>
      <c r="Z987" s="2" t="str">
        <f>SUBSTITUTE(Before_Tbl[[#This Row],[Phone]],"-","")</f>
        <v>9107322835</v>
      </c>
      <c r="AA987" t="str">
        <f>TRIM(PROPER(Before_Tbl[[#This Row],[Performance_Score]]))</f>
        <v>Average</v>
      </c>
      <c r="AB987" s="2" t="str">
        <f>TRIM(UPPER(Before_Tbl[[#This Row],[Remote_Work]]))</f>
        <v>TRUE</v>
      </c>
    </row>
    <row r="988" spans="1:28" x14ac:dyDescent="0.35">
      <c r="A988" t="s">
        <v>1585</v>
      </c>
      <c r="B988" t="s">
        <v>69</v>
      </c>
      <c r="C988" t="s">
        <v>20</v>
      </c>
      <c r="D988">
        <v>30</v>
      </c>
      <c r="E988" t="s">
        <v>100</v>
      </c>
      <c r="F988" t="s">
        <v>16</v>
      </c>
      <c r="G988" t="s">
        <v>1586</v>
      </c>
      <c r="H988">
        <v>109523.4</v>
      </c>
      <c r="I988" t="s">
        <v>201</v>
      </c>
      <c r="J988">
        <v>-849378305</v>
      </c>
      <c r="K988" t="s">
        <v>41</v>
      </c>
      <c r="L988" t="b">
        <v>1</v>
      </c>
      <c r="P988" t="str">
        <f>TRIM(Before_Tbl[[#This Row],[Employee_ID]])</f>
        <v>EMP1986</v>
      </c>
      <c r="Q988" t="str">
        <f>TRIM(PROPER(Before_Tbl[[#This Row],[First_Name]]))</f>
        <v>Grace</v>
      </c>
      <c r="R988" t="str">
        <f>TRIM(PROPER(Before_Tbl[[#This Row],[Last_Name]]))</f>
        <v>Brown</v>
      </c>
      <c r="S988" s="25">
        <f t="shared" si="15"/>
        <v>30</v>
      </c>
      <c r="T988" t="str">
        <f>LEFT(Before_Tbl[[#This Row],[Department_Region]],FIND("-",Before_Tbl[[#This Row],[Department_Region]])-1)</f>
        <v>Finance</v>
      </c>
      <c r="U988" t="str">
        <f>RIGHT(Before_Tbl[[#This Row],[Department_Region]],LEN(Before_Tbl[[#This Row],[Department_Region]])-FIND("-",Before_Tbl[[#This Row],[Department_Region]]))</f>
        <v>Nevada</v>
      </c>
      <c r="V988" t="str">
        <f>TRIM(PROPER(Before_Tbl[[#This Row],[Status]]))</f>
        <v>Active</v>
      </c>
      <c r="W988" s="26">
        <v>45552</v>
      </c>
      <c r="X988" s="4">
        <v>109523.4</v>
      </c>
      <c r="Y988" t="str">
        <f>TRIM(LOWER(Before_Tbl[[#This Row],[Email]]))</f>
        <v>grace.brown@example.com</v>
      </c>
      <c r="Z988" s="2" t="str">
        <f>SUBSTITUTE(Before_Tbl[[#This Row],[Phone]],"-","")</f>
        <v>849378305</v>
      </c>
      <c r="AA988" t="str">
        <f>TRIM(PROPER(Before_Tbl[[#This Row],[Performance_Score]]))</f>
        <v>Poor</v>
      </c>
      <c r="AB988" s="2" t="str">
        <f>TRIM(UPPER(Before_Tbl[[#This Row],[Remote_Work]]))</f>
        <v>TRUE</v>
      </c>
    </row>
    <row r="989" spans="1:28" x14ac:dyDescent="0.35">
      <c r="A989" t="s">
        <v>1587</v>
      </c>
      <c r="B989" t="s">
        <v>32</v>
      </c>
      <c r="C989" t="s">
        <v>20</v>
      </c>
      <c r="D989">
        <v>25</v>
      </c>
      <c r="E989" t="s">
        <v>192</v>
      </c>
      <c r="F989" t="s">
        <v>33</v>
      </c>
      <c r="G989" s="1">
        <v>45419</v>
      </c>
      <c r="H989">
        <v>65812.02</v>
      </c>
      <c r="I989" t="s">
        <v>155</v>
      </c>
      <c r="J989">
        <v>-3963845268</v>
      </c>
      <c r="K989" t="s">
        <v>18</v>
      </c>
      <c r="L989" t="b">
        <v>1</v>
      </c>
      <c r="P989" t="str">
        <f>TRIM(Before_Tbl[[#This Row],[Employee_ID]])</f>
        <v>EMP1987</v>
      </c>
      <c r="Q989" t="str">
        <f>TRIM(PROPER(Before_Tbl[[#This Row],[First_Name]]))</f>
        <v>Eva</v>
      </c>
      <c r="R989" t="str">
        <f>TRIM(PROPER(Before_Tbl[[#This Row],[Last_Name]]))</f>
        <v>Brown</v>
      </c>
      <c r="S989" s="25">
        <f t="shared" si="15"/>
        <v>25</v>
      </c>
      <c r="T989" t="str">
        <f>LEFT(Before_Tbl[[#This Row],[Department_Region]],FIND("-",Before_Tbl[[#This Row],[Department_Region]])-1)</f>
        <v>HR</v>
      </c>
      <c r="U989" t="str">
        <f>RIGHT(Before_Tbl[[#This Row],[Department_Region]],LEN(Before_Tbl[[#This Row],[Department_Region]])-FIND("-",Before_Tbl[[#This Row],[Department_Region]]))</f>
        <v>Illinois</v>
      </c>
      <c r="V989" t="str">
        <f>TRIM(PROPER(Before_Tbl[[#This Row],[Status]]))</f>
        <v>Inactive</v>
      </c>
      <c r="W989" s="26">
        <v>45419</v>
      </c>
      <c r="X989" s="4">
        <v>65812.02</v>
      </c>
      <c r="Y989" t="str">
        <f>TRIM(LOWER(Before_Tbl[[#This Row],[Email]]))</f>
        <v>eva.brown@example.com</v>
      </c>
      <c r="Z989" s="2" t="str">
        <f>SUBSTITUTE(Before_Tbl[[#This Row],[Phone]],"-","")</f>
        <v>3963845268</v>
      </c>
      <c r="AA989" t="str">
        <f>TRIM(PROPER(Before_Tbl[[#This Row],[Performance_Score]]))</f>
        <v>Average</v>
      </c>
      <c r="AB989" s="2" t="str">
        <f>TRIM(UPPER(Before_Tbl[[#This Row],[Remote_Work]]))</f>
        <v>TRUE</v>
      </c>
    </row>
    <row r="990" spans="1:28" x14ac:dyDescent="0.35">
      <c r="A990" t="s">
        <v>1588</v>
      </c>
      <c r="B990" t="s">
        <v>13</v>
      </c>
      <c r="C990" t="s">
        <v>55</v>
      </c>
      <c r="E990" t="s">
        <v>95</v>
      </c>
      <c r="F990" t="s">
        <v>33</v>
      </c>
      <c r="G990" t="s">
        <v>1589</v>
      </c>
      <c r="H990">
        <v>54708.88</v>
      </c>
      <c r="I990" t="s">
        <v>199</v>
      </c>
      <c r="J990">
        <v>-6944391648</v>
      </c>
      <c r="K990" t="s">
        <v>23</v>
      </c>
      <c r="L990" t="b">
        <v>1</v>
      </c>
      <c r="P990" t="str">
        <f>TRIM(Before_Tbl[[#This Row],[Employee_ID]])</f>
        <v>EMP1988</v>
      </c>
      <c r="Q990" t="str">
        <f>TRIM(PROPER(Before_Tbl[[#This Row],[First_Name]]))</f>
        <v>Bob</v>
      </c>
      <c r="R990" t="str">
        <f>TRIM(PROPER(Before_Tbl[[#This Row],[Last_Name]]))</f>
        <v>Johnson</v>
      </c>
      <c r="S990" s="25">
        <f t="shared" si="15"/>
        <v>30</v>
      </c>
      <c r="T990" t="str">
        <f>LEFT(Before_Tbl[[#This Row],[Department_Region]],FIND("-",Before_Tbl[[#This Row],[Department_Region]])-1)</f>
        <v>Cloud Tech</v>
      </c>
      <c r="U990" t="str">
        <f>RIGHT(Before_Tbl[[#This Row],[Department_Region]],LEN(Before_Tbl[[#This Row],[Department_Region]])-FIND("-",Before_Tbl[[#This Row],[Department_Region]]))</f>
        <v>Illinois</v>
      </c>
      <c r="V990" t="str">
        <f>TRIM(PROPER(Before_Tbl[[#This Row],[Status]]))</f>
        <v>Inactive</v>
      </c>
      <c r="W990" s="26">
        <v>44390</v>
      </c>
      <c r="X990" s="4">
        <v>54708.88</v>
      </c>
      <c r="Y990" t="str">
        <f>TRIM(LOWER(Before_Tbl[[#This Row],[Email]]))</f>
        <v>bob.johnson@example.com</v>
      </c>
      <c r="Z990" s="2" t="str">
        <f>SUBSTITUTE(Before_Tbl[[#This Row],[Phone]],"-","")</f>
        <v>6944391648</v>
      </c>
      <c r="AA990" t="str">
        <f>TRIM(PROPER(Before_Tbl[[#This Row],[Performance_Score]]))</f>
        <v>Excellent</v>
      </c>
      <c r="AB990" s="2" t="str">
        <f>TRIM(UPPER(Before_Tbl[[#This Row],[Remote_Work]]))</f>
        <v>TRUE</v>
      </c>
    </row>
    <row r="991" spans="1:28" x14ac:dyDescent="0.35">
      <c r="A991" t="s">
        <v>1590</v>
      </c>
      <c r="B991" t="s">
        <v>65</v>
      </c>
      <c r="C991" t="s">
        <v>43</v>
      </c>
      <c r="D991">
        <v>40</v>
      </c>
      <c r="E991" t="s">
        <v>118</v>
      </c>
      <c r="F991" t="s">
        <v>16</v>
      </c>
      <c r="G991" t="s">
        <v>903</v>
      </c>
      <c r="H991">
        <v>107661.73</v>
      </c>
      <c r="I991" t="s">
        <v>257</v>
      </c>
      <c r="J991">
        <v>-7016934291</v>
      </c>
      <c r="K991" t="s">
        <v>23</v>
      </c>
      <c r="L991" t="b">
        <v>1</v>
      </c>
      <c r="P991" t="str">
        <f>TRIM(Before_Tbl[[#This Row],[Employee_ID]])</f>
        <v>EMP1989</v>
      </c>
      <c r="Q991" t="str">
        <f>TRIM(PROPER(Before_Tbl[[#This Row],[First_Name]]))</f>
        <v>Heidi</v>
      </c>
      <c r="R991" t="str">
        <f>TRIM(PROPER(Before_Tbl[[#This Row],[Last_Name]]))</f>
        <v>Garcia</v>
      </c>
      <c r="S991" s="25">
        <f t="shared" si="15"/>
        <v>40</v>
      </c>
      <c r="T991" t="str">
        <f>LEFT(Before_Tbl[[#This Row],[Department_Region]],FIND("-",Before_Tbl[[#This Row],[Department_Region]])-1)</f>
        <v>Admin</v>
      </c>
      <c r="U991" t="str">
        <f>RIGHT(Before_Tbl[[#This Row],[Department_Region]],LEN(Before_Tbl[[#This Row],[Department_Region]])-FIND("-",Before_Tbl[[#This Row],[Department_Region]]))</f>
        <v>California</v>
      </c>
      <c r="V991" t="str">
        <f>TRIM(PROPER(Before_Tbl[[#This Row],[Status]]))</f>
        <v>Active</v>
      </c>
      <c r="W991" s="26">
        <v>45165</v>
      </c>
      <c r="X991" s="4">
        <v>107661.73</v>
      </c>
      <c r="Y991" t="str">
        <f>TRIM(LOWER(Before_Tbl[[#This Row],[Email]]))</f>
        <v>heidi.garcia@example.com</v>
      </c>
      <c r="Z991" s="2" t="str">
        <f>SUBSTITUTE(Before_Tbl[[#This Row],[Phone]],"-","")</f>
        <v>7016934291</v>
      </c>
      <c r="AA991" t="str">
        <f>TRIM(PROPER(Before_Tbl[[#This Row],[Performance_Score]]))</f>
        <v>Excellent</v>
      </c>
      <c r="AB991" s="2" t="str">
        <f>TRIM(UPPER(Before_Tbl[[#This Row],[Remote_Work]]))</f>
        <v>TRUE</v>
      </c>
    </row>
    <row r="992" spans="1:28" x14ac:dyDescent="0.35">
      <c r="A992" t="s">
        <v>1591</v>
      </c>
      <c r="B992" t="s">
        <v>32</v>
      </c>
      <c r="C992" t="s">
        <v>55</v>
      </c>
      <c r="D992">
        <v>40</v>
      </c>
      <c r="E992" t="s">
        <v>78</v>
      </c>
      <c r="F992" t="s">
        <v>33</v>
      </c>
      <c r="G992" t="s">
        <v>1543</v>
      </c>
      <c r="H992">
        <v>79002</v>
      </c>
      <c r="I992" t="s">
        <v>323</v>
      </c>
      <c r="J992">
        <v>-9132033015</v>
      </c>
      <c r="K992" t="s">
        <v>18</v>
      </c>
      <c r="L992" t="b">
        <v>1</v>
      </c>
      <c r="P992" t="str">
        <f>TRIM(Before_Tbl[[#This Row],[Employee_ID]])</f>
        <v>EMP1990</v>
      </c>
      <c r="Q992" t="str">
        <f>TRIM(PROPER(Before_Tbl[[#This Row],[First_Name]]))</f>
        <v>Eva</v>
      </c>
      <c r="R992" t="str">
        <f>TRIM(PROPER(Before_Tbl[[#This Row],[Last_Name]]))</f>
        <v>Johnson</v>
      </c>
      <c r="S992" s="25">
        <f t="shared" si="15"/>
        <v>40</v>
      </c>
      <c r="T992" t="str">
        <f>LEFT(Before_Tbl[[#This Row],[Department_Region]],FIND("-",Before_Tbl[[#This Row],[Department_Region]])-1)</f>
        <v>DevOps</v>
      </c>
      <c r="U992" t="str">
        <f>RIGHT(Before_Tbl[[#This Row],[Department_Region]],LEN(Before_Tbl[[#This Row],[Department_Region]])-FIND("-",Before_Tbl[[#This Row],[Department_Region]]))</f>
        <v>Illinois</v>
      </c>
      <c r="V992" t="str">
        <f>TRIM(PROPER(Before_Tbl[[#This Row],[Status]]))</f>
        <v>Inactive</v>
      </c>
      <c r="W992" s="26">
        <v>44240</v>
      </c>
      <c r="X992" s="4">
        <v>79002</v>
      </c>
      <c r="Y992" t="str">
        <f>TRIM(LOWER(Before_Tbl[[#This Row],[Email]]))</f>
        <v>eva.johnson@example.com</v>
      </c>
      <c r="Z992" s="2" t="str">
        <f>SUBSTITUTE(Before_Tbl[[#This Row],[Phone]],"-","")</f>
        <v>9132033015</v>
      </c>
      <c r="AA992" t="str">
        <f>TRIM(PROPER(Before_Tbl[[#This Row],[Performance_Score]]))</f>
        <v>Average</v>
      </c>
      <c r="AB992" s="2" t="str">
        <f>TRIM(UPPER(Before_Tbl[[#This Row],[Remote_Work]]))</f>
        <v>TRUE</v>
      </c>
    </row>
    <row r="993" spans="1:28" x14ac:dyDescent="0.35">
      <c r="A993" t="s">
        <v>1592</v>
      </c>
      <c r="B993" t="s">
        <v>65</v>
      </c>
      <c r="C993" t="s">
        <v>20</v>
      </c>
      <c r="E993" t="s">
        <v>103</v>
      </c>
      <c r="F993" t="s">
        <v>28</v>
      </c>
      <c r="G993" s="1">
        <v>45242</v>
      </c>
      <c r="H993">
        <v>86135.69</v>
      </c>
      <c r="I993" t="s">
        <v>404</v>
      </c>
      <c r="J993">
        <v>-2341903105</v>
      </c>
      <c r="K993" t="s">
        <v>23</v>
      </c>
      <c r="L993" t="b">
        <v>0</v>
      </c>
      <c r="P993" t="str">
        <f>TRIM(Before_Tbl[[#This Row],[Employee_ID]])</f>
        <v>EMP1991</v>
      </c>
      <c r="Q993" t="str">
        <f>TRIM(PROPER(Before_Tbl[[#This Row],[First_Name]]))</f>
        <v>Heidi</v>
      </c>
      <c r="R993" t="str">
        <f>TRIM(PROPER(Before_Tbl[[#This Row],[Last_Name]]))</f>
        <v>Brown</v>
      </c>
      <c r="S993" s="25">
        <f t="shared" si="15"/>
        <v>30</v>
      </c>
      <c r="T993" t="str">
        <f>LEFT(Before_Tbl[[#This Row],[Department_Region]],FIND("-",Before_Tbl[[#This Row],[Department_Region]])-1)</f>
        <v>Admin</v>
      </c>
      <c r="U993" t="str">
        <f>RIGHT(Before_Tbl[[#This Row],[Department_Region]],LEN(Before_Tbl[[#This Row],[Department_Region]])-FIND("-",Before_Tbl[[#This Row],[Department_Region]]))</f>
        <v>Texas</v>
      </c>
      <c r="V993" t="str">
        <f>TRIM(PROPER(Before_Tbl[[#This Row],[Status]]))</f>
        <v>Pending</v>
      </c>
      <c r="W993" s="26">
        <v>45242</v>
      </c>
      <c r="X993" s="4">
        <v>86135.69</v>
      </c>
      <c r="Y993" t="str">
        <f>TRIM(LOWER(Before_Tbl[[#This Row],[Email]]))</f>
        <v>heidi.brown@example.com</v>
      </c>
      <c r="Z993" s="2" t="str">
        <f>SUBSTITUTE(Before_Tbl[[#This Row],[Phone]],"-","")</f>
        <v>2341903105</v>
      </c>
      <c r="AA993" t="str">
        <f>TRIM(PROPER(Before_Tbl[[#This Row],[Performance_Score]]))</f>
        <v>Excellent</v>
      </c>
      <c r="AB993" s="2" t="str">
        <f>TRIM(UPPER(Before_Tbl[[#This Row],[Remote_Work]]))</f>
        <v>FALSE</v>
      </c>
    </row>
    <row r="994" spans="1:28" x14ac:dyDescent="0.35">
      <c r="A994" t="s">
        <v>1593</v>
      </c>
      <c r="B994" t="s">
        <v>65</v>
      </c>
      <c r="C994" t="s">
        <v>55</v>
      </c>
      <c r="D994">
        <v>30</v>
      </c>
      <c r="E994" t="s">
        <v>329</v>
      </c>
      <c r="F994" t="s">
        <v>33</v>
      </c>
      <c r="G994" s="1">
        <v>44234</v>
      </c>
      <c r="H994">
        <v>115601.4</v>
      </c>
      <c r="I994" t="s">
        <v>113</v>
      </c>
      <c r="J994">
        <v>-1537221555</v>
      </c>
      <c r="K994" t="s">
        <v>30</v>
      </c>
      <c r="L994" t="b">
        <v>1</v>
      </c>
      <c r="P994" t="str">
        <f>TRIM(Before_Tbl[[#This Row],[Employee_ID]])</f>
        <v>EMP1992</v>
      </c>
      <c r="Q994" t="str">
        <f>TRIM(PROPER(Before_Tbl[[#This Row],[First_Name]]))</f>
        <v>Heidi</v>
      </c>
      <c r="R994" t="str">
        <f>TRIM(PROPER(Before_Tbl[[#This Row],[Last_Name]]))</f>
        <v>Johnson</v>
      </c>
      <c r="S994" s="25">
        <f t="shared" si="15"/>
        <v>30</v>
      </c>
      <c r="T994" t="str">
        <f>LEFT(Before_Tbl[[#This Row],[Department_Region]],FIND("-",Before_Tbl[[#This Row],[Department_Region]])-1)</f>
        <v>DevOps</v>
      </c>
      <c r="U994" t="str">
        <f>RIGHT(Before_Tbl[[#This Row],[Department_Region]],LEN(Before_Tbl[[#This Row],[Department_Region]])-FIND("-",Before_Tbl[[#This Row],[Department_Region]]))</f>
        <v>Nevada</v>
      </c>
      <c r="V994" t="str">
        <f>TRIM(PROPER(Before_Tbl[[#This Row],[Status]]))</f>
        <v>Inactive</v>
      </c>
      <c r="W994" s="26">
        <v>44234</v>
      </c>
      <c r="X994" s="4">
        <v>115601.4</v>
      </c>
      <c r="Y994" t="str">
        <f>TRIM(LOWER(Before_Tbl[[#This Row],[Email]]))</f>
        <v>heidi.johnson@example.com</v>
      </c>
      <c r="Z994" s="2" t="str">
        <f>SUBSTITUTE(Before_Tbl[[#This Row],[Phone]],"-","")</f>
        <v>1537221555</v>
      </c>
      <c r="AA994" t="str">
        <f>TRIM(PROPER(Before_Tbl[[#This Row],[Performance_Score]]))</f>
        <v>Good</v>
      </c>
      <c r="AB994" s="2" t="str">
        <f>TRIM(UPPER(Before_Tbl[[#This Row],[Remote_Work]]))</f>
        <v>TRUE</v>
      </c>
    </row>
    <row r="995" spans="1:28" x14ac:dyDescent="0.35">
      <c r="A995" t="s">
        <v>1594</v>
      </c>
      <c r="B995" t="s">
        <v>69</v>
      </c>
      <c r="C995" t="s">
        <v>20</v>
      </c>
      <c r="E995" t="s">
        <v>329</v>
      </c>
      <c r="F995" t="s">
        <v>16</v>
      </c>
      <c r="G995" s="1">
        <v>44693</v>
      </c>
      <c r="H995">
        <v>64045.36</v>
      </c>
      <c r="I995" t="s">
        <v>201</v>
      </c>
      <c r="J995">
        <v>-6847323652</v>
      </c>
      <c r="K995" t="s">
        <v>41</v>
      </c>
      <c r="L995" t="b">
        <v>1</v>
      </c>
      <c r="P995" t="str">
        <f>TRIM(Before_Tbl[[#This Row],[Employee_ID]])</f>
        <v>EMP1993</v>
      </c>
      <c r="Q995" t="str">
        <f>TRIM(PROPER(Before_Tbl[[#This Row],[First_Name]]))</f>
        <v>Grace</v>
      </c>
      <c r="R995" t="str">
        <f>TRIM(PROPER(Before_Tbl[[#This Row],[Last_Name]]))</f>
        <v>Brown</v>
      </c>
      <c r="S995" s="25">
        <f t="shared" si="15"/>
        <v>30</v>
      </c>
      <c r="T995" t="str">
        <f>LEFT(Before_Tbl[[#This Row],[Department_Region]],FIND("-",Before_Tbl[[#This Row],[Department_Region]])-1)</f>
        <v>DevOps</v>
      </c>
      <c r="U995" t="str">
        <f>RIGHT(Before_Tbl[[#This Row],[Department_Region]],LEN(Before_Tbl[[#This Row],[Department_Region]])-FIND("-",Before_Tbl[[#This Row],[Department_Region]]))</f>
        <v>Nevada</v>
      </c>
      <c r="V995" t="str">
        <f>TRIM(PROPER(Before_Tbl[[#This Row],[Status]]))</f>
        <v>Active</v>
      </c>
      <c r="W995" s="26">
        <v>44693</v>
      </c>
      <c r="X995" s="4">
        <v>64045.36</v>
      </c>
      <c r="Y995" t="str">
        <f>TRIM(LOWER(Before_Tbl[[#This Row],[Email]]))</f>
        <v>grace.brown@example.com</v>
      </c>
      <c r="Z995" s="2" t="str">
        <f>SUBSTITUTE(Before_Tbl[[#This Row],[Phone]],"-","")</f>
        <v>6847323652</v>
      </c>
      <c r="AA995" t="str">
        <f>TRIM(PROPER(Before_Tbl[[#This Row],[Performance_Score]]))</f>
        <v>Poor</v>
      </c>
      <c r="AB995" s="2" t="str">
        <f>TRIM(UPPER(Before_Tbl[[#This Row],[Remote_Work]]))</f>
        <v>TRUE</v>
      </c>
    </row>
    <row r="996" spans="1:28" x14ac:dyDescent="0.35">
      <c r="A996" t="s">
        <v>1595</v>
      </c>
      <c r="B996" t="s">
        <v>59</v>
      </c>
      <c r="C996" t="s">
        <v>20</v>
      </c>
      <c r="D996">
        <v>30</v>
      </c>
      <c r="E996" t="s">
        <v>329</v>
      </c>
      <c r="F996" t="s">
        <v>33</v>
      </c>
      <c r="G996" t="s">
        <v>1596</v>
      </c>
      <c r="H996">
        <v>80477.210000000006</v>
      </c>
      <c r="I996" t="s">
        <v>225</v>
      </c>
      <c r="J996">
        <v>-3774604066</v>
      </c>
      <c r="K996" t="s">
        <v>30</v>
      </c>
      <c r="L996" t="b">
        <v>0</v>
      </c>
      <c r="P996" t="str">
        <f>TRIM(Before_Tbl[[#This Row],[Employee_ID]])</f>
        <v>EMP1994</v>
      </c>
      <c r="Q996" t="str">
        <f>TRIM(PROPER(Before_Tbl[[#This Row],[First_Name]]))</f>
        <v>David</v>
      </c>
      <c r="R996" t="str">
        <f>TRIM(PROPER(Before_Tbl[[#This Row],[Last_Name]]))</f>
        <v>Brown</v>
      </c>
      <c r="S996" s="25">
        <f t="shared" si="15"/>
        <v>30</v>
      </c>
      <c r="T996" t="str">
        <f>LEFT(Before_Tbl[[#This Row],[Department_Region]],FIND("-",Before_Tbl[[#This Row],[Department_Region]])-1)</f>
        <v>DevOps</v>
      </c>
      <c r="U996" t="str">
        <f>RIGHT(Before_Tbl[[#This Row],[Department_Region]],LEN(Before_Tbl[[#This Row],[Department_Region]])-FIND("-",Before_Tbl[[#This Row],[Department_Region]]))</f>
        <v>Nevada</v>
      </c>
      <c r="V996" t="str">
        <f>TRIM(PROPER(Before_Tbl[[#This Row],[Status]]))</f>
        <v>Inactive</v>
      </c>
      <c r="W996" s="26">
        <v>45559</v>
      </c>
      <c r="X996" s="4">
        <v>80477.210000000006</v>
      </c>
      <c r="Y996" t="str">
        <f>TRIM(LOWER(Before_Tbl[[#This Row],[Email]]))</f>
        <v>david.brown@example.com</v>
      </c>
      <c r="Z996" s="2" t="str">
        <f>SUBSTITUTE(Before_Tbl[[#This Row],[Phone]],"-","")</f>
        <v>3774604066</v>
      </c>
      <c r="AA996" t="str">
        <f>TRIM(PROPER(Before_Tbl[[#This Row],[Performance_Score]]))</f>
        <v>Good</v>
      </c>
      <c r="AB996" s="2" t="str">
        <f>TRIM(UPPER(Before_Tbl[[#This Row],[Remote_Work]]))</f>
        <v>FALSE</v>
      </c>
    </row>
    <row r="997" spans="1:28" x14ac:dyDescent="0.35">
      <c r="A997" t="s">
        <v>1597</v>
      </c>
      <c r="B997" t="s">
        <v>13</v>
      </c>
      <c r="C997" t="s">
        <v>26</v>
      </c>
      <c r="D997">
        <v>30</v>
      </c>
      <c r="E997" t="s">
        <v>70</v>
      </c>
      <c r="F997" t="s">
        <v>33</v>
      </c>
      <c r="G997" t="s">
        <v>1598</v>
      </c>
      <c r="H997">
        <v>61240.9</v>
      </c>
      <c r="I997" t="s">
        <v>50</v>
      </c>
      <c r="J997">
        <v>-2007843613</v>
      </c>
      <c r="K997" t="s">
        <v>41</v>
      </c>
      <c r="L997" t="b">
        <v>1</v>
      </c>
      <c r="P997" t="str">
        <f>TRIM(Before_Tbl[[#This Row],[Employee_ID]])</f>
        <v>EMP1995</v>
      </c>
      <c r="Q997" t="str">
        <f>TRIM(PROPER(Before_Tbl[[#This Row],[First_Name]]))</f>
        <v>Bob</v>
      </c>
      <c r="R997" t="str">
        <f>TRIM(PROPER(Before_Tbl[[#This Row],[Last_Name]]))</f>
        <v>Jones</v>
      </c>
      <c r="S997" s="25">
        <f t="shared" si="15"/>
        <v>30</v>
      </c>
      <c r="T997" t="str">
        <f>LEFT(Before_Tbl[[#This Row],[Department_Region]],FIND("-",Before_Tbl[[#This Row],[Department_Region]])-1)</f>
        <v>Finance</v>
      </c>
      <c r="U997" t="str">
        <f>RIGHT(Before_Tbl[[#This Row],[Department_Region]],LEN(Before_Tbl[[#This Row],[Department_Region]])-FIND("-",Before_Tbl[[#This Row],[Department_Region]]))</f>
        <v>California</v>
      </c>
      <c r="V997" t="str">
        <f>TRIM(PROPER(Before_Tbl[[#This Row],[Status]]))</f>
        <v>Inactive</v>
      </c>
      <c r="W997" s="26">
        <v>45154</v>
      </c>
      <c r="X997" s="4">
        <v>61240.9</v>
      </c>
      <c r="Y997" t="str">
        <f>TRIM(LOWER(Before_Tbl[[#This Row],[Email]]))</f>
        <v>bob.jones@example.com</v>
      </c>
      <c r="Z997" s="2" t="str">
        <f>SUBSTITUTE(Before_Tbl[[#This Row],[Phone]],"-","")</f>
        <v>2007843613</v>
      </c>
      <c r="AA997" t="str">
        <f>TRIM(PROPER(Before_Tbl[[#This Row],[Performance_Score]]))</f>
        <v>Poor</v>
      </c>
      <c r="AB997" s="2" t="str">
        <f>TRIM(UPPER(Before_Tbl[[#This Row],[Remote_Work]]))</f>
        <v>TRUE</v>
      </c>
    </row>
    <row r="998" spans="1:28" x14ac:dyDescent="0.35">
      <c r="A998" t="s">
        <v>1599</v>
      </c>
      <c r="B998" t="s">
        <v>59</v>
      </c>
      <c r="C998" t="s">
        <v>122</v>
      </c>
      <c r="D998">
        <v>40</v>
      </c>
      <c r="E998" t="s">
        <v>103</v>
      </c>
      <c r="F998" t="s">
        <v>16</v>
      </c>
      <c r="G998" t="s">
        <v>1600</v>
      </c>
      <c r="H998">
        <v>51939.29</v>
      </c>
      <c r="I998" t="s">
        <v>341</v>
      </c>
      <c r="J998">
        <v>-2442607818</v>
      </c>
      <c r="K998" t="s">
        <v>23</v>
      </c>
      <c r="L998" t="b">
        <v>1</v>
      </c>
      <c r="P998" t="str">
        <f>TRIM(Before_Tbl[[#This Row],[Employee_ID]])</f>
        <v>EMP1996</v>
      </c>
      <c r="Q998" t="str">
        <f>TRIM(PROPER(Before_Tbl[[#This Row],[First_Name]]))</f>
        <v>David</v>
      </c>
      <c r="R998" t="str">
        <f>TRIM(PROPER(Before_Tbl[[#This Row],[Last_Name]]))</f>
        <v>Smith</v>
      </c>
      <c r="S998" s="25">
        <f t="shared" si="15"/>
        <v>40</v>
      </c>
      <c r="T998" t="str">
        <f>LEFT(Before_Tbl[[#This Row],[Department_Region]],FIND("-",Before_Tbl[[#This Row],[Department_Region]])-1)</f>
        <v>Admin</v>
      </c>
      <c r="U998" t="str">
        <f>RIGHT(Before_Tbl[[#This Row],[Department_Region]],LEN(Before_Tbl[[#This Row],[Department_Region]])-FIND("-",Before_Tbl[[#This Row],[Department_Region]]))</f>
        <v>Texas</v>
      </c>
      <c r="V998" t="str">
        <f>TRIM(PROPER(Before_Tbl[[#This Row],[Status]]))</f>
        <v>Active</v>
      </c>
      <c r="W998" s="26">
        <v>44224</v>
      </c>
      <c r="X998" s="4">
        <v>51939.29</v>
      </c>
      <c r="Y998" t="str">
        <f>TRIM(LOWER(Before_Tbl[[#This Row],[Email]]))</f>
        <v>david.smith@example.com</v>
      </c>
      <c r="Z998" s="2" t="str">
        <f>SUBSTITUTE(Before_Tbl[[#This Row],[Phone]],"-","")</f>
        <v>2442607818</v>
      </c>
      <c r="AA998" t="str">
        <f>TRIM(PROPER(Before_Tbl[[#This Row],[Performance_Score]]))</f>
        <v>Excellent</v>
      </c>
      <c r="AB998" s="2" t="str">
        <f>TRIM(UPPER(Before_Tbl[[#This Row],[Remote_Work]]))</f>
        <v>TRUE</v>
      </c>
    </row>
    <row r="999" spans="1:28" x14ac:dyDescent="0.35">
      <c r="A999" t="s">
        <v>1601</v>
      </c>
      <c r="B999" t="s">
        <v>32</v>
      </c>
      <c r="C999" t="s">
        <v>20</v>
      </c>
      <c r="D999">
        <v>40</v>
      </c>
      <c r="E999" t="s">
        <v>265</v>
      </c>
      <c r="F999" t="s">
        <v>33</v>
      </c>
      <c r="G999" t="s">
        <v>1166</v>
      </c>
      <c r="H999">
        <v>95284.54</v>
      </c>
      <c r="I999" t="s">
        <v>155</v>
      </c>
      <c r="J999">
        <v>-7543734763</v>
      </c>
      <c r="K999" t="s">
        <v>30</v>
      </c>
      <c r="L999" t="b">
        <v>0</v>
      </c>
      <c r="P999" t="str">
        <f>TRIM(Before_Tbl[[#This Row],[Employee_ID]])</f>
        <v>EMP1997</v>
      </c>
      <c r="Q999" t="str">
        <f>TRIM(PROPER(Before_Tbl[[#This Row],[First_Name]]))</f>
        <v>Eva</v>
      </c>
      <c r="R999" t="str">
        <f>TRIM(PROPER(Before_Tbl[[#This Row],[Last_Name]]))</f>
        <v>Brown</v>
      </c>
      <c r="S999" s="25">
        <f t="shared" si="15"/>
        <v>40</v>
      </c>
      <c r="T999" t="str">
        <f>LEFT(Before_Tbl[[#This Row],[Department_Region]],FIND("-",Before_Tbl[[#This Row],[Department_Region]])-1)</f>
        <v>Finance</v>
      </c>
      <c r="U999" t="str">
        <f>RIGHT(Before_Tbl[[#This Row],[Department_Region]],LEN(Before_Tbl[[#This Row],[Department_Region]])-FIND("-",Before_Tbl[[#This Row],[Department_Region]]))</f>
        <v>Illinois</v>
      </c>
      <c r="V999" t="str">
        <f>TRIM(PROPER(Before_Tbl[[#This Row],[Status]]))</f>
        <v>Inactive</v>
      </c>
      <c r="W999" s="26">
        <v>44695</v>
      </c>
      <c r="X999" s="4">
        <v>95284.54</v>
      </c>
      <c r="Y999" t="str">
        <f>TRIM(LOWER(Before_Tbl[[#This Row],[Email]]))</f>
        <v>eva.brown@example.com</v>
      </c>
      <c r="Z999" s="2" t="str">
        <f>SUBSTITUTE(Before_Tbl[[#This Row],[Phone]],"-","")</f>
        <v>7543734763</v>
      </c>
      <c r="AA999" t="str">
        <f>TRIM(PROPER(Before_Tbl[[#This Row],[Performance_Score]]))</f>
        <v>Good</v>
      </c>
      <c r="AB999" s="2" t="str">
        <f>TRIM(UPPER(Before_Tbl[[#This Row],[Remote_Work]]))</f>
        <v>FALSE</v>
      </c>
    </row>
    <row r="1000" spans="1:28" x14ac:dyDescent="0.35">
      <c r="A1000" t="s">
        <v>1602</v>
      </c>
      <c r="B1000" t="s">
        <v>54</v>
      </c>
      <c r="C1000" t="s">
        <v>43</v>
      </c>
      <c r="D1000">
        <v>35</v>
      </c>
      <c r="E1000" t="s">
        <v>103</v>
      </c>
      <c r="F1000" t="s">
        <v>33</v>
      </c>
      <c r="G1000" s="1">
        <v>45418</v>
      </c>
      <c r="H1000">
        <v>106247.67</v>
      </c>
      <c r="I1000" t="s">
        <v>87</v>
      </c>
      <c r="J1000">
        <v>-2737203762</v>
      </c>
      <c r="K1000" t="s">
        <v>23</v>
      </c>
      <c r="L1000" t="b">
        <v>1</v>
      </c>
      <c r="P1000" t="str">
        <f>TRIM(Before_Tbl[[#This Row],[Employee_ID]])</f>
        <v>EMP1998</v>
      </c>
      <c r="Q1000" t="str">
        <f>TRIM(PROPER(Before_Tbl[[#This Row],[First_Name]]))</f>
        <v>Charlie</v>
      </c>
      <c r="R1000" t="str">
        <f>TRIM(PROPER(Before_Tbl[[#This Row],[Last_Name]]))</f>
        <v>Garcia</v>
      </c>
      <c r="S1000" s="25">
        <f t="shared" si="15"/>
        <v>35</v>
      </c>
      <c r="T1000" t="str">
        <f>LEFT(Before_Tbl[[#This Row],[Department_Region]],FIND("-",Before_Tbl[[#This Row],[Department_Region]])-1)</f>
        <v>Admin</v>
      </c>
      <c r="U1000" t="str">
        <f>RIGHT(Before_Tbl[[#This Row],[Department_Region]],LEN(Before_Tbl[[#This Row],[Department_Region]])-FIND("-",Before_Tbl[[#This Row],[Department_Region]]))</f>
        <v>Texas</v>
      </c>
      <c r="V1000" t="str">
        <f>TRIM(PROPER(Before_Tbl[[#This Row],[Status]]))</f>
        <v>Inactive</v>
      </c>
      <c r="W1000" s="26">
        <v>45418</v>
      </c>
      <c r="X1000" s="4">
        <v>106247.67</v>
      </c>
      <c r="Y1000" t="str">
        <f>TRIM(LOWER(Before_Tbl[[#This Row],[Email]]))</f>
        <v>charlie.garcia@example.com</v>
      </c>
      <c r="Z1000" s="2" t="str">
        <f>SUBSTITUTE(Before_Tbl[[#This Row],[Phone]],"-","")</f>
        <v>2737203762</v>
      </c>
      <c r="AA1000" t="str">
        <f>TRIM(PROPER(Before_Tbl[[#This Row],[Performance_Score]]))</f>
        <v>Excellent</v>
      </c>
      <c r="AB1000" s="2" t="str">
        <f>TRIM(UPPER(Before_Tbl[[#This Row],[Remote_Work]]))</f>
        <v>TRUE</v>
      </c>
    </row>
    <row r="1001" spans="1:28" x14ac:dyDescent="0.35">
      <c r="A1001" t="s">
        <v>1603</v>
      </c>
      <c r="B1001" t="s">
        <v>54</v>
      </c>
      <c r="C1001" t="s">
        <v>38</v>
      </c>
      <c r="D1001">
        <v>25</v>
      </c>
      <c r="E1001" t="s">
        <v>230</v>
      </c>
      <c r="F1001" t="s">
        <v>16</v>
      </c>
      <c r="G1001" t="s">
        <v>777</v>
      </c>
      <c r="H1001">
        <v>110170.88</v>
      </c>
      <c r="I1001" t="s">
        <v>90</v>
      </c>
      <c r="J1001">
        <v>-8821458413</v>
      </c>
      <c r="K1001" t="s">
        <v>41</v>
      </c>
      <c r="L1001" t="b">
        <v>1</v>
      </c>
      <c r="P1001" t="str">
        <f>TRIM(Before_Tbl[[#This Row],[Employee_ID]])</f>
        <v>EMP1999</v>
      </c>
      <c r="Q1001" t="str">
        <f>TRIM(PROPER(Before_Tbl[[#This Row],[First_Name]]))</f>
        <v>Charlie</v>
      </c>
      <c r="R1001" t="str">
        <f>TRIM(PROPER(Before_Tbl[[#This Row],[Last_Name]]))</f>
        <v>Williams</v>
      </c>
      <c r="S1001" s="25">
        <f t="shared" si="15"/>
        <v>25</v>
      </c>
      <c r="T1001" t="str">
        <f>LEFT(Before_Tbl[[#This Row],[Department_Region]],FIND("-",Before_Tbl[[#This Row],[Department_Region]])-1)</f>
        <v>DevOps</v>
      </c>
      <c r="U1001" t="str">
        <f>RIGHT(Before_Tbl[[#This Row],[Department_Region]],LEN(Before_Tbl[[#This Row],[Department_Region]])-FIND("-",Before_Tbl[[#This Row],[Department_Region]]))</f>
        <v>Florida</v>
      </c>
      <c r="V1001" t="str">
        <f>TRIM(PROPER(Before_Tbl[[#This Row],[Status]]))</f>
        <v>Active</v>
      </c>
      <c r="W1001" s="26">
        <v>43944</v>
      </c>
      <c r="X1001" s="4">
        <v>110170.88</v>
      </c>
      <c r="Y1001" t="str">
        <f>TRIM(LOWER(Before_Tbl[[#This Row],[Email]]))</f>
        <v>charlie.williams@example.com</v>
      </c>
      <c r="Z1001" s="2" t="str">
        <f>SUBSTITUTE(Before_Tbl[[#This Row],[Phone]],"-","")</f>
        <v>8821458413</v>
      </c>
      <c r="AA1001" t="str">
        <f>TRIM(PROPER(Before_Tbl[[#This Row],[Performance_Score]]))</f>
        <v>Poor</v>
      </c>
      <c r="AB1001" s="2" t="str">
        <f>TRIM(UPPER(Before_Tbl[[#This Row],[Remote_Work]]))</f>
        <v>TRUE</v>
      </c>
    </row>
    <row r="1002" spans="1:28" x14ac:dyDescent="0.35">
      <c r="A1002" t="s">
        <v>1604</v>
      </c>
      <c r="B1002" t="s">
        <v>54</v>
      </c>
      <c r="C1002" t="s">
        <v>92</v>
      </c>
      <c r="D1002">
        <v>25</v>
      </c>
      <c r="E1002" t="s">
        <v>149</v>
      </c>
      <c r="F1002" t="s">
        <v>28</v>
      </c>
      <c r="G1002" s="1">
        <v>45571</v>
      </c>
      <c r="H1002">
        <v>52615.44</v>
      </c>
      <c r="I1002" t="s">
        <v>502</v>
      </c>
      <c r="J1002">
        <v>-8460191343</v>
      </c>
      <c r="K1002" t="s">
        <v>18</v>
      </c>
      <c r="L1002" t="b">
        <v>1</v>
      </c>
      <c r="P1002" t="str">
        <f>TRIM(Before_Tbl[[#This Row],[Employee_ID]])</f>
        <v>EMP2000</v>
      </c>
      <c r="Q1002" t="str">
        <f>TRIM(PROPER(Before_Tbl[[#This Row],[First_Name]]))</f>
        <v>Charlie</v>
      </c>
      <c r="R1002" t="str">
        <f>TRIM(PROPER(Before_Tbl[[#This Row],[Last_Name]]))</f>
        <v>Miller</v>
      </c>
      <c r="S1002" s="25">
        <f t="shared" si="15"/>
        <v>25</v>
      </c>
      <c r="T1002" t="str">
        <f>LEFT(Before_Tbl[[#This Row],[Department_Region]],FIND("-",Before_Tbl[[#This Row],[Department_Region]])-1)</f>
        <v>HR</v>
      </c>
      <c r="U1002" t="str">
        <f>RIGHT(Before_Tbl[[#This Row],[Department_Region]],LEN(Before_Tbl[[#This Row],[Department_Region]])-FIND("-",Before_Tbl[[#This Row],[Department_Region]]))</f>
        <v>Nevada</v>
      </c>
      <c r="V1002" t="str">
        <f>TRIM(PROPER(Before_Tbl[[#This Row],[Status]]))</f>
        <v>Pending</v>
      </c>
      <c r="W1002" s="26">
        <v>45571</v>
      </c>
      <c r="X1002" s="4">
        <v>52615.44</v>
      </c>
      <c r="Y1002" t="str">
        <f>TRIM(LOWER(Before_Tbl[[#This Row],[Email]]))</f>
        <v>charlie.miller@example.com</v>
      </c>
      <c r="Z1002" s="2" t="str">
        <f>SUBSTITUTE(Before_Tbl[[#This Row],[Phone]],"-","")</f>
        <v>8460191343</v>
      </c>
      <c r="AA1002" t="str">
        <f>TRIM(PROPER(Before_Tbl[[#This Row],[Performance_Score]]))</f>
        <v>Average</v>
      </c>
      <c r="AB1002" s="2" t="str">
        <f>TRIM(UPPER(Before_Tbl[[#This Row],[Remote_Work]]))</f>
        <v>TRUE</v>
      </c>
    </row>
    <row r="1003" spans="1:28" x14ac:dyDescent="0.35">
      <c r="A1003" t="s">
        <v>1605</v>
      </c>
      <c r="B1003" t="s">
        <v>32</v>
      </c>
      <c r="C1003" t="s">
        <v>14</v>
      </c>
      <c r="D1003">
        <v>30</v>
      </c>
      <c r="E1003" t="s">
        <v>78</v>
      </c>
      <c r="F1003" t="s">
        <v>33</v>
      </c>
      <c r="G1003" t="s">
        <v>1250</v>
      </c>
      <c r="H1003">
        <v>82547.259999999995</v>
      </c>
      <c r="I1003" t="s">
        <v>35</v>
      </c>
      <c r="J1003">
        <v>-3899827801</v>
      </c>
      <c r="K1003" t="s">
        <v>18</v>
      </c>
      <c r="L1003" t="b">
        <v>0</v>
      </c>
      <c r="P1003" t="str">
        <f>TRIM(Before_Tbl[[#This Row],[Employee_ID]])</f>
        <v>EMP2001</v>
      </c>
      <c r="Q1003" t="str">
        <f>TRIM(PROPER(Before_Tbl[[#This Row],[First_Name]]))</f>
        <v>Eva</v>
      </c>
      <c r="R1003" t="str">
        <f>TRIM(PROPER(Before_Tbl[[#This Row],[Last_Name]]))</f>
        <v>Davis</v>
      </c>
      <c r="S1003" s="25">
        <f t="shared" si="15"/>
        <v>30</v>
      </c>
      <c r="T1003" t="str">
        <f>LEFT(Before_Tbl[[#This Row],[Department_Region]],FIND("-",Before_Tbl[[#This Row],[Department_Region]])-1)</f>
        <v>DevOps</v>
      </c>
      <c r="U1003" t="str">
        <f>RIGHT(Before_Tbl[[#This Row],[Department_Region]],LEN(Before_Tbl[[#This Row],[Department_Region]])-FIND("-",Before_Tbl[[#This Row],[Department_Region]]))</f>
        <v>Illinois</v>
      </c>
      <c r="V1003" t="str">
        <f>TRIM(PROPER(Before_Tbl[[#This Row],[Status]]))</f>
        <v>Inactive</v>
      </c>
      <c r="W1003" s="26">
        <v>43939</v>
      </c>
      <c r="X1003" s="4">
        <v>82547.259999999995</v>
      </c>
      <c r="Y1003" t="str">
        <f>TRIM(LOWER(Before_Tbl[[#This Row],[Email]]))</f>
        <v>eva.davis@example.com</v>
      </c>
      <c r="Z1003" s="2" t="str">
        <f>SUBSTITUTE(Before_Tbl[[#This Row],[Phone]],"-","")</f>
        <v>3899827801</v>
      </c>
      <c r="AA1003" t="str">
        <f>TRIM(PROPER(Before_Tbl[[#This Row],[Performance_Score]]))</f>
        <v>Average</v>
      </c>
      <c r="AB1003" s="2" t="str">
        <f>TRIM(UPPER(Before_Tbl[[#This Row],[Remote_Work]]))</f>
        <v>FALSE</v>
      </c>
    </row>
    <row r="1004" spans="1:28" x14ac:dyDescent="0.35">
      <c r="A1004" t="s">
        <v>1606</v>
      </c>
      <c r="B1004" t="s">
        <v>13</v>
      </c>
      <c r="C1004" t="s">
        <v>122</v>
      </c>
      <c r="D1004">
        <v>35</v>
      </c>
      <c r="E1004" t="s">
        <v>265</v>
      </c>
      <c r="F1004" t="s">
        <v>28</v>
      </c>
      <c r="G1004" t="s">
        <v>1254</v>
      </c>
      <c r="H1004">
        <v>63049.22</v>
      </c>
      <c r="I1004" t="s">
        <v>123</v>
      </c>
      <c r="J1004">
        <v>-586950731</v>
      </c>
      <c r="K1004" t="s">
        <v>30</v>
      </c>
      <c r="L1004" t="b">
        <v>1</v>
      </c>
      <c r="P1004" t="str">
        <f>TRIM(Before_Tbl[[#This Row],[Employee_ID]])</f>
        <v>EMP2002</v>
      </c>
      <c r="Q1004" t="str">
        <f>TRIM(PROPER(Before_Tbl[[#This Row],[First_Name]]))</f>
        <v>Bob</v>
      </c>
      <c r="R1004" t="str">
        <f>TRIM(PROPER(Before_Tbl[[#This Row],[Last_Name]]))</f>
        <v>Smith</v>
      </c>
      <c r="S1004" s="25">
        <f t="shared" si="15"/>
        <v>35</v>
      </c>
      <c r="T1004" t="str">
        <f>LEFT(Before_Tbl[[#This Row],[Department_Region]],FIND("-",Before_Tbl[[#This Row],[Department_Region]])-1)</f>
        <v>Finance</v>
      </c>
      <c r="U1004" t="str">
        <f>RIGHT(Before_Tbl[[#This Row],[Department_Region]],LEN(Before_Tbl[[#This Row],[Department_Region]])-FIND("-",Before_Tbl[[#This Row],[Department_Region]]))</f>
        <v>Illinois</v>
      </c>
      <c r="V1004" t="str">
        <f>TRIM(PROPER(Before_Tbl[[#This Row],[Status]]))</f>
        <v>Pending</v>
      </c>
      <c r="W1004" s="26">
        <v>44011</v>
      </c>
      <c r="X1004" s="4">
        <v>63049.22</v>
      </c>
      <c r="Y1004" t="str">
        <f>TRIM(LOWER(Before_Tbl[[#This Row],[Email]]))</f>
        <v>bob.smith@example.com</v>
      </c>
      <c r="Z1004" s="2" t="str">
        <f>SUBSTITUTE(Before_Tbl[[#This Row],[Phone]],"-","")</f>
        <v>586950731</v>
      </c>
      <c r="AA1004" t="str">
        <f>TRIM(PROPER(Before_Tbl[[#This Row],[Performance_Score]]))</f>
        <v>Good</v>
      </c>
      <c r="AB1004" s="2" t="str">
        <f>TRIM(UPPER(Before_Tbl[[#This Row],[Remote_Work]]))</f>
        <v>TRUE</v>
      </c>
    </row>
    <row r="1005" spans="1:28" x14ac:dyDescent="0.35">
      <c r="A1005" t="s">
        <v>1607</v>
      </c>
      <c r="B1005" t="s">
        <v>37</v>
      </c>
      <c r="C1005" t="s">
        <v>122</v>
      </c>
      <c r="D1005">
        <v>35</v>
      </c>
      <c r="E1005" t="s">
        <v>146</v>
      </c>
      <c r="F1005" t="s">
        <v>28</v>
      </c>
      <c r="G1005" t="s">
        <v>969</v>
      </c>
      <c r="H1005">
        <v>115229.12</v>
      </c>
      <c r="I1005" t="s">
        <v>137</v>
      </c>
      <c r="J1005">
        <v>-1464493698</v>
      </c>
      <c r="K1005" t="s">
        <v>23</v>
      </c>
      <c r="L1005" t="b">
        <v>1</v>
      </c>
      <c r="P1005" t="str">
        <f>TRIM(Before_Tbl[[#This Row],[Employee_ID]])</f>
        <v>EMP2003</v>
      </c>
      <c r="Q1005" t="str">
        <f>TRIM(PROPER(Before_Tbl[[#This Row],[First_Name]]))</f>
        <v>Frank</v>
      </c>
      <c r="R1005" t="str">
        <f>TRIM(PROPER(Before_Tbl[[#This Row],[Last_Name]]))</f>
        <v>Smith</v>
      </c>
      <c r="S1005" s="25">
        <f t="shared" si="15"/>
        <v>35</v>
      </c>
      <c r="T1005" t="str">
        <f>LEFT(Before_Tbl[[#This Row],[Department_Region]],FIND("-",Before_Tbl[[#This Row],[Department_Region]])-1)</f>
        <v>HR</v>
      </c>
      <c r="U1005" t="str">
        <f>RIGHT(Before_Tbl[[#This Row],[Department_Region]],LEN(Before_Tbl[[#This Row],[Department_Region]])-FIND("-",Before_Tbl[[#This Row],[Department_Region]]))</f>
        <v>California</v>
      </c>
      <c r="V1005" t="str">
        <f>TRIM(PROPER(Before_Tbl[[#This Row],[Status]]))</f>
        <v>Pending</v>
      </c>
      <c r="W1005" s="26">
        <v>44972</v>
      </c>
      <c r="X1005" s="4">
        <v>115229.12</v>
      </c>
      <c r="Y1005" t="str">
        <f>TRIM(LOWER(Before_Tbl[[#This Row],[Email]]))</f>
        <v>frank.smith@example.com</v>
      </c>
      <c r="Z1005" s="2" t="str">
        <f>SUBSTITUTE(Before_Tbl[[#This Row],[Phone]],"-","")</f>
        <v>1464493698</v>
      </c>
      <c r="AA1005" t="str">
        <f>TRIM(PROPER(Before_Tbl[[#This Row],[Performance_Score]]))</f>
        <v>Excellent</v>
      </c>
      <c r="AB1005" s="2" t="str">
        <f>TRIM(UPPER(Before_Tbl[[#This Row],[Remote_Work]]))</f>
        <v>TRUE</v>
      </c>
    </row>
    <row r="1006" spans="1:28" x14ac:dyDescent="0.35">
      <c r="A1006" t="s">
        <v>1608</v>
      </c>
      <c r="B1006" t="s">
        <v>69</v>
      </c>
      <c r="C1006" t="s">
        <v>122</v>
      </c>
      <c r="D1006">
        <v>25</v>
      </c>
      <c r="E1006" t="s">
        <v>78</v>
      </c>
      <c r="F1006" t="s">
        <v>28</v>
      </c>
      <c r="G1006" t="s">
        <v>727</v>
      </c>
      <c r="H1006">
        <v>60687.63</v>
      </c>
      <c r="I1006" t="s">
        <v>135</v>
      </c>
      <c r="J1006">
        <v>-9516793349</v>
      </c>
      <c r="K1006" t="s">
        <v>23</v>
      </c>
      <c r="L1006" t="b">
        <v>0</v>
      </c>
      <c r="P1006" t="str">
        <f>TRIM(Before_Tbl[[#This Row],[Employee_ID]])</f>
        <v>EMP2004</v>
      </c>
      <c r="Q1006" t="str">
        <f>TRIM(PROPER(Before_Tbl[[#This Row],[First_Name]]))</f>
        <v>Grace</v>
      </c>
      <c r="R1006" t="str">
        <f>TRIM(PROPER(Before_Tbl[[#This Row],[Last_Name]]))</f>
        <v>Smith</v>
      </c>
      <c r="S1006" s="25">
        <f t="shared" si="15"/>
        <v>25</v>
      </c>
      <c r="T1006" t="str">
        <f>LEFT(Before_Tbl[[#This Row],[Department_Region]],FIND("-",Before_Tbl[[#This Row],[Department_Region]])-1)</f>
        <v>DevOps</v>
      </c>
      <c r="U1006" t="str">
        <f>RIGHT(Before_Tbl[[#This Row],[Department_Region]],LEN(Before_Tbl[[#This Row],[Department_Region]])-FIND("-",Before_Tbl[[#This Row],[Department_Region]]))</f>
        <v>Illinois</v>
      </c>
      <c r="V1006" t="str">
        <f>TRIM(PROPER(Before_Tbl[[#This Row],[Status]]))</f>
        <v>Pending</v>
      </c>
      <c r="W1006" s="26">
        <v>45092</v>
      </c>
      <c r="X1006" s="4">
        <v>60687.63</v>
      </c>
      <c r="Y1006" t="str">
        <f>TRIM(LOWER(Before_Tbl[[#This Row],[Email]]))</f>
        <v>grace.smith@example.com</v>
      </c>
      <c r="Z1006" s="2" t="str">
        <f>SUBSTITUTE(Before_Tbl[[#This Row],[Phone]],"-","")</f>
        <v>9516793349</v>
      </c>
      <c r="AA1006" t="str">
        <f>TRIM(PROPER(Before_Tbl[[#This Row],[Performance_Score]]))</f>
        <v>Excellent</v>
      </c>
      <c r="AB1006" s="2" t="str">
        <f>TRIM(UPPER(Before_Tbl[[#This Row],[Remote_Work]]))</f>
        <v>FALSE</v>
      </c>
    </row>
    <row r="1007" spans="1:28" x14ac:dyDescent="0.35">
      <c r="A1007" t="s">
        <v>1609</v>
      </c>
      <c r="B1007" t="s">
        <v>37</v>
      </c>
      <c r="C1007" t="s">
        <v>26</v>
      </c>
      <c r="D1007">
        <v>30</v>
      </c>
      <c r="E1007" t="s">
        <v>265</v>
      </c>
      <c r="F1007" t="s">
        <v>33</v>
      </c>
      <c r="G1007" t="s">
        <v>1164</v>
      </c>
      <c r="H1007">
        <v>67492.73</v>
      </c>
      <c r="I1007" t="s">
        <v>47</v>
      </c>
      <c r="J1007">
        <v>-5573857367</v>
      </c>
      <c r="K1007" t="s">
        <v>30</v>
      </c>
      <c r="L1007" t="b">
        <v>1</v>
      </c>
      <c r="P1007" t="str">
        <f>TRIM(Before_Tbl[[#This Row],[Employee_ID]])</f>
        <v>EMP2005</v>
      </c>
      <c r="Q1007" t="str">
        <f>TRIM(PROPER(Before_Tbl[[#This Row],[First_Name]]))</f>
        <v>Frank</v>
      </c>
      <c r="R1007" t="str">
        <f>TRIM(PROPER(Before_Tbl[[#This Row],[Last_Name]]))</f>
        <v>Jones</v>
      </c>
      <c r="S1007" s="25">
        <f t="shared" si="15"/>
        <v>30</v>
      </c>
      <c r="T1007" t="str">
        <f>LEFT(Before_Tbl[[#This Row],[Department_Region]],FIND("-",Before_Tbl[[#This Row],[Department_Region]])-1)</f>
        <v>Finance</v>
      </c>
      <c r="U1007" t="str">
        <f>RIGHT(Before_Tbl[[#This Row],[Department_Region]],LEN(Before_Tbl[[#This Row],[Department_Region]])-FIND("-",Before_Tbl[[#This Row],[Department_Region]]))</f>
        <v>Illinois</v>
      </c>
      <c r="V1007" t="str">
        <f>TRIM(PROPER(Before_Tbl[[#This Row],[Status]]))</f>
        <v>Inactive</v>
      </c>
      <c r="W1007" s="26">
        <v>44639</v>
      </c>
      <c r="X1007" s="4">
        <v>67492.73</v>
      </c>
      <c r="Y1007" t="str">
        <f>TRIM(LOWER(Before_Tbl[[#This Row],[Email]]))</f>
        <v>frank.jones@example.com</v>
      </c>
      <c r="Z1007" s="2" t="str">
        <f>SUBSTITUTE(Before_Tbl[[#This Row],[Phone]],"-","")</f>
        <v>5573857367</v>
      </c>
      <c r="AA1007" t="str">
        <f>TRIM(PROPER(Before_Tbl[[#This Row],[Performance_Score]]))</f>
        <v>Good</v>
      </c>
      <c r="AB1007" s="2" t="str">
        <f>TRIM(UPPER(Before_Tbl[[#This Row],[Remote_Work]]))</f>
        <v>TRUE</v>
      </c>
    </row>
    <row r="1008" spans="1:28" x14ac:dyDescent="0.35">
      <c r="A1008" t="s">
        <v>1610</v>
      </c>
      <c r="B1008" t="s">
        <v>69</v>
      </c>
      <c r="C1008" t="s">
        <v>20</v>
      </c>
      <c r="E1008" t="s">
        <v>192</v>
      </c>
      <c r="F1008" t="s">
        <v>33</v>
      </c>
      <c r="G1008" t="s">
        <v>600</v>
      </c>
      <c r="H1008">
        <v>77821.789999999994</v>
      </c>
      <c r="I1008" t="s">
        <v>201</v>
      </c>
      <c r="J1008">
        <v>-119236036</v>
      </c>
      <c r="K1008" t="s">
        <v>18</v>
      </c>
      <c r="L1008" t="b">
        <v>0</v>
      </c>
      <c r="P1008" t="str">
        <f>TRIM(Before_Tbl[[#This Row],[Employee_ID]])</f>
        <v>EMP2006</v>
      </c>
      <c r="Q1008" t="str">
        <f>TRIM(PROPER(Before_Tbl[[#This Row],[First_Name]]))</f>
        <v>Grace</v>
      </c>
      <c r="R1008" t="str">
        <f>TRIM(PROPER(Before_Tbl[[#This Row],[Last_Name]]))</f>
        <v>Brown</v>
      </c>
      <c r="S1008" s="25">
        <f t="shared" si="15"/>
        <v>30</v>
      </c>
      <c r="T1008" t="str">
        <f>LEFT(Before_Tbl[[#This Row],[Department_Region]],FIND("-",Before_Tbl[[#This Row],[Department_Region]])-1)</f>
        <v>HR</v>
      </c>
      <c r="U1008" t="str">
        <f>RIGHT(Before_Tbl[[#This Row],[Department_Region]],LEN(Before_Tbl[[#This Row],[Department_Region]])-FIND("-",Before_Tbl[[#This Row],[Department_Region]]))</f>
        <v>Illinois</v>
      </c>
      <c r="V1008" t="str">
        <f>TRIM(PROPER(Before_Tbl[[#This Row],[Status]]))</f>
        <v>Inactive</v>
      </c>
      <c r="W1008" s="26">
        <v>45224</v>
      </c>
      <c r="X1008" s="4">
        <v>77821.789999999994</v>
      </c>
      <c r="Y1008" t="str">
        <f>TRIM(LOWER(Before_Tbl[[#This Row],[Email]]))</f>
        <v>grace.brown@example.com</v>
      </c>
      <c r="Z1008" s="2" t="str">
        <f>SUBSTITUTE(Before_Tbl[[#This Row],[Phone]],"-","")</f>
        <v>119236036</v>
      </c>
      <c r="AA1008" t="str">
        <f>TRIM(PROPER(Before_Tbl[[#This Row],[Performance_Score]]))</f>
        <v>Average</v>
      </c>
      <c r="AB1008" s="2" t="str">
        <f>TRIM(UPPER(Before_Tbl[[#This Row],[Remote_Work]]))</f>
        <v>FALSE</v>
      </c>
    </row>
    <row r="1009" spans="1:28" x14ac:dyDescent="0.35">
      <c r="A1009" t="s">
        <v>1611</v>
      </c>
      <c r="B1009" t="s">
        <v>54</v>
      </c>
      <c r="C1009" t="s">
        <v>26</v>
      </c>
      <c r="D1009">
        <v>35</v>
      </c>
      <c r="E1009" t="s">
        <v>237</v>
      </c>
      <c r="F1009" t="s">
        <v>16</v>
      </c>
      <c r="G1009" t="s">
        <v>919</v>
      </c>
      <c r="H1009">
        <v>69146.95</v>
      </c>
      <c r="I1009" t="s">
        <v>120</v>
      </c>
      <c r="J1009">
        <v>-6811872332</v>
      </c>
      <c r="K1009" t="s">
        <v>41</v>
      </c>
      <c r="L1009" t="b">
        <v>0</v>
      </c>
      <c r="P1009" t="str">
        <f>TRIM(Before_Tbl[[#This Row],[Employee_ID]])</f>
        <v>EMP2007</v>
      </c>
      <c r="Q1009" t="str">
        <f>TRIM(PROPER(Before_Tbl[[#This Row],[First_Name]]))</f>
        <v>Charlie</v>
      </c>
      <c r="R1009" t="str">
        <f>TRIM(PROPER(Before_Tbl[[#This Row],[Last_Name]]))</f>
        <v>Jones</v>
      </c>
      <c r="S1009" s="25">
        <f t="shared" si="15"/>
        <v>35</v>
      </c>
      <c r="T1009" t="str">
        <f>LEFT(Before_Tbl[[#This Row],[Department_Region]],FIND("-",Before_Tbl[[#This Row],[Department_Region]])-1)</f>
        <v>DevOps</v>
      </c>
      <c r="U1009" t="str">
        <f>RIGHT(Before_Tbl[[#This Row],[Department_Region]],LEN(Before_Tbl[[#This Row],[Department_Region]])-FIND("-",Before_Tbl[[#This Row],[Department_Region]]))</f>
        <v>Texas</v>
      </c>
      <c r="V1009" t="str">
        <f>TRIM(PROPER(Before_Tbl[[#This Row],[Status]]))</f>
        <v>Active</v>
      </c>
      <c r="W1009" s="26">
        <v>44756</v>
      </c>
      <c r="X1009" s="4">
        <v>69146.95</v>
      </c>
      <c r="Y1009" t="str">
        <f>TRIM(LOWER(Before_Tbl[[#This Row],[Email]]))</f>
        <v>charlie.jones@example.com</v>
      </c>
      <c r="Z1009" s="2" t="str">
        <f>SUBSTITUTE(Before_Tbl[[#This Row],[Phone]],"-","")</f>
        <v>6811872332</v>
      </c>
      <c r="AA1009" t="str">
        <f>TRIM(PROPER(Before_Tbl[[#This Row],[Performance_Score]]))</f>
        <v>Poor</v>
      </c>
      <c r="AB1009" s="2" t="str">
        <f>TRIM(UPPER(Before_Tbl[[#This Row],[Remote_Work]]))</f>
        <v>FALSE</v>
      </c>
    </row>
    <row r="1010" spans="1:28" x14ac:dyDescent="0.35">
      <c r="A1010" t="s">
        <v>1612</v>
      </c>
      <c r="B1010" t="s">
        <v>69</v>
      </c>
      <c r="C1010" t="s">
        <v>20</v>
      </c>
      <c r="D1010">
        <v>35</v>
      </c>
      <c r="E1010" t="s">
        <v>27</v>
      </c>
      <c r="F1010" t="s">
        <v>33</v>
      </c>
      <c r="G1010" s="1">
        <v>44898</v>
      </c>
      <c r="H1010">
        <v>90224.82</v>
      </c>
      <c r="I1010" t="s">
        <v>201</v>
      </c>
      <c r="J1010">
        <v>-5104096148</v>
      </c>
      <c r="K1010" t="s">
        <v>30</v>
      </c>
      <c r="L1010" t="b">
        <v>1</v>
      </c>
      <c r="P1010" t="str">
        <f>TRIM(Before_Tbl[[#This Row],[Employee_ID]])</f>
        <v>EMP2008</v>
      </c>
      <c r="Q1010" t="str">
        <f>TRIM(PROPER(Before_Tbl[[#This Row],[First_Name]]))</f>
        <v>Grace</v>
      </c>
      <c r="R1010" t="str">
        <f>TRIM(PROPER(Before_Tbl[[#This Row],[Last_Name]]))</f>
        <v>Brown</v>
      </c>
      <c r="S1010" s="25">
        <f t="shared" si="15"/>
        <v>35</v>
      </c>
      <c r="T1010" t="str">
        <f>LEFT(Before_Tbl[[#This Row],[Department_Region]],FIND("-",Before_Tbl[[#This Row],[Department_Region]])-1)</f>
        <v>Admin</v>
      </c>
      <c r="U1010" t="str">
        <f>RIGHT(Before_Tbl[[#This Row],[Department_Region]],LEN(Before_Tbl[[#This Row],[Department_Region]])-FIND("-",Before_Tbl[[#This Row],[Department_Region]]))</f>
        <v>Nevada</v>
      </c>
      <c r="V1010" t="str">
        <f>TRIM(PROPER(Before_Tbl[[#This Row],[Status]]))</f>
        <v>Inactive</v>
      </c>
      <c r="W1010" s="26">
        <v>44898</v>
      </c>
      <c r="X1010" s="4">
        <v>90224.82</v>
      </c>
      <c r="Y1010" t="str">
        <f>TRIM(LOWER(Before_Tbl[[#This Row],[Email]]))</f>
        <v>grace.brown@example.com</v>
      </c>
      <c r="Z1010" s="2" t="str">
        <f>SUBSTITUTE(Before_Tbl[[#This Row],[Phone]],"-","")</f>
        <v>5104096148</v>
      </c>
      <c r="AA1010" t="str">
        <f>TRIM(PROPER(Before_Tbl[[#This Row],[Performance_Score]]))</f>
        <v>Good</v>
      </c>
      <c r="AB1010" s="2" t="str">
        <f>TRIM(UPPER(Before_Tbl[[#This Row],[Remote_Work]]))</f>
        <v>TRUE</v>
      </c>
    </row>
    <row r="1011" spans="1:28" x14ac:dyDescent="0.35">
      <c r="A1011" t="s">
        <v>1613</v>
      </c>
      <c r="B1011" t="s">
        <v>59</v>
      </c>
      <c r="C1011" t="s">
        <v>43</v>
      </c>
      <c r="E1011" t="s">
        <v>265</v>
      </c>
      <c r="F1011" t="s">
        <v>28</v>
      </c>
      <c r="G1011" s="1">
        <v>45602</v>
      </c>
      <c r="H1011">
        <v>62603.98</v>
      </c>
      <c r="I1011" t="s">
        <v>101</v>
      </c>
      <c r="J1011">
        <v>-7315391148</v>
      </c>
      <c r="K1011" t="s">
        <v>41</v>
      </c>
      <c r="L1011" t="b">
        <v>0</v>
      </c>
      <c r="P1011" t="str">
        <f>TRIM(Before_Tbl[[#This Row],[Employee_ID]])</f>
        <v>EMP2009</v>
      </c>
      <c r="Q1011" t="str">
        <f>TRIM(PROPER(Before_Tbl[[#This Row],[First_Name]]))</f>
        <v>David</v>
      </c>
      <c r="R1011" t="str">
        <f>TRIM(PROPER(Before_Tbl[[#This Row],[Last_Name]]))</f>
        <v>Garcia</v>
      </c>
      <c r="S1011" s="25">
        <f t="shared" si="15"/>
        <v>30</v>
      </c>
      <c r="T1011" t="str">
        <f>LEFT(Before_Tbl[[#This Row],[Department_Region]],FIND("-",Before_Tbl[[#This Row],[Department_Region]])-1)</f>
        <v>Finance</v>
      </c>
      <c r="U1011" t="str">
        <f>RIGHT(Before_Tbl[[#This Row],[Department_Region]],LEN(Before_Tbl[[#This Row],[Department_Region]])-FIND("-",Before_Tbl[[#This Row],[Department_Region]]))</f>
        <v>Illinois</v>
      </c>
      <c r="V1011" t="str">
        <f>TRIM(PROPER(Before_Tbl[[#This Row],[Status]]))</f>
        <v>Pending</v>
      </c>
      <c r="W1011" s="26">
        <v>45602</v>
      </c>
      <c r="X1011" s="4">
        <v>62603.98</v>
      </c>
      <c r="Y1011" t="str">
        <f>TRIM(LOWER(Before_Tbl[[#This Row],[Email]]))</f>
        <v>david.garcia@example.com</v>
      </c>
      <c r="Z1011" s="2" t="str">
        <f>SUBSTITUTE(Before_Tbl[[#This Row],[Phone]],"-","")</f>
        <v>7315391148</v>
      </c>
      <c r="AA1011" t="str">
        <f>TRIM(PROPER(Before_Tbl[[#This Row],[Performance_Score]]))</f>
        <v>Poor</v>
      </c>
      <c r="AB1011" s="2" t="str">
        <f>TRIM(UPPER(Before_Tbl[[#This Row],[Remote_Work]]))</f>
        <v>FALSE</v>
      </c>
    </row>
    <row r="1012" spans="1:28" x14ac:dyDescent="0.35">
      <c r="A1012" t="s">
        <v>1614</v>
      </c>
      <c r="B1012" t="s">
        <v>13</v>
      </c>
      <c r="C1012" t="s">
        <v>26</v>
      </c>
      <c r="D1012">
        <v>35</v>
      </c>
      <c r="E1012" t="s">
        <v>219</v>
      </c>
      <c r="F1012" t="s">
        <v>16</v>
      </c>
      <c r="G1012" s="1">
        <v>45571</v>
      </c>
      <c r="H1012">
        <v>71148.27</v>
      </c>
      <c r="I1012" t="s">
        <v>50</v>
      </c>
      <c r="J1012">
        <v>-8307482072</v>
      </c>
      <c r="K1012" t="s">
        <v>18</v>
      </c>
      <c r="L1012" t="b">
        <v>0</v>
      </c>
      <c r="P1012" t="str">
        <f>TRIM(Before_Tbl[[#This Row],[Employee_ID]])</f>
        <v>EMP2010</v>
      </c>
      <c r="Q1012" t="str">
        <f>TRIM(PROPER(Before_Tbl[[#This Row],[First_Name]]))</f>
        <v>Bob</v>
      </c>
      <c r="R1012" t="str">
        <f>TRIM(PROPER(Before_Tbl[[#This Row],[Last_Name]]))</f>
        <v>Jones</v>
      </c>
      <c r="S1012" s="25">
        <f t="shared" si="15"/>
        <v>35</v>
      </c>
      <c r="T1012" t="str">
        <f>LEFT(Before_Tbl[[#This Row],[Department_Region]],FIND("-",Before_Tbl[[#This Row],[Department_Region]])-1)</f>
        <v>Sales</v>
      </c>
      <c r="U1012" t="str">
        <f>RIGHT(Before_Tbl[[#This Row],[Department_Region]],LEN(Before_Tbl[[#This Row],[Department_Region]])-FIND("-",Before_Tbl[[#This Row],[Department_Region]]))</f>
        <v>Nevada</v>
      </c>
      <c r="V1012" t="str">
        <f>TRIM(PROPER(Before_Tbl[[#This Row],[Status]]))</f>
        <v>Active</v>
      </c>
      <c r="W1012" s="26">
        <v>45571</v>
      </c>
      <c r="X1012" s="4">
        <v>71148.27</v>
      </c>
      <c r="Y1012" t="str">
        <f>TRIM(LOWER(Before_Tbl[[#This Row],[Email]]))</f>
        <v>bob.jones@example.com</v>
      </c>
      <c r="Z1012" s="2" t="str">
        <f>SUBSTITUTE(Before_Tbl[[#This Row],[Phone]],"-","")</f>
        <v>8307482072</v>
      </c>
      <c r="AA1012" t="str">
        <f>TRIM(PROPER(Before_Tbl[[#This Row],[Performance_Score]]))</f>
        <v>Average</v>
      </c>
      <c r="AB1012" s="2" t="str">
        <f>TRIM(UPPER(Before_Tbl[[#This Row],[Remote_Work]]))</f>
        <v>FALSE</v>
      </c>
    </row>
    <row r="1013" spans="1:28" x14ac:dyDescent="0.35">
      <c r="A1013" t="s">
        <v>1615</v>
      </c>
      <c r="B1013" t="s">
        <v>59</v>
      </c>
      <c r="C1013" t="s">
        <v>26</v>
      </c>
      <c r="D1013">
        <v>40</v>
      </c>
      <c r="E1013" t="s">
        <v>118</v>
      </c>
      <c r="F1013" t="s">
        <v>33</v>
      </c>
      <c r="G1013" t="s">
        <v>224</v>
      </c>
      <c r="H1013">
        <v>52031.74</v>
      </c>
      <c r="I1013" t="s">
        <v>242</v>
      </c>
      <c r="J1013">
        <v>-6511893939</v>
      </c>
      <c r="K1013" t="s">
        <v>23</v>
      </c>
      <c r="L1013" t="b">
        <v>1</v>
      </c>
      <c r="P1013" t="str">
        <f>TRIM(Before_Tbl[[#This Row],[Employee_ID]])</f>
        <v>EMP2011</v>
      </c>
      <c r="Q1013" t="str">
        <f>TRIM(PROPER(Before_Tbl[[#This Row],[First_Name]]))</f>
        <v>David</v>
      </c>
      <c r="R1013" t="str">
        <f>TRIM(PROPER(Before_Tbl[[#This Row],[Last_Name]]))</f>
        <v>Jones</v>
      </c>
      <c r="S1013" s="25">
        <f t="shared" si="15"/>
        <v>40</v>
      </c>
      <c r="T1013" t="str">
        <f>LEFT(Before_Tbl[[#This Row],[Department_Region]],FIND("-",Before_Tbl[[#This Row],[Department_Region]])-1)</f>
        <v>Admin</v>
      </c>
      <c r="U1013" t="str">
        <f>RIGHT(Before_Tbl[[#This Row],[Department_Region]],LEN(Before_Tbl[[#This Row],[Department_Region]])-FIND("-",Before_Tbl[[#This Row],[Department_Region]]))</f>
        <v>California</v>
      </c>
      <c r="V1013" t="str">
        <f>TRIM(PROPER(Before_Tbl[[#This Row],[Status]]))</f>
        <v>Inactive</v>
      </c>
      <c r="W1013" s="26">
        <v>44825</v>
      </c>
      <c r="X1013" s="4">
        <v>52031.74</v>
      </c>
      <c r="Y1013" t="str">
        <f>TRIM(LOWER(Before_Tbl[[#This Row],[Email]]))</f>
        <v>david.jones@example.com</v>
      </c>
      <c r="Z1013" s="2" t="str">
        <f>SUBSTITUTE(Before_Tbl[[#This Row],[Phone]],"-","")</f>
        <v>6511893939</v>
      </c>
      <c r="AA1013" t="str">
        <f>TRIM(PROPER(Before_Tbl[[#This Row],[Performance_Score]]))</f>
        <v>Excellent</v>
      </c>
      <c r="AB1013" s="2" t="str">
        <f>TRIM(UPPER(Before_Tbl[[#This Row],[Remote_Work]]))</f>
        <v>TRUE</v>
      </c>
    </row>
    <row r="1014" spans="1:28" x14ac:dyDescent="0.35">
      <c r="A1014" t="s">
        <v>1616</v>
      </c>
      <c r="B1014" t="s">
        <v>69</v>
      </c>
      <c r="C1014" t="s">
        <v>92</v>
      </c>
      <c r="D1014">
        <v>35</v>
      </c>
      <c r="E1014" t="s">
        <v>230</v>
      </c>
      <c r="F1014" t="s">
        <v>33</v>
      </c>
      <c r="G1014" t="s">
        <v>1101</v>
      </c>
      <c r="H1014" t="s">
        <v>277</v>
      </c>
      <c r="I1014" t="s">
        <v>168</v>
      </c>
      <c r="J1014">
        <v>-6557820189</v>
      </c>
      <c r="K1014" t="s">
        <v>18</v>
      </c>
      <c r="L1014" t="b">
        <v>0</v>
      </c>
      <c r="P1014" t="str">
        <f>TRIM(Before_Tbl[[#This Row],[Employee_ID]])</f>
        <v>EMP2012</v>
      </c>
      <c r="Q1014" t="str">
        <f>TRIM(PROPER(Before_Tbl[[#This Row],[First_Name]]))</f>
        <v>Grace</v>
      </c>
      <c r="R1014" t="str">
        <f>TRIM(PROPER(Before_Tbl[[#This Row],[Last_Name]]))</f>
        <v>Miller</v>
      </c>
      <c r="S1014" s="25">
        <f t="shared" si="15"/>
        <v>35</v>
      </c>
      <c r="T1014" t="str">
        <f>LEFT(Before_Tbl[[#This Row],[Department_Region]],FIND("-",Before_Tbl[[#This Row],[Department_Region]])-1)</f>
        <v>DevOps</v>
      </c>
      <c r="U1014" t="str">
        <f>RIGHT(Before_Tbl[[#This Row],[Department_Region]],LEN(Before_Tbl[[#This Row],[Department_Region]])-FIND("-",Before_Tbl[[#This Row],[Department_Region]]))</f>
        <v>Florida</v>
      </c>
      <c r="V1014" t="str">
        <f>TRIM(PROPER(Before_Tbl[[#This Row],[Status]]))</f>
        <v>Inactive</v>
      </c>
      <c r="W1014" s="26">
        <v>45031</v>
      </c>
      <c r="X1014" s="4"/>
      <c r="Y1014" t="str">
        <f>TRIM(LOWER(Before_Tbl[[#This Row],[Email]]))</f>
        <v>grace.miller@example.com</v>
      </c>
      <c r="Z1014" s="2" t="str">
        <f>SUBSTITUTE(Before_Tbl[[#This Row],[Phone]],"-","")</f>
        <v>6557820189</v>
      </c>
      <c r="AA1014" t="str">
        <f>TRIM(PROPER(Before_Tbl[[#This Row],[Performance_Score]]))</f>
        <v>Average</v>
      </c>
      <c r="AB1014" s="2" t="str">
        <f>TRIM(UPPER(Before_Tbl[[#This Row],[Remote_Work]]))</f>
        <v>FALSE</v>
      </c>
    </row>
    <row r="1015" spans="1:28" x14ac:dyDescent="0.35">
      <c r="A1015" t="s">
        <v>1617</v>
      </c>
      <c r="B1015" t="s">
        <v>32</v>
      </c>
      <c r="C1015" t="s">
        <v>38</v>
      </c>
      <c r="E1015" t="s">
        <v>192</v>
      </c>
      <c r="F1015" t="s">
        <v>28</v>
      </c>
      <c r="G1015" s="1">
        <v>43984</v>
      </c>
      <c r="H1015">
        <v>116680.63</v>
      </c>
      <c r="I1015" t="s">
        <v>141</v>
      </c>
      <c r="J1015">
        <v>-4322302332</v>
      </c>
      <c r="K1015" t="s">
        <v>30</v>
      </c>
      <c r="L1015" t="b">
        <v>0</v>
      </c>
      <c r="P1015" t="str">
        <f>TRIM(Before_Tbl[[#This Row],[Employee_ID]])</f>
        <v>EMP2013</v>
      </c>
      <c r="Q1015" t="str">
        <f>TRIM(PROPER(Before_Tbl[[#This Row],[First_Name]]))</f>
        <v>Eva</v>
      </c>
      <c r="R1015" t="str">
        <f>TRIM(PROPER(Before_Tbl[[#This Row],[Last_Name]]))</f>
        <v>Williams</v>
      </c>
      <c r="S1015" s="25">
        <f t="shared" si="15"/>
        <v>30</v>
      </c>
      <c r="T1015" t="str">
        <f>LEFT(Before_Tbl[[#This Row],[Department_Region]],FIND("-",Before_Tbl[[#This Row],[Department_Region]])-1)</f>
        <v>HR</v>
      </c>
      <c r="U1015" t="str">
        <f>RIGHT(Before_Tbl[[#This Row],[Department_Region]],LEN(Before_Tbl[[#This Row],[Department_Region]])-FIND("-",Before_Tbl[[#This Row],[Department_Region]]))</f>
        <v>Illinois</v>
      </c>
      <c r="V1015" t="str">
        <f>TRIM(PROPER(Before_Tbl[[#This Row],[Status]]))</f>
        <v>Pending</v>
      </c>
      <c r="W1015" s="26">
        <v>43984</v>
      </c>
      <c r="X1015" s="4">
        <v>116680.63</v>
      </c>
      <c r="Y1015" t="str">
        <f>TRIM(LOWER(Before_Tbl[[#This Row],[Email]]))</f>
        <v>eva.williams@example.com</v>
      </c>
      <c r="Z1015" s="2" t="str">
        <f>SUBSTITUTE(Before_Tbl[[#This Row],[Phone]],"-","")</f>
        <v>4322302332</v>
      </c>
      <c r="AA1015" t="str">
        <f>TRIM(PROPER(Before_Tbl[[#This Row],[Performance_Score]]))</f>
        <v>Good</v>
      </c>
      <c r="AB1015" s="2" t="str">
        <f>TRIM(UPPER(Before_Tbl[[#This Row],[Remote_Work]]))</f>
        <v>FALSE</v>
      </c>
    </row>
    <row r="1016" spans="1:28" x14ac:dyDescent="0.35">
      <c r="A1016" t="s">
        <v>1618</v>
      </c>
      <c r="B1016" t="s">
        <v>69</v>
      </c>
      <c r="C1016" t="s">
        <v>26</v>
      </c>
      <c r="D1016">
        <v>30</v>
      </c>
      <c r="E1016" t="s">
        <v>100</v>
      </c>
      <c r="F1016" t="s">
        <v>28</v>
      </c>
      <c r="G1016" t="s">
        <v>1523</v>
      </c>
      <c r="H1016">
        <v>51990.98</v>
      </c>
      <c r="I1016" t="s">
        <v>76</v>
      </c>
      <c r="J1016">
        <v>-2470739200</v>
      </c>
      <c r="K1016" t="s">
        <v>23</v>
      </c>
      <c r="L1016" t="b">
        <v>1</v>
      </c>
      <c r="P1016" t="str">
        <f>TRIM(Before_Tbl[[#This Row],[Employee_ID]])</f>
        <v>EMP2014</v>
      </c>
      <c r="Q1016" t="str">
        <f>TRIM(PROPER(Before_Tbl[[#This Row],[First_Name]]))</f>
        <v>Grace</v>
      </c>
      <c r="R1016" t="str">
        <f>TRIM(PROPER(Before_Tbl[[#This Row],[Last_Name]]))</f>
        <v>Jones</v>
      </c>
      <c r="S1016" s="25">
        <f t="shared" si="15"/>
        <v>30</v>
      </c>
      <c r="T1016" t="str">
        <f>LEFT(Before_Tbl[[#This Row],[Department_Region]],FIND("-",Before_Tbl[[#This Row],[Department_Region]])-1)</f>
        <v>Finance</v>
      </c>
      <c r="U1016" t="str">
        <f>RIGHT(Before_Tbl[[#This Row],[Department_Region]],LEN(Before_Tbl[[#This Row],[Department_Region]])-FIND("-",Before_Tbl[[#This Row],[Department_Region]]))</f>
        <v>Nevada</v>
      </c>
      <c r="V1016" t="str">
        <f>TRIM(PROPER(Before_Tbl[[#This Row],[Status]]))</f>
        <v>Pending</v>
      </c>
      <c r="W1016" s="26">
        <v>44332</v>
      </c>
      <c r="X1016" s="4">
        <v>51990.98</v>
      </c>
      <c r="Y1016" t="str">
        <f>TRIM(LOWER(Before_Tbl[[#This Row],[Email]]))</f>
        <v>grace.jones@example.com</v>
      </c>
      <c r="Z1016" s="2" t="str">
        <f>SUBSTITUTE(Before_Tbl[[#This Row],[Phone]],"-","")</f>
        <v>2470739200</v>
      </c>
      <c r="AA1016" t="str">
        <f>TRIM(PROPER(Before_Tbl[[#This Row],[Performance_Score]]))</f>
        <v>Excellent</v>
      </c>
      <c r="AB1016" s="2" t="str">
        <f>TRIM(UPPER(Before_Tbl[[#This Row],[Remote_Work]]))</f>
        <v>TRUE</v>
      </c>
    </row>
    <row r="1017" spans="1:28" x14ac:dyDescent="0.35">
      <c r="A1017" t="s">
        <v>1619</v>
      </c>
      <c r="B1017" t="s">
        <v>59</v>
      </c>
      <c r="C1017" t="s">
        <v>92</v>
      </c>
      <c r="D1017">
        <v>30</v>
      </c>
      <c r="E1017" t="s">
        <v>146</v>
      </c>
      <c r="F1017" t="s">
        <v>16</v>
      </c>
      <c r="G1017" t="s">
        <v>1027</v>
      </c>
      <c r="H1017" t="s">
        <v>277</v>
      </c>
      <c r="I1017" t="s">
        <v>107</v>
      </c>
      <c r="J1017">
        <v>-3546212759</v>
      </c>
      <c r="K1017" t="s">
        <v>30</v>
      </c>
      <c r="L1017" t="b">
        <v>1</v>
      </c>
      <c r="P1017" t="str">
        <f>TRIM(Before_Tbl[[#This Row],[Employee_ID]])</f>
        <v>EMP2015</v>
      </c>
      <c r="Q1017" t="str">
        <f>TRIM(PROPER(Before_Tbl[[#This Row],[First_Name]]))</f>
        <v>David</v>
      </c>
      <c r="R1017" t="str">
        <f>TRIM(PROPER(Before_Tbl[[#This Row],[Last_Name]]))</f>
        <v>Miller</v>
      </c>
      <c r="S1017" s="25">
        <f t="shared" si="15"/>
        <v>30</v>
      </c>
      <c r="T1017" t="str">
        <f>LEFT(Before_Tbl[[#This Row],[Department_Region]],FIND("-",Before_Tbl[[#This Row],[Department_Region]])-1)</f>
        <v>HR</v>
      </c>
      <c r="U1017" t="str">
        <f>RIGHT(Before_Tbl[[#This Row],[Department_Region]],LEN(Before_Tbl[[#This Row],[Department_Region]])-FIND("-",Before_Tbl[[#This Row],[Department_Region]]))</f>
        <v>California</v>
      </c>
      <c r="V1017" t="str">
        <f>TRIM(PROPER(Before_Tbl[[#This Row],[Status]]))</f>
        <v>Active</v>
      </c>
      <c r="W1017" s="26">
        <v>45157</v>
      </c>
      <c r="X1017" s="4"/>
      <c r="Y1017" t="str">
        <f>TRIM(LOWER(Before_Tbl[[#This Row],[Email]]))</f>
        <v>david.miller@example.com</v>
      </c>
      <c r="Z1017" s="2" t="str">
        <f>SUBSTITUTE(Before_Tbl[[#This Row],[Phone]],"-","")</f>
        <v>3546212759</v>
      </c>
      <c r="AA1017" t="str">
        <f>TRIM(PROPER(Before_Tbl[[#This Row],[Performance_Score]]))</f>
        <v>Good</v>
      </c>
      <c r="AB1017" s="2" t="str">
        <f>TRIM(UPPER(Before_Tbl[[#This Row],[Remote_Work]]))</f>
        <v>TRUE</v>
      </c>
    </row>
    <row r="1018" spans="1:28" x14ac:dyDescent="0.35">
      <c r="A1018" t="s">
        <v>1620</v>
      </c>
      <c r="B1018" t="s">
        <v>59</v>
      </c>
      <c r="C1018" t="s">
        <v>55</v>
      </c>
      <c r="D1018">
        <v>30</v>
      </c>
      <c r="E1018" t="s">
        <v>159</v>
      </c>
      <c r="F1018" t="s">
        <v>33</v>
      </c>
      <c r="G1018" s="1">
        <v>44388</v>
      </c>
      <c r="H1018">
        <v>100215.06</v>
      </c>
      <c r="I1018" t="s">
        <v>217</v>
      </c>
      <c r="J1018">
        <v>-2508261122</v>
      </c>
      <c r="K1018" t="s">
        <v>30</v>
      </c>
      <c r="L1018" t="b">
        <v>1</v>
      </c>
      <c r="P1018" t="str">
        <f>TRIM(Before_Tbl[[#This Row],[Employee_ID]])</f>
        <v>EMP2016</v>
      </c>
      <c r="Q1018" t="str">
        <f>TRIM(PROPER(Before_Tbl[[#This Row],[First_Name]]))</f>
        <v>David</v>
      </c>
      <c r="R1018" t="str">
        <f>TRIM(PROPER(Before_Tbl[[#This Row],[Last_Name]]))</f>
        <v>Johnson</v>
      </c>
      <c r="S1018" s="25">
        <f t="shared" si="15"/>
        <v>30</v>
      </c>
      <c r="T1018" t="str">
        <f>LEFT(Before_Tbl[[#This Row],[Department_Region]],FIND("-",Before_Tbl[[#This Row],[Department_Region]])-1)</f>
        <v>Cloud Tech</v>
      </c>
      <c r="U1018" t="str">
        <f>RIGHT(Before_Tbl[[#This Row],[Department_Region]],LEN(Before_Tbl[[#This Row],[Department_Region]])-FIND("-",Before_Tbl[[#This Row],[Department_Region]]))</f>
        <v>Texas</v>
      </c>
      <c r="V1018" t="str">
        <f>TRIM(PROPER(Before_Tbl[[#This Row],[Status]]))</f>
        <v>Inactive</v>
      </c>
      <c r="W1018" s="26">
        <v>44388</v>
      </c>
      <c r="X1018" s="4">
        <v>100215.06</v>
      </c>
      <c r="Y1018" t="str">
        <f>TRIM(LOWER(Before_Tbl[[#This Row],[Email]]))</f>
        <v>david.johnson@example.com</v>
      </c>
      <c r="Z1018" s="2" t="str">
        <f>SUBSTITUTE(Before_Tbl[[#This Row],[Phone]],"-","")</f>
        <v>2508261122</v>
      </c>
      <c r="AA1018" t="str">
        <f>TRIM(PROPER(Before_Tbl[[#This Row],[Performance_Score]]))</f>
        <v>Good</v>
      </c>
      <c r="AB1018" s="2" t="str">
        <f>TRIM(UPPER(Before_Tbl[[#This Row],[Remote_Work]]))</f>
        <v>TRUE</v>
      </c>
    </row>
    <row r="1019" spans="1:28" x14ac:dyDescent="0.35">
      <c r="A1019" t="s">
        <v>1621</v>
      </c>
      <c r="B1019" t="s">
        <v>54</v>
      </c>
      <c r="C1019" t="s">
        <v>38</v>
      </c>
      <c r="D1019">
        <v>40</v>
      </c>
      <c r="E1019" t="s">
        <v>227</v>
      </c>
      <c r="F1019" t="s">
        <v>16</v>
      </c>
      <c r="G1019" s="1">
        <v>45026</v>
      </c>
      <c r="H1019">
        <v>114587.11</v>
      </c>
      <c r="I1019" t="s">
        <v>90</v>
      </c>
      <c r="J1019">
        <v>-1261632487</v>
      </c>
      <c r="K1019" t="s">
        <v>18</v>
      </c>
      <c r="L1019" t="b">
        <v>0</v>
      </c>
      <c r="P1019" t="str">
        <f>TRIM(Before_Tbl[[#This Row],[Employee_ID]])</f>
        <v>EMP2017</v>
      </c>
      <c r="Q1019" t="str">
        <f>TRIM(PROPER(Before_Tbl[[#This Row],[First_Name]]))</f>
        <v>Charlie</v>
      </c>
      <c r="R1019" t="str">
        <f>TRIM(PROPER(Before_Tbl[[#This Row],[Last_Name]]))</f>
        <v>Williams</v>
      </c>
      <c r="S1019" s="25">
        <f t="shared" si="15"/>
        <v>40</v>
      </c>
      <c r="T1019" t="str">
        <f>LEFT(Before_Tbl[[#This Row],[Department_Region]],FIND("-",Before_Tbl[[#This Row],[Department_Region]])-1)</f>
        <v>Finance</v>
      </c>
      <c r="U1019" t="str">
        <f>RIGHT(Before_Tbl[[#This Row],[Department_Region]],LEN(Before_Tbl[[#This Row],[Department_Region]])-FIND("-",Before_Tbl[[#This Row],[Department_Region]]))</f>
        <v>New York</v>
      </c>
      <c r="V1019" t="str">
        <f>TRIM(PROPER(Before_Tbl[[#This Row],[Status]]))</f>
        <v>Active</v>
      </c>
      <c r="W1019" s="26">
        <v>45026</v>
      </c>
      <c r="X1019" s="4">
        <v>114587.11</v>
      </c>
      <c r="Y1019" t="str">
        <f>TRIM(LOWER(Before_Tbl[[#This Row],[Email]]))</f>
        <v>charlie.williams@example.com</v>
      </c>
      <c r="Z1019" s="2" t="str">
        <f>SUBSTITUTE(Before_Tbl[[#This Row],[Phone]],"-","")</f>
        <v>1261632487</v>
      </c>
      <c r="AA1019" t="str">
        <f>TRIM(PROPER(Before_Tbl[[#This Row],[Performance_Score]]))</f>
        <v>Average</v>
      </c>
      <c r="AB1019" s="2" t="str">
        <f>TRIM(UPPER(Before_Tbl[[#This Row],[Remote_Work]]))</f>
        <v>FALSE</v>
      </c>
    </row>
    <row r="1020" spans="1:28" x14ac:dyDescent="0.35">
      <c r="A1020" t="s">
        <v>1622</v>
      </c>
      <c r="B1020" t="s">
        <v>25</v>
      </c>
      <c r="C1020" t="s">
        <v>43</v>
      </c>
      <c r="D1020">
        <v>30</v>
      </c>
      <c r="E1020" t="s">
        <v>212</v>
      </c>
      <c r="F1020" t="s">
        <v>33</v>
      </c>
      <c r="G1020" t="s">
        <v>1285</v>
      </c>
      <c r="H1020">
        <v>71318.789999999994</v>
      </c>
      <c r="I1020" t="s">
        <v>45</v>
      </c>
      <c r="J1020">
        <v>-8995729892</v>
      </c>
      <c r="K1020" t="s">
        <v>30</v>
      </c>
      <c r="L1020" t="b">
        <v>1</v>
      </c>
      <c r="P1020" t="str">
        <f>TRIM(Before_Tbl[[#This Row],[Employee_ID]])</f>
        <v>EMP2018</v>
      </c>
      <c r="Q1020" t="str">
        <f>TRIM(PROPER(Before_Tbl[[#This Row],[First_Name]]))</f>
        <v>Alice</v>
      </c>
      <c r="R1020" t="str">
        <f>TRIM(PROPER(Before_Tbl[[#This Row],[Last_Name]]))</f>
        <v>Garcia</v>
      </c>
      <c r="S1020" s="25">
        <f t="shared" si="15"/>
        <v>30</v>
      </c>
      <c r="T1020" t="str">
        <f>LEFT(Before_Tbl[[#This Row],[Department_Region]],FIND("-",Before_Tbl[[#This Row],[Department_Region]])-1)</f>
        <v>HR</v>
      </c>
      <c r="U1020" t="str">
        <f>RIGHT(Before_Tbl[[#This Row],[Department_Region]],LEN(Before_Tbl[[#This Row],[Department_Region]])-FIND("-",Before_Tbl[[#This Row],[Department_Region]]))</f>
        <v>Florida</v>
      </c>
      <c r="V1020" t="str">
        <f>TRIM(PROPER(Before_Tbl[[#This Row],[Status]]))</f>
        <v>Inactive</v>
      </c>
      <c r="W1020" s="26">
        <v>45642</v>
      </c>
      <c r="X1020" s="4">
        <v>71318.789999999994</v>
      </c>
      <c r="Y1020" t="str">
        <f>TRIM(LOWER(Before_Tbl[[#This Row],[Email]]))</f>
        <v>alice.garcia@example.com</v>
      </c>
      <c r="Z1020" s="2" t="str">
        <f>SUBSTITUTE(Before_Tbl[[#This Row],[Phone]],"-","")</f>
        <v>8995729892</v>
      </c>
      <c r="AA1020" t="str">
        <f>TRIM(PROPER(Before_Tbl[[#This Row],[Performance_Score]]))</f>
        <v>Good</v>
      </c>
      <c r="AB1020" s="2" t="str">
        <f>TRIM(UPPER(Before_Tbl[[#This Row],[Remote_Work]]))</f>
        <v>TRUE</v>
      </c>
    </row>
    <row r="1021" spans="1:28" x14ac:dyDescent="0.35">
      <c r="A1021" t="s">
        <v>1623</v>
      </c>
      <c r="B1021" t="s">
        <v>65</v>
      </c>
      <c r="C1021" t="s">
        <v>26</v>
      </c>
      <c r="D1021">
        <v>30</v>
      </c>
      <c r="E1021" t="s">
        <v>78</v>
      </c>
      <c r="F1021" t="s">
        <v>28</v>
      </c>
      <c r="G1021" t="s">
        <v>637</v>
      </c>
      <c r="H1021">
        <v>77764.240000000005</v>
      </c>
      <c r="I1021" t="s">
        <v>320</v>
      </c>
      <c r="J1021">
        <v>-7629745492</v>
      </c>
      <c r="K1021" t="s">
        <v>18</v>
      </c>
      <c r="L1021" t="b">
        <v>0</v>
      </c>
      <c r="P1021" t="str">
        <f>TRIM(Before_Tbl[[#This Row],[Employee_ID]])</f>
        <v>EMP2019</v>
      </c>
      <c r="Q1021" t="str">
        <f>TRIM(PROPER(Before_Tbl[[#This Row],[First_Name]]))</f>
        <v>Heidi</v>
      </c>
      <c r="R1021" t="str">
        <f>TRIM(PROPER(Before_Tbl[[#This Row],[Last_Name]]))</f>
        <v>Jones</v>
      </c>
      <c r="S1021" s="25">
        <f t="shared" si="15"/>
        <v>30</v>
      </c>
      <c r="T1021" t="str">
        <f>LEFT(Before_Tbl[[#This Row],[Department_Region]],FIND("-",Before_Tbl[[#This Row],[Department_Region]])-1)</f>
        <v>DevOps</v>
      </c>
      <c r="U1021" t="str">
        <f>RIGHT(Before_Tbl[[#This Row],[Department_Region]],LEN(Before_Tbl[[#This Row],[Department_Region]])-FIND("-",Before_Tbl[[#This Row],[Department_Region]]))</f>
        <v>Illinois</v>
      </c>
      <c r="V1021" t="str">
        <f>TRIM(PROPER(Before_Tbl[[#This Row],[Status]]))</f>
        <v>Pending</v>
      </c>
      <c r="W1021" s="26">
        <v>44249</v>
      </c>
      <c r="X1021" s="4">
        <v>77764.240000000005</v>
      </c>
      <c r="Y1021" t="str">
        <f>TRIM(LOWER(Before_Tbl[[#This Row],[Email]]))</f>
        <v>heidi.jones@example.com</v>
      </c>
      <c r="Z1021" s="2" t="str">
        <f>SUBSTITUTE(Before_Tbl[[#This Row],[Phone]],"-","")</f>
        <v>7629745492</v>
      </c>
      <c r="AA1021" t="str">
        <f>TRIM(PROPER(Before_Tbl[[#This Row],[Performance_Score]]))</f>
        <v>Average</v>
      </c>
      <c r="AB1021" s="2" t="str">
        <f>TRIM(UPPER(Before_Tbl[[#This Row],[Remote_Work]]))</f>
        <v>FALSE</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0B3C-B4DA-446B-B7D5-93C8CD90BE3D}">
  <dimension ref="A1:L1021"/>
  <sheetViews>
    <sheetView zoomScaleNormal="100" workbookViewId="0">
      <selection activeCell="M1013" sqref="M1013"/>
    </sheetView>
  </sheetViews>
  <sheetFormatPr defaultRowHeight="15.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v>25</v>
      </c>
      <c r="E2" t="s">
        <v>15</v>
      </c>
      <c r="F2" t="s">
        <v>16</v>
      </c>
      <c r="G2" s="1">
        <v>44231</v>
      </c>
      <c r="H2">
        <v>59767.65</v>
      </c>
      <c r="I2" t="s">
        <v>17</v>
      </c>
      <c r="J2">
        <v>-1651623197</v>
      </c>
      <c r="K2" t="s">
        <v>18</v>
      </c>
      <c r="L2" t="b">
        <v>1</v>
      </c>
    </row>
    <row r="3" spans="1:12" x14ac:dyDescent="0.35">
      <c r="A3" t="s">
        <v>19</v>
      </c>
      <c r="B3" t="s">
        <v>13</v>
      </c>
      <c r="C3" t="s">
        <v>20</v>
      </c>
      <c r="E3" t="s">
        <v>21</v>
      </c>
      <c r="F3" t="s">
        <v>16</v>
      </c>
      <c r="G3" s="1">
        <v>44111</v>
      </c>
      <c r="H3">
        <v>65304.66</v>
      </c>
      <c r="I3" t="s">
        <v>22</v>
      </c>
      <c r="J3">
        <v>-1898471390</v>
      </c>
      <c r="K3" t="s">
        <v>23</v>
      </c>
      <c r="L3" t="b">
        <v>1</v>
      </c>
    </row>
    <row r="4" spans="1:12" x14ac:dyDescent="0.35">
      <c r="A4" t="s">
        <v>24</v>
      </c>
      <c r="B4" t="s">
        <v>25</v>
      </c>
      <c r="C4" t="s">
        <v>26</v>
      </c>
      <c r="E4" t="s">
        <v>27</v>
      </c>
      <c r="F4" t="s">
        <v>28</v>
      </c>
      <c r="G4" s="1">
        <v>45119</v>
      </c>
      <c r="H4">
        <v>88145.9</v>
      </c>
      <c r="I4" t="s">
        <v>29</v>
      </c>
      <c r="J4">
        <v>-5596363211</v>
      </c>
      <c r="K4" t="s">
        <v>30</v>
      </c>
      <c r="L4" t="b">
        <v>1</v>
      </c>
    </row>
    <row r="5" spans="1:12" x14ac:dyDescent="0.35">
      <c r="A5" t="s">
        <v>31</v>
      </c>
      <c r="B5" t="s">
        <v>32</v>
      </c>
      <c r="C5" t="s">
        <v>14</v>
      </c>
      <c r="D5">
        <v>25</v>
      </c>
      <c r="E5" t="s">
        <v>27</v>
      </c>
      <c r="F5" t="s">
        <v>33</v>
      </c>
      <c r="G5" t="s">
        <v>34</v>
      </c>
      <c r="H5">
        <v>69450.990000000005</v>
      </c>
      <c r="I5" t="s">
        <v>35</v>
      </c>
      <c r="J5">
        <v>-3476490784</v>
      </c>
      <c r="K5" t="s">
        <v>30</v>
      </c>
      <c r="L5" t="b">
        <v>1</v>
      </c>
    </row>
    <row r="6" spans="1:12" x14ac:dyDescent="0.35">
      <c r="A6" t="s">
        <v>36</v>
      </c>
      <c r="B6" t="s">
        <v>37</v>
      </c>
      <c r="C6" t="s">
        <v>38</v>
      </c>
      <c r="D6">
        <v>25</v>
      </c>
      <c r="E6" t="s">
        <v>39</v>
      </c>
      <c r="F6" t="s">
        <v>16</v>
      </c>
      <c r="G6" s="1">
        <v>44682</v>
      </c>
      <c r="H6">
        <v>109324.61</v>
      </c>
      <c r="I6" t="s">
        <v>40</v>
      </c>
      <c r="J6">
        <v>-1586734256</v>
      </c>
      <c r="K6" t="s">
        <v>41</v>
      </c>
      <c r="L6" t="b">
        <v>0</v>
      </c>
    </row>
    <row r="7" spans="1:12" x14ac:dyDescent="0.35">
      <c r="A7" t="s">
        <v>42</v>
      </c>
      <c r="B7" t="s">
        <v>25</v>
      </c>
      <c r="C7" t="s">
        <v>43</v>
      </c>
      <c r="D7">
        <v>40</v>
      </c>
      <c r="E7" t="s">
        <v>44</v>
      </c>
      <c r="F7" t="s">
        <v>33</v>
      </c>
      <c r="G7" s="1">
        <v>44110</v>
      </c>
      <c r="H7">
        <v>88642.84</v>
      </c>
      <c r="I7" t="s">
        <v>45</v>
      </c>
      <c r="J7">
        <v>-5409003485</v>
      </c>
      <c r="K7" t="s">
        <v>30</v>
      </c>
      <c r="L7" t="b">
        <v>0</v>
      </c>
    </row>
    <row r="8" spans="1:12" x14ac:dyDescent="0.35">
      <c r="A8" t="s">
        <v>46</v>
      </c>
      <c r="B8" t="s">
        <v>37</v>
      </c>
      <c r="C8" t="s">
        <v>26</v>
      </c>
      <c r="E8" t="s">
        <v>27</v>
      </c>
      <c r="F8" t="s">
        <v>16</v>
      </c>
      <c r="G8" s="1">
        <v>43894</v>
      </c>
      <c r="H8">
        <v>96288.43</v>
      </c>
      <c r="I8" t="s">
        <v>47</v>
      </c>
      <c r="J8">
        <v>-4518376063</v>
      </c>
      <c r="K8" t="s">
        <v>30</v>
      </c>
      <c r="L8" t="b">
        <v>0</v>
      </c>
    </row>
    <row r="9" spans="1:12" x14ac:dyDescent="0.35">
      <c r="A9" t="s">
        <v>48</v>
      </c>
      <c r="B9" t="s">
        <v>13</v>
      </c>
      <c r="C9" t="s">
        <v>26</v>
      </c>
      <c r="D9">
        <v>30</v>
      </c>
      <c r="E9" t="s">
        <v>39</v>
      </c>
      <c r="F9" t="s">
        <v>33</v>
      </c>
      <c r="G9" t="s">
        <v>49</v>
      </c>
      <c r="H9">
        <v>94497.91</v>
      </c>
      <c r="I9" t="s">
        <v>50</v>
      </c>
      <c r="J9">
        <v>-4134327559</v>
      </c>
      <c r="K9" t="s">
        <v>18</v>
      </c>
      <c r="L9" t="b">
        <v>1</v>
      </c>
    </row>
    <row r="10" spans="1:12" x14ac:dyDescent="0.35">
      <c r="A10" t="s">
        <v>51</v>
      </c>
      <c r="B10" t="s">
        <v>37</v>
      </c>
      <c r="C10" t="s">
        <v>14</v>
      </c>
      <c r="D10">
        <v>35</v>
      </c>
      <c r="E10" t="s">
        <v>27</v>
      </c>
      <c r="F10" t="s">
        <v>33</v>
      </c>
      <c r="G10" s="1">
        <v>45150</v>
      </c>
      <c r="H10">
        <v>115565.82</v>
      </c>
      <c r="I10" t="s">
        <v>52</v>
      </c>
      <c r="J10">
        <v>-4177656123</v>
      </c>
      <c r="K10" t="s">
        <v>23</v>
      </c>
      <c r="L10" t="b">
        <v>1</v>
      </c>
    </row>
    <row r="11" spans="1:12" x14ac:dyDescent="0.35">
      <c r="A11" t="s">
        <v>53</v>
      </c>
      <c r="B11" t="s">
        <v>54</v>
      </c>
      <c r="C11" t="s">
        <v>55</v>
      </c>
      <c r="E11" t="s">
        <v>56</v>
      </c>
      <c r="F11" t="s">
        <v>16</v>
      </c>
      <c r="G11" s="1">
        <v>44659</v>
      </c>
      <c r="H11">
        <v>76561.88</v>
      </c>
      <c r="I11" t="s">
        <v>57</v>
      </c>
      <c r="J11">
        <v>-8156985699</v>
      </c>
      <c r="K11" t="s">
        <v>23</v>
      </c>
      <c r="L11" t="b">
        <v>1</v>
      </c>
    </row>
    <row r="12" spans="1:12" x14ac:dyDescent="0.35">
      <c r="A12" t="s">
        <v>58</v>
      </c>
      <c r="B12" t="s">
        <v>59</v>
      </c>
      <c r="C12" t="s">
        <v>38</v>
      </c>
      <c r="D12">
        <v>35</v>
      </c>
      <c r="E12" t="s">
        <v>60</v>
      </c>
      <c r="F12" t="s">
        <v>16</v>
      </c>
      <c r="G12" s="1">
        <v>45450</v>
      </c>
      <c r="H12">
        <v>72081.710000000006</v>
      </c>
      <c r="I12" t="s">
        <v>61</v>
      </c>
      <c r="J12">
        <v>-2720634590</v>
      </c>
      <c r="K12" t="s">
        <v>18</v>
      </c>
      <c r="L12" t="b">
        <v>0</v>
      </c>
    </row>
    <row r="13" spans="1:12" x14ac:dyDescent="0.35">
      <c r="A13" t="s">
        <v>62</v>
      </c>
      <c r="B13" t="s">
        <v>59</v>
      </c>
      <c r="C13" t="s">
        <v>14</v>
      </c>
      <c r="E13" t="s">
        <v>15</v>
      </c>
      <c r="F13" t="s">
        <v>16</v>
      </c>
      <c r="G13" s="1">
        <v>45025</v>
      </c>
      <c r="H13">
        <v>84946.19</v>
      </c>
      <c r="I13" t="s">
        <v>63</v>
      </c>
      <c r="J13">
        <v>-1238296576</v>
      </c>
      <c r="K13" t="s">
        <v>41</v>
      </c>
      <c r="L13" t="b">
        <v>1</v>
      </c>
    </row>
    <row r="14" spans="1:12" x14ac:dyDescent="0.35">
      <c r="A14" t="s">
        <v>64</v>
      </c>
      <c r="B14" t="s">
        <v>65</v>
      </c>
      <c r="C14" t="s">
        <v>38</v>
      </c>
      <c r="D14">
        <v>30</v>
      </c>
      <c r="E14" t="s">
        <v>66</v>
      </c>
      <c r="F14" t="s">
        <v>16</v>
      </c>
      <c r="G14" s="1">
        <v>45415</v>
      </c>
      <c r="H14">
        <v>89295.77</v>
      </c>
      <c r="I14" t="s">
        <v>67</v>
      </c>
      <c r="J14">
        <v>-2429543164</v>
      </c>
      <c r="K14" t="s">
        <v>23</v>
      </c>
      <c r="L14" t="b">
        <v>0</v>
      </c>
    </row>
    <row r="15" spans="1:12" x14ac:dyDescent="0.35">
      <c r="A15" t="s">
        <v>68</v>
      </c>
      <c r="B15" t="s">
        <v>69</v>
      </c>
      <c r="C15" t="s">
        <v>38</v>
      </c>
      <c r="E15" t="s">
        <v>70</v>
      </c>
      <c r="F15" t="s">
        <v>16</v>
      </c>
      <c r="G15" s="1">
        <v>44114</v>
      </c>
      <c r="H15">
        <v>85666.84</v>
      </c>
      <c r="I15" t="s">
        <v>71</v>
      </c>
      <c r="J15">
        <v>-2669300892</v>
      </c>
      <c r="K15" t="s">
        <v>30</v>
      </c>
      <c r="L15" t="b">
        <v>0</v>
      </c>
    </row>
    <row r="16" spans="1:12" x14ac:dyDescent="0.35">
      <c r="A16" t="s">
        <v>72</v>
      </c>
      <c r="B16" t="s">
        <v>25</v>
      </c>
      <c r="C16" t="s">
        <v>43</v>
      </c>
      <c r="D16">
        <v>25</v>
      </c>
      <c r="E16" t="s">
        <v>27</v>
      </c>
      <c r="F16" t="s">
        <v>16</v>
      </c>
      <c r="G16" s="1">
        <v>45571</v>
      </c>
      <c r="H16">
        <v>97633.68</v>
      </c>
      <c r="I16" t="s">
        <v>45</v>
      </c>
      <c r="J16">
        <v>-1734206968</v>
      </c>
      <c r="K16" t="s">
        <v>23</v>
      </c>
      <c r="L16" t="b">
        <v>1</v>
      </c>
    </row>
    <row r="17" spans="1:12" x14ac:dyDescent="0.35">
      <c r="A17" t="s">
        <v>73</v>
      </c>
      <c r="B17" t="s">
        <v>69</v>
      </c>
      <c r="C17" t="s">
        <v>26</v>
      </c>
      <c r="D17">
        <v>40</v>
      </c>
      <c r="E17" t="s">
        <v>74</v>
      </c>
      <c r="F17" t="s">
        <v>28</v>
      </c>
      <c r="G17" t="s">
        <v>75</v>
      </c>
      <c r="H17">
        <v>117975.49</v>
      </c>
      <c r="I17" t="s">
        <v>76</v>
      </c>
      <c r="J17">
        <v>-4215291085</v>
      </c>
      <c r="K17" t="s">
        <v>30</v>
      </c>
      <c r="L17" t="b">
        <v>1</v>
      </c>
    </row>
    <row r="18" spans="1:12" x14ac:dyDescent="0.35">
      <c r="A18" t="s">
        <v>77</v>
      </c>
      <c r="B18" t="s">
        <v>25</v>
      </c>
      <c r="C18" t="s">
        <v>20</v>
      </c>
      <c r="D18">
        <v>25</v>
      </c>
      <c r="E18" t="s">
        <v>78</v>
      </c>
      <c r="F18" t="s">
        <v>33</v>
      </c>
      <c r="G18" t="s">
        <v>79</v>
      </c>
      <c r="H18">
        <v>94867.33</v>
      </c>
      <c r="I18" t="s">
        <v>80</v>
      </c>
      <c r="J18">
        <v>-7713334475</v>
      </c>
      <c r="K18" t="s">
        <v>41</v>
      </c>
      <c r="L18" t="b">
        <v>0</v>
      </c>
    </row>
    <row r="19" spans="1:12" x14ac:dyDescent="0.35">
      <c r="A19" t="s">
        <v>81</v>
      </c>
      <c r="B19" t="s">
        <v>69</v>
      </c>
      <c r="C19" t="s">
        <v>43</v>
      </c>
      <c r="D19">
        <v>30</v>
      </c>
      <c r="E19" t="s">
        <v>21</v>
      </c>
      <c r="F19" t="s">
        <v>28</v>
      </c>
      <c r="G19" t="s">
        <v>82</v>
      </c>
      <c r="H19">
        <v>100377.65</v>
      </c>
      <c r="I19" t="s">
        <v>83</v>
      </c>
      <c r="J19">
        <v>-2639343625</v>
      </c>
      <c r="K19" t="s">
        <v>18</v>
      </c>
      <c r="L19" t="b">
        <v>1</v>
      </c>
    </row>
    <row r="20" spans="1:12" x14ac:dyDescent="0.35">
      <c r="A20" t="s">
        <v>84</v>
      </c>
      <c r="B20" t="s">
        <v>54</v>
      </c>
      <c r="C20" t="s">
        <v>43</v>
      </c>
      <c r="E20" t="s">
        <v>85</v>
      </c>
      <c r="F20" t="s">
        <v>33</v>
      </c>
      <c r="G20" t="s">
        <v>86</v>
      </c>
      <c r="H20">
        <v>94726.46</v>
      </c>
      <c r="I20" t="s">
        <v>87</v>
      </c>
      <c r="J20">
        <v>-2044397358</v>
      </c>
      <c r="K20" t="s">
        <v>23</v>
      </c>
      <c r="L20" t="b">
        <v>0</v>
      </c>
    </row>
    <row r="21" spans="1:12" x14ac:dyDescent="0.35">
      <c r="A21" t="s">
        <v>88</v>
      </c>
      <c r="B21" t="s">
        <v>54</v>
      </c>
      <c r="C21" t="s">
        <v>38</v>
      </c>
      <c r="D21">
        <v>35</v>
      </c>
      <c r="E21" t="s">
        <v>89</v>
      </c>
      <c r="F21" t="s">
        <v>28</v>
      </c>
      <c r="G21" s="1">
        <v>43862</v>
      </c>
      <c r="H21">
        <v>91926.12</v>
      </c>
      <c r="I21" t="s">
        <v>90</v>
      </c>
      <c r="J21">
        <v>-7107256365</v>
      </c>
      <c r="K21" t="s">
        <v>18</v>
      </c>
      <c r="L21" t="b">
        <v>1</v>
      </c>
    </row>
    <row r="22" spans="1:12" x14ac:dyDescent="0.35">
      <c r="A22" t="s">
        <v>91</v>
      </c>
      <c r="B22" t="s">
        <v>13</v>
      </c>
      <c r="C22" t="s">
        <v>92</v>
      </c>
      <c r="D22">
        <v>35</v>
      </c>
      <c r="E22" t="s">
        <v>66</v>
      </c>
      <c r="F22" t="s">
        <v>16</v>
      </c>
      <c r="G22" s="1">
        <v>44413</v>
      </c>
      <c r="H22">
        <v>111460.67</v>
      </c>
      <c r="I22" t="s">
        <v>93</v>
      </c>
      <c r="J22">
        <v>-9411800536</v>
      </c>
      <c r="K22" t="s">
        <v>23</v>
      </c>
      <c r="L22" t="b">
        <v>1</v>
      </c>
    </row>
    <row r="23" spans="1:12" x14ac:dyDescent="0.35">
      <c r="A23" t="s">
        <v>94</v>
      </c>
      <c r="B23" t="s">
        <v>13</v>
      </c>
      <c r="C23" t="s">
        <v>26</v>
      </c>
      <c r="D23">
        <v>40</v>
      </c>
      <c r="E23" t="s">
        <v>95</v>
      </c>
      <c r="F23" t="s">
        <v>16</v>
      </c>
      <c r="G23" t="s">
        <v>96</v>
      </c>
      <c r="H23">
        <v>96182.56</v>
      </c>
      <c r="I23" t="s">
        <v>50</v>
      </c>
      <c r="J23">
        <v>-5990048963</v>
      </c>
      <c r="K23" t="s">
        <v>30</v>
      </c>
      <c r="L23" t="b">
        <v>0</v>
      </c>
    </row>
    <row r="24" spans="1:12" x14ac:dyDescent="0.35">
      <c r="A24" t="s">
        <v>97</v>
      </c>
      <c r="B24" t="s">
        <v>54</v>
      </c>
      <c r="C24" t="s">
        <v>55</v>
      </c>
      <c r="D24">
        <v>35</v>
      </c>
      <c r="E24" t="s">
        <v>98</v>
      </c>
      <c r="F24" t="s">
        <v>33</v>
      </c>
      <c r="G24" s="1">
        <v>44442</v>
      </c>
      <c r="H24">
        <v>115023.94</v>
      </c>
      <c r="I24" t="s">
        <v>57</v>
      </c>
      <c r="J24">
        <v>-6528092427</v>
      </c>
      <c r="K24" t="s">
        <v>18</v>
      </c>
      <c r="L24" t="b">
        <v>1</v>
      </c>
    </row>
    <row r="25" spans="1:12" x14ac:dyDescent="0.35">
      <c r="A25" t="s">
        <v>99</v>
      </c>
      <c r="B25" t="s">
        <v>59</v>
      </c>
      <c r="C25" t="s">
        <v>43</v>
      </c>
      <c r="D25">
        <v>35</v>
      </c>
      <c r="E25" t="s">
        <v>100</v>
      </c>
      <c r="F25" t="s">
        <v>28</v>
      </c>
      <c r="G25" s="1">
        <v>44622</v>
      </c>
      <c r="H25">
        <v>80667.009999999995</v>
      </c>
      <c r="I25" t="s">
        <v>101</v>
      </c>
      <c r="J25">
        <v>-7572158623</v>
      </c>
      <c r="K25" t="s">
        <v>23</v>
      </c>
      <c r="L25" t="b">
        <v>0</v>
      </c>
    </row>
    <row r="26" spans="1:12" x14ac:dyDescent="0.35">
      <c r="A26" t="s">
        <v>102</v>
      </c>
      <c r="B26" t="s">
        <v>13</v>
      </c>
      <c r="C26" t="s">
        <v>20</v>
      </c>
      <c r="D26">
        <v>30</v>
      </c>
      <c r="E26" t="s">
        <v>103</v>
      </c>
      <c r="F26" t="s">
        <v>33</v>
      </c>
      <c r="G26" t="s">
        <v>104</v>
      </c>
      <c r="H26">
        <v>91181.61</v>
      </c>
      <c r="I26" t="s">
        <v>22</v>
      </c>
      <c r="J26">
        <v>-1502745643</v>
      </c>
      <c r="K26" t="s">
        <v>30</v>
      </c>
      <c r="L26" t="b">
        <v>1</v>
      </c>
    </row>
    <row r="27" spans="1:12" x14ac:dyDescent="0.35">
      <c r="A27" t="s">
        <v>105</v>
      </c>
      <c r="B27" t="s">
        <v>59</v>
      </c>
      <c r="C27" t="s">
        <v>92</v>
      </c>
      <c r="D27">
        <v>25</v>
      </c>
      <c r="E27" t="s">
        <v>85</v>
      </c>
      <c r="F27" t="s">
        <v>28</v>
      </c>
      <c r="G27" t="s">
        <v>106</v>
      </c>
      <c r="H27">
        <v>66025.919999999998</v>
      </c>
      <c r="I27" t="s">
        <v>107</v>
      </c>
      <c r="J27">
        <v>-9485625727</v>
      </c>
      <c r="K27" t="s">
        <v>18</v>
      </c>
      <c r="L27" t="b">
        <v>0</v>
      </c>
    </row>
    <row r="28" spans="1:12" x14ac:dyDescent="0.35">
      <c r="A28" t="s">
        <v>108</v>
      </c>
      <c r="B28" t="s">
        <v>37</v>
      </c>
      <c r="C28" t="s">
        <v>92</v>
      </c>
      <c r="D28">
        <v>25</v>
      </c>
      <c r="E28" t="s">
        <v>109</v>
      </c>
      <c r="F28" t="s">
        <v>33</v>
      </c>
      <c r="G28" s="1">
        <v>44967</v>
      </c>
      <c r="H28">
        <v>83979.01</v>
      </c>
      <c r="I28" t="s">
        <v>110</v>
      </c>
      <c r="J28">
        <v>-7032032073</v>
      </c>
      <c r="K28" t="s">
        <v>18</v>
      </c>
      <c r="L28" t="b">
        <v>0</v>
      </c>
    </row>
    <row r="29" spans="1:12" x14ac:dyDescent="0.35">
      <c r="A29" t="s">
        <v>111</v>
      </c>
      <c r="B29" t="s">
        <v>65</v>
      </c>
      <c r="C29" t="s">
        <v>55</v>
      </c>
      <c r="D29">
        <v>30</v>
      </c>
      <c r="E29" t="s">
        <v>112</v>
      </c>
      <c r="F29" t="s">
        <v>16</v>
      </c>
      <c r="G29" s="1">
        <v>44172</v>
      </c>
      <c r="H29">
        <v>56785.16</v>
      </c>
      <c r="I29" t="s">
        <v>113</v>
      </c>
      <c r="J29">
        <v>-2761707586</v>
      </c>
      <c r="K29" t="s">
        <v>23</v>
      </c>
      <c r="L29" t="b">
        <v>1</v>
      </c>
    </row>
    <row r="30" spans="1:12" x14ac:dyDescent="0.35">
      <c r="A30" t="s">
        <v>114</v>
      </c>
      <c r="B30" t="s">
        <v>69</v>
      </c>
      <c r="C30" t="s">
        <v>43</v>
      </c>
      <c r="D30">
        <v>40</v>
      </c>
      <c r="E30" t="s">
        <v>100</v>
      </c>
      <c r="F30" t="s">
        <v>16</v>
      </c>
      <c r="G30" s="1">
        <v>45240</v>
      </c>
      <c r="H30">
        <v>95741.88</v>
      </c>
      <c r="I30" t="s">
        <v>83</v>
      </c>
      <c r="J30">
        <v>-7712151341</v>
      </c>
      <c r="K30" t="s">
        <v>23</v>
      </c>
      <c r="L30" t="b">
        <v>0</v>
      </c>
    </row>
    <row r="31" spans="1:12" x14ac:dyDescent="0.35">
      <c r="A31" t="s">
        <v>115</v>
      </c>
      <c r="B31" t="s">
        <v>25</v>
      </c>
      <c r="C31" t="s">
        <v>20</v>
      </c>
      <c r="D31">
        <v>40</v>
      </c>
      <c r="E31" t="s">
        <v>15</v>
      </c>
      <c r="F31" t="s">
        <v>16</v>
      </c>
      <c r="G31" t="s">
        <v>116</v>
      </c>
      <c r="H31">
        <v>63411.31</v>
      </c>
      <c r="I31" t="s">
        <v>80</v>
      </c>
      <c r="J31">
        <v>-2849939088</v>
      </c>
      <c r="K31" t="s">
        <v>23</v>
      </c>
      <c r="L31" t="b">
        <v>1</v>
      </c>
    </row>
    <row r="32" spans="1:12" x14ac:dyDescent="0.35">
      <c r="A32" t="s">
        <v>117</v>
      </c>
      <c r="B32" t="s">
        <v>54</v>
      </c>
      <c r="C32" t="s">
        <v>26</v>
      </c>
      <c r="D32">
        <v>40</v>
      </c>
      <c r="E32" t="s">
        <v>118</v>
      </c>
      <c r="F32" t="s">
        <v>33</v>
      </c>
      <c r="G32" t="s">
        <v>119</v>
      </c>
      <c r="H32">
        <v>111214.02</v>
      </c>
      <c r="I32" t="s">
        <v>120</v>
      </c>
      <c r="J32">
        <v>-2613715040</v>
      </c>
      <c r="K32" t="s">
        <v>30</v>
      </c>
      <c r="L32" t="b">
        <v>1</v>
      </c>
    </row>
    <row r="33" spans="1:12" x14ac:dyDescent="0.35">
      <c r="A33" t="s">
        <v>121</v>
      </c>
      <c r="B33" t="s">
        <v>13</v>
      </c>
      <c r="C33" t="s">
        <v>122</v>
      </c>
      <c r="D33">
        <v>25</v>
      </c>
      <c r="E33" t="s">
        <v>78</v>
      </c>
      <c r="F33" t="s">
        <v>16</v>
      </c>
      <c r="G33" s="1">
        <v>44111</v>
      </c>
      <c r="H33">
        <v>114845.69</v>
      </c>
      <c r="I33" t="s">
        <v>123</v>
      </c>
      <c r="J33">
        <v>-6591520176</v>
      </c>
      <c r="K33" t="s">
        <v>23</v>
      </c>
      <c r="L33" t="b">
        <v>1</v>
      </c>
    </row>
    <row r="34" spans="1:12" x14ac:dyDescent="0.35">
      <c r="A34" t="s">
        <v>124</v>
      </c>
      <c r="B34" t="s">
        <v>54</v>
      </c>
      <c r="C34" t="s">
        <v>20</v>
      </c>
      <c r="D34">
        <v>40</v>
      </c>
      <c r="E34" t="s">
        <v>112</v>
      </c>
      <c r="F34" t="s">
        <v>16</v>
      </c>
      <c r="G34" s="1">
        <v>45423</v>
      </c>
      <c r="H34">
        <v>78072.820000000007</v>
      </c>
      <c r="I34" t="s">
        <v>125</v>
      </c>
      <c r="J34">
        <v>-7490509758</v>
      </c>
      <c r="K34" t="s">
        <v>18</v>
      </c>
      <c r="L34" t="b">
        <v>0</v>
      </c>
    </row>
    <row r="35" spans="1:12" x14ac:dyDescent="0.35">
      <c r="A35" t="s">
        <v>126</v>
      </c>
      <c r="B35" t="s">
        <v>69</v>
      </c>
      <c r="C35" t="s">
        <v>55</v>
      </c>
      <c r="D35">
        <v>25</v>
      </c>
      <c r="E35" t="s">
        <v>70</v>
      </c>
      <c r="F35" t="s">
        <v>33</v>
      </c>
      <c r="G35" s="1">
        <v>44385</v>
      </c>
      <c r="H35">
        <v>79610.52</v>
      </c>
      <c r="I35" t="s">
        <v>127</v>
      </c>
      <c r="J35">
        <v>-2304501895</v>
      </c>
      <c r="K35" t="s">
        <v>18</v>
      </c>
      <c r="L35" t="b">
        <v>0</v>
      </c>
    </row>
    <row r="36" spans="1:12" x14ac:dyDescent="0.35">
      <c r="A36" t="s">
        <v>128</v>
      </c>
      <c r="B36" t="s">
        <v>65</v>
      </c>
      <c r="C36" t="s">
        <v>92</v>
      </c>
      <c r="D36">
        <v>30</v>
      </c>
      <c r="E36" t="s">
        <v>118</v>
      </c>
      <c r="F36" t="s">
        <v>16</v>
      </c>
      <c r="G36" t="s">
        <v>129</v>
      </c>
      <c r="H36">
        <v>90542.62</v>
      </c>
      <c r="I36" t="s">
        <v>130</v>
      </c>
      <c r="J36">
        <v>-1642361031</v>
      </c>
      <c r="K36" t="s">
        <v>23</v>
      </c>
      <c r="L36" t="b">
        <v>1</v>
      </c>
    </row>
    <row r="37" spans="1:12" x14ac:dyDescent="0.35">
      <c r="A37" t="s">
        <v>131</v>
      </c>
      <c r="B37" t="s">
        <v>37</v>
      </c>
      <c r="C37" t="s">
        <v>26</v>
      </c>
      <c r="D37">
        <v>25</v>
      </c>
      <c r="E37" t="s">
        <v>95</v>
      </c>
      <c r="F37" t="s">
        <v>33</v>
      </c>
      <c r="G37" t="s">
        <v>132</v>
      </c>
      <c r="H37">
        <v>114357.1</v>
      </c>
      <c r="I37" t="s">
        <v>47</v>
      </c>
      <c r="J37">
        <v>-6642147648</v>
      </c>
      <c r="K37" t="s">
        <v>23</v>
      </c>
      <c r="L37" t="b">
        <v>1</v>
      </c>
    </row>
    <row r="38" spans="1:12" x14ac:dyDescent="0.35">
      <c r="A38" t="s">
        <v>133</v>
      </c>
      <c r="B38" t="s">
        <v>25</v>
      </c>
      <c r="C38" t="s">
        <v>20</v>
      </c>
      <c r="E38" t="s">
        <v>60</v>
      </c>
      <c r="F38" t="s">
        <v>16</v>
      </c>
      <c r="G38" s="1">
        <v>44990</v>
      </c>
      <c r="H38">
        <v>54757.26</v>
      </c>
      <c r="I38" t="s">
        <v>80</v>
      </c>
      <c r="J38">
        <v>-2515837766</v>
      </c>
      <c r="K38" t="s">
        <v>41</v>
      </c>
      <c r="L38" t="b">
        <v>0</v>
      </c>
    </row>
    <row r="39" spans="1:12" x14ac:dyDescent="0.35">
      <c r="A39" t="s">
        <v>134</v>
      </c>
      <c r="B39" t="s">
        <v>69</v>
      </c>
      <c r="C39" t="s">
        <v>122</v>
      </c>
      <c r="D39">
        <v>25</v>
      </c>
      <c r="E39" t="s">
        <v>109</v>
      </c>
      <c r="F39" t="s">
        <v>28</v>
      </c>
      <c r="G39" s="1">
        <v>44962</v>
      </c>
      <c r="H39">
        <v>52781.919999999998</v>
      </c>
      <c r="I39" t="s">
        <v>135</v>
      </c>
      <c r="J39">
        <v>-4996165925</v>
      </c>
      <c r="K39" t="s">
        <v>18</v>
      </c>
      <c r="L39" t="b">
        <v>1</v>
      </c>
    </row>
    <row r="40" spans="1:12" x14ac:dyDescent="0.35">
      <c r="A40" t="s">
        <v>136</v>
      </c>
      <c r="B40" t="s">
        <v>37</v>
      </c>
      <c r="C40" t="s">
        <v>122</v>
      </c>
      <c r="D40">
        <v>35</v>
      </c>
      <c r="E40" t="s">
        <v>27</v>
      </c>
      <c r="F40" t="s">
        <v>28</v>
      </c>
      <c r="G40" s="1">
        <v>44326</v>
      </c>
      <c r="H40">
        <v>66708.02</v>
      </c>
      <c r="I40" t="s">
        <v>137</v>
      </c>
      <c r="J40">
        <v>-6108573277</v>
      </c>
      <c r="K40" t="s">
        <v>30</v>
      </c>
      <c r="L40" t="b">
        <v>1</v>
      </c>
    </row>
    <row r="41" spans="1:12" x14ac:dyDescent="0.35">
      <c r="A41" t="s">
        <v>138</v>
      </c>
      <c r="B41" t="s">
        <v>32</v>
      </c>
      <c r="C41" t="s">
        <v>38</v>
      </c>
      <c r="D41">
        <v>40</v>
      </c>
      <c r="E41" t="s">
        <v>139</v>
      </c>
      <c r="F41" t="s">
        <v>16</v>
      </c>
      <c r="G41" t="s">
        <v>140</v>
      </c>
      <c r="H41">
        <v>93481.15</v>
      </c>
      <c r="I41" t="s">
        <v>141</v>
      </c>
      <c r="J41">
        <v>-8147617421</v>
      </c>
      <c r="K41" t="s">
        <v>41</v>
      </c>
      <c r="L41" t="b">
        <v>0</v>
      </c>
    </row>
    <row r="42" spans="1:12" x14ac:dyDescent="0.35">
      <c r="A42" t="s">
        <v>142</v>
      </c>
      <c r="B42" t="s">
        <v>13</v>
      </c>
      <c r="C42" t="s">
        <v>38</v>
      </c>
      <c r="D42">
        <v>25</v>
      </c>
      <c r="E42" t="s">
        <v>109</v>
      </c>
      <c r="F42" t="s">
        <v>28</v>
      </c>
      <c r="G42" t="s">
        <v>143</v>
      </c>
      <c r="H42">
        <v>59271.96</v>
      </c>
      <c r="I42" t="s">
        <v>144</v>
      </c>
      <c r="J42">
        <v>-4386490809</v>
      </c>
      <c r="K42" t="s">
        <v>23</v>
      </c>
      <c r="L42" t="b">
        <v>1</v>
      </c>
    </row>
    <row r="43" spans="1:12" x14ac:dyDescent="0.35">
      <c r="A43" t="s">
        <v>145</v>
      </c>
      <c r="B43" t="s">
        <v>13</v>
      </c>
      <c r="C43" t="s">
        <v>14</v>
      </c>
      <c r="D43">
        <v>30</v>
      </c>
      <c r="E43" t="s">
        <v>146</v>
      </c>
      <c r="F43" t="s">
        <v>16</v>
      </c>
      <c r="G43" t="s">
        <v>147</v>
      </c>
      <c r="H43">
        <v>108362.15</v>
      </c>
      <c r="I43" t="s">
        <v>17</v>
      </c>
      <c r="J43">
        <v>-8186617944</v>
      </c>
      <c r="K43" t="s">
        <v>23</v>
      </c>
      <c r="L43" t="b">
        <v>0</v>
      </c>
    </row>
    <row r="44" spans="1:12" x14ac:dyDescent="0.35">
      <c r="A44" t="s">
        <v>148</v>
      </c>
      <c r="B44" t="s">
        <v>25</v>
      </c>
      <c r="C44" t="s">
        <v>55</v>
      </c>
      <c r="E44" t="s">
        <v>149</v>
      </c>
      <c r="F44" t="s">
        <v>16</v>
      </c>
      <c r="G44" s="1">
        <v>45363</v>
      </c>
      <c r="H44">
        <v>59400.38</v>
      </c>
      <c r="I44" t="s">
        <v>150</v>
      </c>
      <c r="J44">
        <v>-4918017225</v>
      </c>
      <c r="K44" t="s">
        <v>18</v>
      </c>
      <c r="L44" t="b">
        <v>1</v>
      </c>
    </row>
    <row r="45" spans="1:12" x14ac:dyDescent="0.35">
      <c r="A45" t="s">
        <v>151</v>
      </c>
      <c r="B45" t="s">
        <v>13</v>
      </c>
      <c r="C45" t="s">
        <v>43</v>
      </c>
      <c r="E45" t="s">
        <v>118</v>
      </c>
      <c r="F45" t="s">
        <v>33</v>
      </c>
      <c r="G45" t="s">
        <v>152</v>
      </c>
      <c r="H45">
        <v>64744.08</v>
      </c>
      <c r="I45" t="s">
        <v>153</v>
      </c>
      <c r="J45">
        <v>-164597793</v>
      </c>
      <c r="K45" t="s">
        <v>23</v>
      </c>
      <c r="L45" t="b">
        <v>0</v>
      </c>
    </row>
    <row r="46" spans="1:12" x14ac:dyDescent="0.35">
      <c r="A46" t="s">
        <v>154</v>
      </c>
      <c r="B46" t="s">
        <v>32</v>
      </c>
      <c r="C46" t="s">
        <v>20</v>
      </c>
      <c r="E46" t="s">
        <v>70</v>
      </c>
      <c r="F46" t="s">
        <v>16</v>
      </c>
      <c r="G46" s="1">
        <v>44050</v>
      </c>
      <c r="H46">
        <v>94399.91</v>
      </c>
      <c r="I46" t="s">
        <v>155</v>
      </c>
      <c r="J46">
        <v>-5232194167</v>
      </c>
      <c r="K46" t="s">
        <v>30</v>
      </c>
      <c r="L46" t="b">
        <v>1</v>
      </c>
    </row>
    <row r="47" spans="1:12" x14ac:dyDescent="0.35">
      <c r="A47" t="s">
        <v>156</v>
      </c>
      <c r="B47" t="s">
        <v>25</v>
      </c>
      <c r="C47" t="s">
        <v>20</v>
      </c>
      <c r="D47">
        <v>25</v>
      </c>
      <c r="E47" t="s">
        <v>66</v>
      </c>
      <c r="F47" t="s">
        <v>28</v>
      </c>
      <c r="G47" t="s">
        <v>157</v>
      </c>
      <c r="H47">
        <v>61310.74</v>
      </c>
      <c r="I47" t="s">
        <v>80</v>
      </c>
      <c r="J47">
        <v>-61027768</v>
      </c>
      <c r="K47" t="s">
        <v>18</v>
      </c>
      <c r="L47" t="b">
        <v>1</v>
      </c>
    </row>
    <row r="48" spans="1:12" x14ac:dyDescent="0.35">
      <c r="A48" t="s">
        <v>158</v>
      </c>
      <c r="B48" t="s">
        <v>69</v>
      </c>
      <c r="C48" t="s">
        <v>43</v>
      </c>
      <c r="E48" t="s">
        <v>159</v>
      </c>
      <c r="F48" t="s">
        <v>16</v>
      </c>
      <c r="G48" t="s">
        <v>160</v>
      </c>
      <c r="H48">
        <v>98371.37</v>
      </c>
      <c r="I48" t="s">
        <v>83</v>
      </c>
      <c r="J48">
        <v>-7499564121</v>
      </c>
      <c r="K48" t="s">
        <v>23</v>
      </c>
      <c r="L48" t="b">
        <v>0</v>
      </c>
    </row>
    <row r="49" spans="1:12" x14ac:dyDescent="0.35">
      <c r="A49" t="s">
        <v>161</v>
      </c>
      <c r="B49" t="s">
        <v>25</v>
      </c>
      <c r="C49" t="s">
        <v>14</v>
      </c>
      <c r="D49">
        <v>35</v>
      </c>
      <c r="E49" t="s">
        <v>98</v>
      </c>
      <c r="F49" t="s">
        <v>16</v>
      </c>
      <c r="G49" t="s">
        <v>162</v>
      </c>
      <c r="H49">
        <v>58921.19</v>
      </c>
      <c r="I49" t="s">
        <v>163</v>
      </c>
      <c r="J49">
        <v>-310303722</v>
      </c>
      <c r="K49" t="s">
        <v>18</v>
      </c>
      <c r="L49" t="b">
        <v>1</v>
      </c>
    </row>
    <row r="50" spans="1:12" x14ac:dyDescent="0.35">
      <c r="A50" t="s">
        <v>164</v>
      </c>
      <c r="B50" t="s">
        <v>25</v>
      </c>
      <c r="C50" t="s">
        <v>92</v>
      </c>
      <c r="D50">
        <v>35</v>
      </c>
      <c r="E50" t="s">
        <v>27</v>
      </c>
      <c r="F50" t="s">
        <v>16</v>
      </c>
      <c r="G50" t="s">
        <v>165</v>
      </c>
      <c r="H50">
        <v>57195.55</v>
      </c>
      <c r="I50" t="s">
        <v>166</v>
      </c>
      <c r="J50">
        <v>-6831472759</v>
      </c>
      <c r="K50" t="s">
        <v>23</v>
      </c>
      <c r="L50" t="b">
        <v>0</v>
      </c>
    </row>
    <row r="51" spans="1:12" x14ac:dyDescent="0.35">
      <c r="A51" t="s">
        <v>167</v>
      </c>
      <c r="B51" t="s">
        <v>69</v>
      </c>
      <c r="C51" t="s">
        <v>92</v>
      </c>
      <c r="E51" t="s">
        <v>56</v>
      </c>
      <c r="F51" t="s">
        <v>16</v>
      </c>
      <c r="G51" s="1">
        <v>45423</v>
      </c>
      <c r="H51">
        <v>61375.12</v>
      </c>
      <c r="I51" t="s">
        <v>168</v>
      </c>
      <c r="J51">
        <v>-1227770792</v>
      </c>
      <c r="K51" t="s">
        <v>23</v>
      </c>
      <c r="L51" t="b">
        <v>1</v>
      </c>
    </row>
    <row r="52" spans="1:12" x14ac:dyDescent="0.35">
      <c r="A52" t="s">
        <v>169</v>
      </c>
      <c r="B52" t="s">
        <v>54</v>
      </c>
      <c r="C52" t="s">
        <v>14</v>
      </c>
      <c r="D52">
        <v>40</v>
      </c>
      <c r="E52" t="s">
        <v>60</v>
      </c>
      <c r="F52" t="s">
        <v>28</v>
      </c>
      <c r="G52" s="1">
        <v>44511</v>
      </c>
      <c r="H52">
        <v>104767.05</v>
      </c>
      <c r="I52" t="s">
        <v>170</v>
      </c>
      <c r="J52">
        <v>-3496050165</v>
      </c>
      <c r="K52" t="s">
        <v>23</v>
      </c>
      <c r="L52" t="b">
        <v>0</v>
      </c>
    </row>
    <row r="53" spans="1:12" x14ac:dyDescent="0.35">
      <c r="A53" t="s">
        <v>171</v>
      </c>
      <c r="B53" t="s">
        <v>59</v>
      </c>
      <c r="C53" t="s">
        <v>92</v>
      </c>
      <c r="D53">
        <v>35</v>
      </c>
      <c r="E53" t="s">
        <v>27</v>
      </c>
      <c r="F53" t="s">
        <v>16</v>
      </c>
      <c r="G53" t="s">
        <v>172</v>
      </c>
      <c r="H53">
        <v>111051.67</v>
      </c>
      <c r="I53" t="s">
        <v>107</v>
      </c>
      <c r="J53">
        <v>-7998407677</v>
      </c>
      <c r="K53" t="s">
        <v>30</v>
      </c>
      <c r="L53" t="b">
        <v>0</v>
      </c>
    </row>
    <row r="54" spans="1:12" x14ac:dyDescent="0.35">
      <c r="A54" t="s">
        <v>173</v>
      </c>
      <c r="B54" t="s">
        <v>59</v>
      </c>
      <c r="C54" t="s">
        <v>38</v>
      </c>
      <c r="D54">
        <v>30</v>
      </c>
      <c r="E54" t="s">
        <v>70</v>
      </c>
      <c r="F54" t="s">
        <v>33</v>
      </c>
      <c r="G54" s="1">
        <v>45481</v>
      </c>
      <c r="H54">
        <v>105674.18</v>
      </c>
      <c r="I54" t="s">
        <v>61</v>
      </c>
      <c r="J54">
        <v>-9973080694</v>
      </c>
      <c r="K54" t="s">
        <v>30</v>
      </c>
      <c r="L54" t="b">
        <v>0</v>
      </c>
    </row>
    <row r="55" spans="1:12" x14ac:dyDescent="0.35">
      <c r="A55" t="s">
        <v>174</v>
      </c>
      <c r="B55" t="s">
        <v>25</v>
      </c>
      <c r="C55" t="s">
        <v>20</v>
      </c>
      <c r="D55">
        <v>30</v>
      </c>
      <c r="E55" t="s">
        <v>70</v>
      </c>
      <c r="F55" t="s">
        <v>33</v>
      </c>
      <c r="G55" s="1">
        <v>45423</v>
      </c>
      <c r="H55">
        <v>54859.45</v>
      </c>
      <c r="I55" t="s">
        <v>80</v>
      </c>
      <c r="J55">
        <v>-8146717956</v>
      </c>
      <c r="K55" t="s">
        <v>18</v>
      </c>
      <c r="L55" t="b">
        <v>0</v>
      </c>
    </row>
    <row r="56" spans="1:12" x14ac:dyDescent="0.35">
      <c r="A56" t="s">
        <v>175</v>
      </c>
      <c r="B56" t="s">
        <v>37</v>
      </c>
      <c r="C56" t="s">
        <v>14</v>
      </c>
      <c r="E56" t="s">
        <v>100</v>
      </c>
      <c r="F56" t="s">
        <v>28</v>
      </c>
      <c r="G56" s="1">
        <v>44450</v>
      </c>
      <c r="H56">
        <v>115746.6</v>
      </c>
      <c r="I56" t="s">
        <v>52</v>
      </c>
      <c r="J56">
        <v>-6024375737</v>
      </c>
      <c r="K56" t="s">
        <v>23</v>
      </c>
      <c r="L56" t="b">
        <v>1</v>
      </c>
    </row>
    <row r="57" spans="1:12" x14ac:dyDescent="0.35">
      <c r="A57" t="s">
        <v>176</v>
      </c>
      <c r="B57" t="s">
        <v>32</v>
      </c>
      <c r="C57" t="s">
        <v>20</v>
      </c>
      <c r="D57">
        <v>30</v>
      </c>
      <c r="E57" t="s">
        <v>177</v>
      </c>
      <c r="F57" t="s">
        <v>16</v>
      </c>
      <c r="G57" s="1">
        <v>44112</v>
      </c>
      <c r="H57">
        <v>91759.99</v>
      </c>
      <c r="I57" t="s">
        <v>155</v>
      </c>
      <c r="J57">
        <v>-3959724664</v>
      </c>
      <c r="K57" t="s">
        <v>23</v>
      </c>
      <c r="L57" t="b">
        <v>1</v>
      </c>
    </row>
    <row r="58" spans="1:12" x14ac:dyDescent="0.35">
      <c r="A58" t="s">
        <v>178</v>
      </c>
      <c r="B58" t="s">
        <v>37</v>
      </c>
      <c r="C58" t="s">
        <v>43</v>
      </c>
      <c r="D58">
        <v>40</v>
      </c>
      <c r="E58" t="s">
        <v>98</v>
      </c>
      <c r="F58" t="s">
        <v>16</v>
      </c>
      <c r="G58" t="s">
        <v>179</v>
      </c>
      <c r="H58">
        <v>112965.33</v>
      </c>
      <c r="I58" t="s">
        <v>180</v>
      </c>
      <c r="J58">
        <v>-7293417222</v>
      </c>
      <c r="K58" t="s">
        <v>30</v>
      </c>
      <c r="L58" t="b">
        <v>0</v>
      </c>
    </row>
    <row r="59" spans="1:12" x14ac:dyDescent="0.35">
      <c r="A59" t="s">
        <v>181</v>
      </c>
      <c r="B59" t="s">
        <v>25</v>
      </c>
      <c r="C59" t="s">
        <v>122</v>
      </c>
      <c r="D59">
        <v>40</v>
      </c>
      <c r="E59" t="s">
        <v>95</v>
      </c>
      <c r="F59" t="s">
        <v>28</v>
      </c>
      <c r="G59" s="1">
        <v>45118</v>
      </c>
      <c r="H59">
        <v>100360.1</v>
      </c>
      <c r="I59" t="s">
        <v>182</v>
      </c>
      <c r="J59">
        <v>-2971674337</v>
      </c>
      <c r="K59" t="s">
        <v>23</v>
      </c>
      <c r="L59" t="b">
        <v>0</v>
      </c>
    </row>
    <row r="60" spans="1:12" x14ac:dyDescent="0.35">
      <c r="A60" t="s">
        <v>183</v>
      </c>
      <c r="B60" t="s">
        <v>59</v>
      </c>
      <c r="C60" t="s">
        <v>38</v>
      </c>
      <c r="D60">
        <v>35</v>
      </c>
      <c r="E60" t="s">
        <v>21</v>
      </c>
      <c r="F60" t="s">
        <v>28</v>
      </c>
      <c r="G60" s="1">
        <v>44388</v>
      </c>
      <c r="H60">
        <v>93620.88</v>
      </c>
      <c r="I60" t="s">
        <v>61</v>
      </c>
      <c r="J60">
        <v>-54522800</v>
      </c>
      <c r="K60" t="s">
        <v>30</v>
      </c>
      <c r="L60" t="b">
        <v>0</v>
      </c>
    </row>
    <row r="61" spans="1:12" x14ac:dyDescent="0.35">
      <c r="A61" t="s">
        <v>184</v>
      </c>
      <c r="B61" t="s">
        <v>13</v>
      </c>
      <c r="C61" t="s">
        <v>26</v>
      </c>
      <c r="D61">
        <v>35</v>
      </c>
      <c r="E61" t="s">
        <v>177</v>
      </c>
      <c r="F61" t="s">
        <v>28</v>
      </c>
      <c r="G61" t="s">
        <v>185</v>
      </c>
      <c r="H61">
        <v>72832.800000000003</v>
      </c>
      <c r="I61" t="s">
        <v>50</v>
      </c>
      <c r="J61">
        <v>-5619318373</v>
      </c>
      <c r="K61" t="s">
        <v>23</v>
      </c>
      <c r="L61" t="b">
        <v>1</v>
      </c>
    </row>
    <row r="62" spans="1:12" x14ac:dyDescent="0.35">
      <c r="A62" t="s">
        <v>186</v>
      </c>
      <c r="B62" t="s">
        <v>54</v>
      </c>
      <c r="C62" t="s">
        <v>38</v>
      </c>
      <c r="D62">
        <v>30</v>
      </c>
      <c r="E62" t="s">
        <v>100</v>
      </c>
      <c r="F62" t="s">
        <v>33</v>
      </c>
      <c r="G62" t="s">
        <v>187</v>
      </c>
      <c r="H62">
        <v>102369.42</v>
      </c>
      <c r="I62" t="s">
        <v>90</v>
      </c>
      <c r="J62">
        <v>-5508428909</v>
      </c>
      <c r="K62" t="s">
        <v>18</v>
      </c>
      <c r="L62" t="b">
        <v>1</v>
      </c>
    </row>
    <row r="63" spans="1:12" x14ac:dyDescent="0.35">
      <c r="A63" t="s">
        <v>188</v>
      </c>
      <c r="B63" t="s">
        <v>32</v>
      </c>
      <c r="C63" t="s">
        <v>14</v>
      </c>
      <c r="D63">
        <v>40</v>
      </c>
      <c r="E63" t="s">
        <v>44</v>
      </c>
      <c r="F63" t="s">
        <v>33</v>
      </c>
      <c r="G63" s="1">
        <v>44477</v>
      </c>
      <c r="H63">
        <v>64712.79</v>
      </c>
      <c r="I63" t="s">
        <v>35</v>
      </c>
      <c r="J63">
        <v>-7711991807</v>
      </c>
      <c r="K63" t="s">
        <v>23</v>
      </c>
      <c r="L63" t="b">
        <v>1</v>
      </c>
    </row>
    <row r="64" spans="1:12" x14ac:dyDescent="0.35">
      <c r="A64" t="s">
        <v>189</v>
      </c>
      <c r="B64" t="s">
        <v>37</v>
      </c>
      <c r="C64" t="s">
        <v>26</v>
      </c>
      <c r="D64">
        <v>40</v>
      </c>
      <c r="E64" t="s">
        <v>112</v>
      </c>
      <c r="F64" t="s">
        <v>28</v>
      </c>
      <c r="G64" t="s">
        <v>190</v>
      </c>
      <c r="H64">
        <v>85782.18</v>
      </c>
      <c r="I64" t="s">
        <v>47</v>
      </c>
      <c r="J64">
        <v>-1213524786</v>
      </c>
      <c r="K64" t="s">
        <v>23</v>
      </c>
      <c r="L64" t="b">
        <v>1</v>
      </c>
    </row>
    <row r="65" spans="1:12" x14ac:dyDescent="0.35">
      <c r="A65" t="s">
        <v>191</v>
      </c>
      <c r="B65" t="s">
        <v>54</v>
      </c>
      <c r="C65" t="s">
        <v>122</v>
      </c>
      <c r="D65">
        <v>25</v>
      </c>
      <c r="E65" t="s">
        <v>192</v>
      </c>
      <c r="F65" t="s">
        <v>28</v>
      </c>
      <c r="G65" t="s">
        <v>193</v>
      </c>
      <c r="H65">
        <v>93348.26</v>
      </c>
      <c r="I65" t="s">
        <v>194</v>
      </c>
      <c r="J65">
        <v>-1255213759</v>
      </c>
      <c r="K65" t="s">
        <v>41</v>
      </c>
      <c r="L65" t="b">
        <v>0</v>
      </c>
    </row>
    <row r="66" spans="1:12" x14ac:dyDescent="0.35">
      <c r="A66" t="s">
        <v>195</v>
      </c>
      <c r="B66" t="s">
        <v>59</v>
      </c>
      <c r="C66" t="s">
        <v>14</v>
      </c>
      <c r="D66">
        <v>35</v>
      </c>
      <c r="E66" t="s">
        <v>196</v>
      </c>
      <c r="F66" t="s">
        <v>16</v>
      </c>
      <c r="G66" t="s">
        <v>197</v>
      </c>
      <c r="H66">
        <v>53234.96</v>
      </c>
      <c r="I66" t="s">
        <v>63</v>
      </c>
      <c r="J66">
        <v>-3754821455</v>
      </c>
      <c r="K66" t="s">
        <v>30</v>
      </c>
      <c r="L66" t="b">
        <v>0</v>
      </c>
    </row>
    <row r="67" spans="1:12" x14ac:dyDescent="0.35">
      <c r="A67" t="s">
        <v>198</v>
      </c>
      <c r="B67" t="s">
        <v>13</v>
      </c>
      <c r="C67" t="s">
        <v>55</v>
      </c>
      <c r="D67">
        <v>40</v>
      </c>
      <c r="E67" t="s">
        <v>100</v>
      </c>
      <c r="F67" t="s">
        <v>28</v>
      </c>
      <c r="G67" s="1">
        <v>44229</v>
      </c>
      <c r="H67">
        <v>100284.21</v>
      </c>
      <c r="I67" t="s">
        <v>199</v>
      </c>
      <c r="J67">
        <v>-5328632665</v>
      </c>
      <c r="K67" t="s">
        <v>23</v>
      </c>
      <c r="L67" t="b">
        <v>0</v>
      </c>
    </row>
    <row r="68" spans="1:12" x14ac:dyDescent="0.35">
      <c r="A68" t="s">
        <v>200</v>
      </c>
      <c r="B68" t="s">
        <v>69</v>
      </c>
      <c r="C68" t="s">
        <v>20</v>
      </c>
      <c r="D68">
        <v>30</v>
      </c>
      <c r="E68" t="s">
        <v>27</v>
      </c>
      <c r="F68" t="s">
        <v>28</v>
      </c>
      <c r="G68" s="1">
        <v>44166</v>
      </c>
      <c r="H68">
        <v>112486.19</v>
      </c>
      <c r="I68" t="s">
        <v>201</v>
      </c>
      <c r="J68">
        <v>-7850720810</v>
      </c>
      <c r="K68" t="s">
        <v>23</v>
      </c>
      <c r="L68" t="b">
        <v>1</v>
      </c>
    </row>
    <row r="69" spans="1:12" x14ac:dyDescent="0.35">
      <c r="A69" t="s">
        <v>202</v>
      </c>
      <c r="B69" t="s">
        <v>13</v>
      </c>
      <c r="C69" t="s">
        <v>122</v>
      </c>
      <c r="D69">
        <v>40</v>
      </c>
      <c r="E69" t="s">
        <v>196</v>
      </c>
      <c r="F69" t="s">
        <v>28</v>
      </c>
      <c r="G69" t="s">
        <v>203</v>
      </c>
      <c r="H69">
        <v>82518.490000000005</v>
      </c>
      <c r="I69" t="s">
        <v>123</v>
      </c>
      <c r="J69">
        <v>-5562606028</v>
      </c>
      <c r="K69" t="s">
        <v>41</v>
      </c>
      <c r="L69" t="b">
        <v>1</v>
      </c>
    </row>
    <row r="70" spans="1:12" x14ac:dyDescent="0.35">
      <c r="A70" t="s">
        <v>204</v>
      </c>
      <c r="B70" t="s">
        <v>13</v>
      </c>
      <c r="C70" t="s">
        <v>20</v>
      </c>
      <c r="D70">
        <v>40</v>
      </c>
      <c r="E70" t="s">
        <v>205</v>
      </c>
      <c r="F70" t="s">
        <v>28</v>
      </c>
      <c r="G70" t="s">
        <v>206</v>
      </c>
      <c r="H70">
        <v>119152.47</v>
      </c>
      <c r="I70" t="s">
        <v>22</v>
      </c>
      <c r="J70">
        <v>-846684549</v>
      </c>
      <c r="K70" t="s">
        <v>41</v>
      </c>
      <c r="L70" t="b">
        <v>1</v>
      </c>
    </row>
    <row r="71" spans="1:12" x14ac:dyDescent="0.35">
      <c r="A71" t="s">
        <v>207</v>
      </c>
      <c r="B71" t="s">
        <v>65</v>
      </c>
      <c r="C71" t="s">
        <v>92</v>
      </c>
      <c r="E71" t="s">
        <v>78</v>
      </c>
      <c r="F71" t="s">
        <v>33</v>
      </c>
      <c r="G71" t="s">
        <v>208</v>
      </c>
      <c r="H71">
        <v>113479.83</v>
      </c>
      <c r="I71" t="s">
        <v>130</v>
      </c>
      <c r="J71">
        <v>-4892673898</v>
      </c>
      <c r="K71" t="s">
        <v>30</v>
      </c>
      <c r="L71" t="b">
        <v>0</v>
      </c>
    </row>
    <row r="72" spans="1:12" x14ac:dyDescent="0.35">
      <c r="A72" t="s">
        <v>209</v>
      </c>
      <c r="B72" t="s">
        <v>54</v>
      </c>
      <c r="C72" t="s">
        <v>55</v>
      </c>
      <c r="D72">
        <v>40</v>
      </c>
      <c r="E72" t="s">
        <v>70</v>
      </c>
      <c r="F72" t="s">
        <v>16</v>
      </c>
      <c r="G72" t="s">
        <v>210</v>
      </c>
      <c r="H72">
        <v>94636.3</v>
      </c>
      <c r="I72" t="s">
        <v>57</v>
      </c>
      <c r="J72">
        <v>-7563410855</v>
      </c>
      <c r="K72" t="s">
        <v>41</v>
      </c>
      <c r="L72" t="b">
        <v>0</v>
      </c>
    </row>
    <row r="73" spans="1:12" x14ac:dyDescent="0.35">
      <c r="A73" t="s">
        <v>211</v>
      </c>
      <c r="B73" t="s">
        <v>65</v>
      </c>
      <c r="C73" t="s">
        <v>55</v>
      </c>
      <c r="D73">
        <v>30</v>
      </c>
      <c r="E73" t="s">
        <v>212</v>
      </c>
      <c r="F73" t="s">
        <v>16</v>
      </c>
      <c r="G73" s="1">
        <v>45292</v>
      </c>
      <c r="H73">
        <v>70000.97</v>
      </c>
      <c r="I73" t="s">
        <v>113</v>
      </c>
      <c r="J73">
        <v>-2884318847</v>
      </c>
      <c r="K73" t="s">
        <v>18</v>
      </c>
      <c r="L73" t="b">
        <v>1</v>
      </c>
    </row>
    <row r="74" spans="1:12" x14ac:dyDescent="0.35">
      <c r="A74" t="s">
        <v>213</v>
      </c>
      <c r="B74" t="s">
        <v>37</v>
      </c>
      <c r="C74" t="s">
        <v>122</v>
      </c>
      <c r="E74" t="s">
        <v>60</v>
      </c>
      <c r="F74" t="s">
        <v>16</v>
      </c>
      <c r="G74" t="s">
        <v>214</v>
      </c>
      <c r="H74">
        <v>76812.47</v>
      </c>
      <c r="I74" t="s">
        <v>137</v>
      </c>
      <c r="J74">
        <v>-5200894345</v>
      </c>
      <c r="K74" t="s">
        <v>41</v>
      </c>
      <c r="L74" t="b">
        <v>0</v>
      </c>
    </row>
    <row r="75" spans="1:12" x14ac:dyDescent="0.35">
      <c r="A75" t="s">
        <v>215</v>
      </c>
      <c r="B75" t="s">
        <v>59</v>
      </c>
      <c r="C75" t="s">
        <v>55</v>
      </c>
      <c r="D75">
        <v>25</v>
      </c>
      <c r="E75" t="s">
        <v>112</v>
      </c>
      <c r="F75" t="s">
        <v>33</v>
      </c>
      <c r="G75" t="s">
        <v>216</v>
      </c>
      <c r="H75">
        <v>82614.7</v>
      </c>
      <c r="I75" t="s">
        <v>217</v>
      </c>
      <c r="J75">
        <v>-8105485100</v>
      </c>
      <c r="K75" t="s">
        <v>18</v>
      </c>
      <c r="L75" t="b">
        <v>1</v>
      </c>
    </row>
    <row r="76" spans="1:12" x14ac:dyDescent="0.35">
      <c r="A76" t="s">
        <v>218</v>
      </c>
      <c r="B76" t="s">
        <v>69</v>
      </c>
      <c r="C76" t="s">
        <v>26</v>
      </c>
      <c r="D76">
        <v>40</v>
      </c>
      <c r="E76" t="s">
        <v>219</v>
      </c>
      <c r="F76" t="s">
        <v>16</v>
      </c>
      <c r="G76" t="s">
        <v>220</v>
      </c>
      <c r="H76">
        <v>111645.97</v>
      </c>
      <c r="I76" t="s">
        <v>76</v>
      </c>
      <c r="J76">
        <v>-7490753997</v>
      </c>
      <c r="K76" t="s">
        <v>30</v>
      </c>
      <c r="L76" t="b">
        <v>1</v>
      </c>
    </row>
    <row r="77" spans="1:12" x14ac:dyDescent="0.35">
      <c r="A77" t="s">
        <v>221</v>
      </c>
      <c r="B77" t="s">
        <v>65</v>
      </c>
      <c r="C77" t="s">
        <v>55</v>
      </c>
      <c r="D77">
        <v>25</v>
      </c>
      <c r="E77" t="s">
        <v>146</v>
      </c>
      <c r="F77" t="s">
        <v>33</v>
      </c>
      <c r="G77" t="s">
        <v>222</v>
      </c>
      <c r="H77">
        <v>112414.91</v>
      </c>
      <c r="I77" t="s">
        <v>113</v>
      </c>
      <c r="J77">
        <v>-9354492682</v>
      </c>
      <c r="K77" t="s">
        <v>30</v>
      </c>
      <c r="L77" t="b">
        <v>0</v>
      </c>
    </row>
    <row r="78" spans="1:12" x14ac:dyDescent="0.35">
      <c r="A78" t="s">
        <v>223</v>
      </c>
      <c r="B78" t="s">
        <v>59</v>
      </c>
      <c r="C78" t="s">
        <v>20</v>
      </c>
      <c r="D78">
        <v>40</v>
      </c>
      <c r="E78" t="s">
        <v>118</v>
      </c>
      <c r="F78" t="s">
        <v>33</v>
      </c>
      <c r="G78" t="s">
        <v>224</v>
      </c>
      <c r="H78">
        <v>52031.74</v>
      </c>
      <c r="I78" t="s">
        <v>225</v>
      </c>
      <c r="J78">
        <v>-1589357125</v>
      </c>
      <c r="K78" t="s">
        <v>30</v>
      </c>
      <c r="L78" t="b">
        <v>1</v>
      </c>
    </row>
    <row r="79" spans="1:12" x14ac:dyDescent="0.35">
      <c r="A79" t="s">
        <v>226</v>
      </c>
      <c r="B79" t="s">
        <v>69</v>
      </c>
      <c r="C79" t="s">
        <v>20</v>
      </c>
      <c r="D79">
        <v>30</v>
      </c>
      <c r="E79" t="s">
        <v>227</v>
      </c>
      <c r="F79" t="s">
        <v>28</v>
      </c>
      <c r="G79" t="s">
        <v>228</v>
      </c>
      <c r="H79">
        <v>51887.65</v>
      </c>
      <c r="I79" t="s">
        <v>201</v>
      </c>
      <c r="J79">
        <v>-6110627370</v>
      </c>
      <c r="K79" t="s">
        <v>30</v>
      </c>
      <c r="L79" t="b">
        <v>0</v>
      </c>
    </row>
    <row r="80" spans="1:12" x14ac:dyDescent="0.35">
      <c r="A80" t="s">
        <v>229</v>
      </c>
      <c r="B80" t="s">
        <v>25</v>
      </c>
      <c r="C80" t="s">
        <v>14</v>
      </c>
      <c r="D80">
        <v>25</v>
      </c>
      <c r="E80" t="s">
        <v>230</v>
      </c>
      <c r="F80" t="s">
        <v>16</v>
      </c>
      <c r="G80" s="1">
        <v>45576</v>
      </c>
      <c r="H80">
        <v>82318.89</v>
      </c>
      <c r="I80" t="s">
        <v>163</v>
      </c>
      <c r="J80">
        <v>-5869886496</v>
      </c>
      <c r="K80" t="s">
        <v>30</v>
      </c>
      <c r="L80" t="b">
        <v>1</v>
      </c>
    </row>
    <row r="81" spans="1:12" x14ac:dyDescent="0.35">
      <c r="A81" t="s">
        <v>231</v>
      </c>
      <c r="B81" t="s">
        <v>69</v>
      </c>
      <c r="C81" t="s">
        <v>20</v>
      </c>
      <c r="D81">
        <v>35</v>
      </c>
      <c r="E81" t="s">
        <v>205</v>
      </c>
      <c r="F81" t="s">
        <v>33</v>
      </c>
      <c r="G81" t="s">
        <v>232</v>
      </c>
      <c r="H81">
        <v>103286.08</v>
      </c>
      <c r="I81" t="s">
        <v>201</v>
      </c>
      <c r="J81">
        <v>-6776228276</v>
      </c>
      <c r="K81" t="s">
        <v>18</v>
      </c>
      <c r="L81" t="b">
        <v>0</v>
      </c>
    </row>
    <row r="82" spans="1:12" x14ac:dyDescent="0.35">
      <c r="A82" t="s">
        <v>233</v>
      </c>
      <c r="B82" t="s">
        <v>69</v>
      </c>
      <c r="C82" t="s">
        <v>14</v>
      </c>
      <c r="D82">
        <v>35</v>
      </c>
      <c r="E82" t="s">
        <v>39</v>
      </c>
      <c r="F82" t="s">
        <v>16</v>
      </c>
      <c r="G82" t="s">
        <v>234</v>
      </c>
      <c r="H82">
        <v>87759.33</v>
      </c>
      <c r="I82" t="s">
        <v>235</v>
      </c>
      <c r="J82">
        <v>-2881377027</v>
      </c>
      <c r="K82" t="s">
        <v>18</v>
      </c>
      <c r="L82" t="b">
        <v>0</v>
      </c>
    </row>
    <row r="83" spans="1:12" x14ac:dyDescent="0.35">
      <c r="A83" t="s">
        <v>236</v>
      </c>
      <c r="B83" t="s">
        <v>37</v>
      </c>
      <c r="C83" t="s">
        <v>20</v>
      </c>
      <c r="D83">
        <v>30</v>
      </c>
      <c r="E83" t="s">
        <v>237</v>
      </c>
      <c r="F83" t="s">
        <v>28</v>
      </c>
      <c r="G83" t="s">
        <v>238</v>
      </c>
      <c r="H83">
        <v>102796.32</v>
      </c>
      <c r="I83" t="s">
        <v>239</v>
      </c>
      <c r="J83">
        <v>-5196115939</v>
      </c>
      <c r="K83" t="s">
        <v>30</v>
      </c>
      <c r="L83" t="b">
        <v>0</v>
      </c>
    </row>
    <row r="84" spans="1:12" x14ac:dyDescent="0.35">
      <c r="A84" t="s">
        <v>240</v>
      </c>
      <c r="B84" t="s">
        <v>59</v>
      </c>
      <c r="C84" t="s">
        <v>26</v>
      </c>
      <c r="D84">
        <v>25</v>
      </c>
      <c r="E84" t="s">
        <v>109</v>
      </c>
      <c r="F84" t="s">
        <v>16</v>
      </c>
      <c r="G84" t="s">
        <v>241</v>
      </c>
      <c r="H84">
        <v>83149.27</v>
      </c>
      <c r="I84" t="s">
        <v>242</v>
      </c>
      <c r="J84">
        <v>-8215454469</v>
      </c>
      <c r="K84" t="s">
        <v>41</v>
      </c>
      <c r="L84" t="b">
        <v>1</v>
      </c>
    </row>
    <row r="85" spans="1:12" x14ac:dyDescent="0.35">
      <c r="A85" t="s">
        <v>243</v>
      </c>
      <c r="B85" t="s">
        <v>59</v>
      </c>
      <c r="C85" t="s">
        <v>43</v>
      </c>
      <c r="D85">
        <v>40</v>
      </c>
      <c r="E85" t="s">
        <v>15</v>
      </c>
      <c r="F85" t="s">
        <v>33</v>
      </c>
      <c r="G85" s="1">
        <v>44086</v>
      </c>
      <c r="H85">
        <v>92412.49</v>
      </c>
      <c r="I85" t="s">
        <v>101</v>
      </c>
      <c r="J85">
        <v>-2296044326</v>
      </c>
      <c r="K85" t="s">
        <v>23</v>
      </c>
      <c r="L85" t="b">
        <v>1</v>
      </c>
    </row>
    <row r="86" spans="1:12" x14ac:dyDescent="0.35">
      <c r="A86" t="s">
        <v>244</v>
      </c>
      <c r="B86" t="s">
        <v>13</v>
      </c>
      <c r="C86" t="s">
        <v>14</v>
      </c>
      <c r="D86">
        <v>30</v>
      </c>
      <c r="E86" t="s">
        <v>139</v>
      </c>
      <c r="F86" t="s">
        <v>28</v>
      </c>
      <c r="G86" t="s">
        <v>245</v>
      </c>
      <c r="H86">
        <v>115022.1</v>
      </c>
      <c r="I86" t="s">
        <v>17</v>
      </c>
      <c r="J86">
        <v>-185106793</v>
      </c>
      <c r="K86" t="s">
        <v>30</v>
      </c>
      <c r="L86" t="b">
        <v>0</v>
      </c>
    </row>
    <row r="87" spans="1:12" x14ac:dyDescent="0.35">
      <c r="A87" t="s">
        <v>246</v>
      </c>
      <c r="B87" t="s">
        <v>69</v>
      </c>
      <c r="C87" t="s">
        <v>38</v>
      </c>
      <c r="D87">
        <v>40</v>
      </c>
      <c r="E87" t="s">
        <v>56</v>
      </c>
      <c r="F87" t="s">
        <v>16</v>
      </c>
      <c r="G87" t="s">
        <v>247</v>
      </c>
      <c r="H87">
        <v>98343.01</v>
      </c>
      <c r="I87" t="s">
        <v>71</v>
      </c>
      <c r="J87">
        <v>-9756792286</v>
      </c>
      <c r="K87" t="s">
        <v>41</v>
      </c>
      <c r="L87" t="b">
        <v>0</v>
      </c>
    </row>
    <row r="88" spans="1:12" x14ac:dyDescent="0.35">
      <c r="A88" t="s">
        <v>248</v>
      </c>
      <c r="B88" t="s">
        <v>13</v>
      </c>
      <c r="C88" t="s">
        <v>92</v>
      </c>
      <c r="D88">
        <v>35</v>
      </c>
      <c r="E88" t="s">
        <v>78</v>
      </c>
      <c r="F88" t="s">
        <v>16</v>
      </c>
      <c r="G88" t="s">
        <v>249</v>
      </c>
      <c r="H88">
        <v>118869.1</v>
      </c>
      <c r="I88" t="s">
        <v>93</v>
      </c>
      <c r="J88">
        <v>-7725199662</v>
      </c>
      <c r="K88" t="s">
        <v>23</v>
      </c>
      <c r="L88" t="b">
        <v>1</v>
      </c>
    </row>
    <row r="89" spans="1:12" x14ac:dyDescent="0.35">
      <c r="A89" t="s">
        <v>250</v>
      </c>
      <c r="B89" t="s">
        <v>37</v>
      </c>
      <c r="C89" t="s">
        <v>122</v>
      </c>
      <c r="E89" t="s">
        <v>100</v>
      </c>
      <c r="F89" t="s">
        <v>33</v>
      </c>
      <c r="G89" t="s">
        <v>251</v>
      </c>
      <c r="H89">
        <v>85417.26</v>
      </c>
      <c r="I89" t="s">
        <v>137</v>
      </c>
      <c r="J89">
        <v>-6580741208</v>
      </c>
      <c r="K89" t="s">
        <v>30</v>
      </c>
      <c r="L89" t="b">
        <v>1</v>
      </c>
    </row>
    <row r="90" spans="1:12" x14ac:dyDescent="0.35">
      <c r="A90" t="s">
        <v>252</v>
      </c>
      <c r="B90" t="s">
        <v>69</v>
      </c>
      <c r="C90" t="s">
        <v>20</v>
      </c>
      <c r="D90">
        <v>40</v>
      </c>
      <c r="E90" t="s">
        <v>39</v>
      </c>
      <c r="F90" t="s">
        <v>33</v>
      </c>
      <c r="G90" t="s">
        <v>253</v>
      </c>
      <c r="H90">
        <v>112410.25</v>
      </c>
      <c r="I90" t="s">
        <v>201</v>
      </c>
      <c r="J90">
        <v>-4818139889</v>
      </c>
      <c r="K90" t="s">
        <v>30</v>
      </c>
      <c r="L90" t="b">
        <v>1</v>
      </c>
    </row>
    <row r="91" spans="1:12" x14ac:dyDescent="0.35">
      <c r="A91" t="s">
        <v>254</v>
      </c>
      <c r="B91" t="s">
        <v>54</v>
      </c>
      <c r="C91" t="s">
        <v>55</v>
      </c>
      <c r="D91">
        <v>40</v>
      </c>
      <c r="E91" t="s">
        <v>27</v>
      </c>
      <c r="F91" t="s">
        <v>28</v>
      </c>
      <c r="G91" t="s">
        <v>255</v>
      </c>
      <c r="H91">
        <v>68905.77</v>
      </c>
      <c r="I91" t="s">
        <v>57</v>
      </c>
      <c r="J91">
        <v>-9837801819</v>
      </c>
      <c r="K91" t="s">
        <v>18</v>
      </c>
      <c r="L91" t="b">
        <v>0</v>
      </c>
    </row>
    <row r="92" spans="1:12" x14ac:dyDescent="0.35">
      <c r="A92" t="s">
        <v>256</v>
      </c>
      <c r="B92" t="s">
        <v>65</v>
      </c>
      <c r="C92" t="s">
        <v>43</v>
      </c>
      <c r="D92">
        <v>40</v>
      </c>
      <c r="E92" t="s">
        <v>100</v>
      </c>
      <c r="F92" t="s">
        <v>28</v>
      </c>
      <c r="G92" s="1">
        <v>44262</v>
      </c>
      <c r="H92">
        <v>72561.320000000007</v>
      </c>
      <c r="I92" t="s">
        <v>257</v>
      </c>
      <c r="J92">
        <v>-4339718955</v>
      </c>
      <c r="K92" t="s">
        <v>23</v>
      </c>
      <c r="L92" t="b">
        <v>1</v>
      </c>
    </row>
    <row r="93" spans="1:12" x14ac:dyDescent="0.35">
      <c r="A93" t="s">
        <v>258</v>
      </c>
      <c r="B93" t="s">
        <v>13</v>
      </c>
      <c r="C93" t="s">
        <v>20</v>
      </c>
      <c r="D93">
        <v>35</v>
      </c>
      <c r="E93" t="s">
        <v>227</v>
      </c>
      <c r="F93" t="s">
        <v>33</v>
      </c>
      <c r="G93" t="s">
        <v>259</v>
      </c>
      <c r="H93">
        <v>92723.22</v>
      </c>
      <c r="I93" t="s">
        <v>22</v>
      </c>
      <c r="J93">
        <v>-9070562607</v>
      </c>
      <c r="K93" t="s">
        <v>23</v>
      </c>
      <c r="L93" t="b">
        <v>1</v>
      </c>
    </row>
    <row r="94" spans="1:12" x14ac:dyDescent="0.35">
      <c r="A94" t="s">
        <v>260</v>
      </c>
      <c r="B94" t="s">
        <v>25</v>
      </c>
      <c r="C94" t="s">
        <v>55</v>
      </c>
      <c r="D94">
        <v>40</v>
      </c>
      <c r="E94" t="s">
        <v>66</v>
      </c>
      <c r="F94" t="s">
        <v>33</v>
      </c>
      <c r="G94" s="1">
        <v>44472</v>
      </c>
      <c r="H94">
        <v>74837.75</v>
      </c>
      <c r="I94" t="s">
        <v>150</v>
      </c>
      <c r="J94">
        <v>-5641118241</v>
      </c>
      <c r="K94" t="s">
        <v>41</v>
      </c>
      <c r="L94" t="b">
        <v>0</v>
      </c>
    </row>
    <row r="95" spans="1:12" x14ac:dyDescent="0.35">
      <c r="A95" t="s">
        <v>261</v>
      </c>
      <c r="B95" t="s">
        <v>32</v>
      </c>
      <c r="C95" t="s">
        <v>92</v>
      </c>
      <c r="E95" t="s">
        <v>15</v>
      </c>
      <c r="F95" t="s">
        <v>28</v>
      </c>
      <c r="G95" t="s">
        <v>262</v>
      </c>
      <c r="H95">
        <v>86163.91</v>
      </c>
      <c r="I95" t="s">
        <v>263</v>
      </c>
      <c r="J95">
        <v>-2412462094</v>
      </c>
      <c r="K95" t="s">
        <v>18</v>
      </c>
      <c r="L95" t="b">
        <v>1</v>
      </c>
    </row>
    <row r="96" spans="1:12" x14ac:dyDescent="0.35">
      <c r="A96" t="s">
        <v>264</v>
      </c>
      <c r="B96" t="s">
        <v>59</v>
      </c>
      <c r="C96" t="s">
        <v>92</v>
      </c>
      <c r="D96">
        <v>40</v>
      </c>
      <c r="E96" t="s">
        <v>265</v>
      </c>
      <c r="F96" t="s">
        <v>16</v>
      </c>
      <c r="G96" t="s">
        <v>266</v>
      </c>
      <c r="H96">
        <v>83326.52</v>
      </c>
      <c r="I96" t="s">
        <v>107</v>
      </c>
      <c r="J96">
        <v>-2004615264</v>
      </c>
      <c r="K96" t="s">
        <v>18</v>
      </c>
      <c r="L96" t="b">
        <v>1</v>
      </c>
    </row>
    <row r="97" spans="1:12" x14ac:dyDescent="0.35">
      <c r="A97" t="s">
        <v>267</v>
      </c>
      <c r="B97" t="s">
        <v>65</v>
      </c>
      <c r="C97" t="s">
        <v>92</v>
      </c>
      <c r="D97">
        <v>25</v>
      </c>
      <c r="E97" t="s">
        <v>268</v>
      </c>
      <c r="F97" t="s">
        <v>16</v>
      </c>
      <c r="G97" s="1">
        <v>44777</v>
      </c>
      <c r="H97">
        <v>98425.1</v>
      </c>
      <c r="I97" t="s">
        <v>130</v>
      </c>
      <c r="J97">
        <v>-4610339936</v>
      </c>
      <c r="K97" t="s">
        <v>18</v>
      </c>
      <c r="L97" t="b">
        <v>1</v>
      </c>
    </row>
    <row r="98" spans="1:12" x14ac:dyDescent="0.35">
      <c r="A98" t="s">
        <v>269</v>
      </c>
      <c r="B98" t="s">
        <v>37</v>
      </c>
      <c r="C98" t="s">
        <v>55</v>
      </c>
      <c r="D98">
        <v>40</v>
      </c>
      <c r="E98" t="s">
        <v>98</v>
      </c>
      <c r="F98" t="s">
        <v>33</v>
      </c>
      <c r="G98" t="s">
        <v>270</v>
      </c>
      <c r="H98">
        <v>119764.2</v>
      </c>
      <c r="I98" t="s">
        <v>271</v>
      </c>
      <c r="J98">
        <v>-8861405785</v>
      </c>
      <c r="K98" t="s">
        <v>18</v>
      </c>
      <c r="L98" t="b">
        <v>0</v>
      </c>
    </row>
    <row r="99" spans="1:12" x14ac:dyDescent="0.35">
      <c r="A99" t="s">
        <v>272</v>
      </c>
      <c r="B99" t="s">
        <v>37</v>
      </c>
      <c r="C99" t="s">
        <v>20</v>
      </c>
      <c r="D99">
        <v>40</v>
      </c>
      <c r="E99" t="s">
        <v>146</v>
      </c>
      <c r="F99" t="s">
        <v>33</v>
      </c>
      <c r="G99" t="s">
        <v>273</v>
      </c>
      <c r="H99">
        <v>58445.91</v>
      </c>
      <c r="I99" t="s">
        <v>239</v>
      </c>
      <c r="J99">
        <v>-1706304890</v>
      </c>
      <c r="K99" t="s">
        <v>23</v>
      </c>
      <c r="L99" t="b">
        <v>0</v>
      </c>
    </row>
    <row r="100" spans="1:12" x14ac:dyDescent="0.35">
      <c r="A100" t="s">
        <v>274</v>
      </c>
      <c r="B100" t="s">
        <v>13</v>
      </c>
      <c r="C100" t="s">
        <v>92</v>
      </c>
      <c r="E100" t="s">
        <v>56</v>
      </c>
      <c r="F100" t="s">
        <v>16</v>
      </c>
      <c r="G100" t="s">
        <v>275</v>
      </c>
      <c r="H100">
        <v>101702.33</v>
      </c>
      <c r="I100" t="s">
        <v>93</v>
      </c>
      <c r="J100">
        <v>-3824967182</v>
      </c>
      <c r="K100" t="s">
        <v>23</v>
      </c>
      <c r="L100" t="b">
        <v>0</v>
      </c>
    </row>
    <row r="101" spans="1:12" x14ac:dyDescent="0.35">
      <c r="A101" t="s">
        <v>276</v>
      </c>
      <c r="B101" t="s">
        <v>32</v>
      </c>
      <c r="C101" t="s">
        <v>26</v>
      </c>
      <c r="D101">
        <v>25</v>
      </c>
      <c r="E101" t="s">
        <v>118</v>
      </c>
      <c r="F101" t="s">
        <v>16</v>
      </c>
      <c r="G101" s="1">
        <v>44805</v>
      </c>
      <c r="H101" t="s">
        <v>277</v>
      </c>
      <c r="I101" t="s">
        <v>278</v>
      </c>
      <c r="J101">
        <v>-2582386869</v>
      </c>
      <c r="K101" t="s">
        <v>30</v>
      </c>
      <c r="L101" t="b">
        <v>0</v>
      </c>
    </row>
    <row r="102" spans="1:12" x14ac:dyDescent="0.35">
      <c r="A102" t="s">
        <v>279</v>
      </c>
      <c r="B102" t="s">
        <v>54</v>
      </c>
      <c r="C102" t="s">
        <v>14</v>
      </c>
      <c r="D102">
        <v>35</v>
      </c>
      <c r="E102" t="s">
        <v>159</v>
      </c>
      <c r="F102" t="s">
        <v>28</v>
      </c>
      <c r="G102" t="s">
        <v>280</v>
      </c>
      <c r="H102">
        <v>98819.22</v>
      </c>
      <c r="I102" t="s">
        <v>170</v>
      </c>
      <c r="J102">
        <v>-794200748</v>
      </c>
      <c r="K102" t="s">
        <v>30</v>
      </c>
      <c r="L102" t="b">
        <v>0</v>
      </c>
    </row>
    <row r="103" spans="1:12" x14ac:dyDescent="0.35">
      <c r="A103" t="s">
        <v>281</v>
      </c>
      <c r="B103" t="s">
        <v>65</v>
      </c>
      <c r="C103" t="s">
        <v>55</v>
      </c>
      <c r="D103">
        <v>25</v>
      </c>
      <c r="E103" t="s">
        <v>95</v>
      </c>
      <c r="F103" t="s">
        <v>33</v>
      </c>
      <c r="G103" t="s">
        <v>282</v>
      </c>
      <c r="H103">
        <v>83509.990000000005</v>
      </c>
      <c r="I103" t="s">
        <v>113</v>
      </c>
      <c r="J103">
        <v>-4653984027</v>
      </c>
      <c r="K103" t="s">
        <v>18</v>
      </c>
      <c r="L103" t="b">
        <v>0</v>
      </c>
    </row>
    <row r="104" spans="1:12" x14ac:dyDescent="0.35">
      <c r="A104" t="s">
        <v>283</v>
      </c>
      <c r="B104" t="s">
        <v>25</v>
      </c>
      <c r="C104" t="s">
        <v>55</v>
      </c>
      <c r="D104">
        <v>35</v>
      </c>
      <c r="E104" t="s">
        <v>21</v>
      </c>
      <c r="F104" t="s">
        <v>16</v>
      </c>
      <c r="G104" t="s">
        <v>284</v>
      </c>
      <c r="H104">
        <v>84422.26</v>
      </c>
      <c r="I104" t="s">
        <v>150</v>
      </c>
      <c r="J104">
        <v>-9141612845</v>
      </c>
      <c r="K104" t="s">
        <v>18</v>
      </c>
      <c r="L104" t="b">
        <v>0</v>
      </c>
    </row>
    <row r="105" spans="1:12" x14ac:dyDescent="0.35">
      <c r="A105" t="s">
        <v>285</v>
      </c>
      <c r="B105" t="s">
        <v>25</v>
      </c>
      <c r="C105" t="s">
        <v>20</v>
      </c>
      <c r="D105">
        <v>30</v>
      </c>
      <c r="E105" t="s">
        <v>89</v>
      </c>
      <c r="F105" t="s">
        <v>33</v>
      </c>
      <c r="G105" t="s">
        <v>286</v>
      </c>
      <c r="H105">
        <v>119574.27</v>
      </c>
      <c r="I105" t="s">
        <v>80</v>
      </c>
      <c r="J105">
        <v>-3985547434</v>
      </c>
      <c r="K105" t="s">
        <v>18</v>
      </c>
      <c r="L105" t="b">
        <v>1</v>
      </c>
    </row>
    <row r="106" spans="1:12" x14ac:dyDescent="0.35">
      <c r="A106" t="s">
        <v>287</v>
      </c>
      <c r="B106" t="s">
        <v>69</v>
      </c>
      <c r="C106" t="s">
        <v>55</v>
      </c>
      <c r="E106" t="s">
        <v>98</v>
      </c>
      <c r="F106" t="s">
        <v>16</v>
      </c>
      <c r="G106" s="1">
        <v>45478</v>
      </c>
      <c r="H106">
        <v>86580.08</v>
      </c>
      <c r="I106" t="s">
        <v>127</v>
      </c>
      <c r="J106">
        <v>-5379502096</v>
      </c>
      <c r="K106" t="s">
        <v>30</v>
      </c>
      <c r="L106" t="b">
        <v>1</v>
      </c>
    </row>
    <row r="107" spans="1:12" x14ac:dyDescent="0.35">
      <c r="A107" t="s">
        <v>288</v>
      </c>
      <c r="B107" t="s">
        <v>65</v>
      </c>
      <c r="C107" t="s">
        <v>55</v>
      </c>
      <c r="D107">
        <v>35</v>
      </c>
      <c r="E107" t="s">
        <v>74</v>
      </c>
      <c r="F107" t="s">
        <v>33</v>
      </c>
      <c r="G107" s="1">
        <v>45202</v>
      </c>
      <c r="H107">
        <v>93471.91</v>
      </c>
      <c r="I107" t="s">
        <v>113</v>
      </c>
      <c r="J107">
        <v>-26876810</v>
      </c>
      <c r="K107" t="s">
        <v>41</v>
      </c>
      <c r="L107" t="b">
        <v>0</v>
      </c>
    </row>
    <row r="108" spans="1:12" x14ac:dyDescent="0.35">
      <c r="A108" t="s">
        <v>289</v>
      </c>
      <c r="B108" t="s">
        <v>13</v>
      </c>
      <c r="C108" t="s">
        <v>92</v>
      </c>
      <c r="D108">
        <v>30</v>
      </c>
      <c r="E108" t="s">
        <v>56</v>
      </c>
      <c r="F108" t="s">
        <v>33</v>
      </c>
      <c r="G108" t="s">
        <v>290</v>
      </c>
      <c r="H108">
        <v>55683.12</v>
      </c>
      <c r="I108" t="s">
        <v>93</v>
      </c>
      <c r="J108">
        <v>-8071569561</v>
      </c>
      <c r="K108" t="s">
        <v>41</v>
      </c>
      <c r="L108" t="b">
        <v>1</v>
      </c>
    </row>
    <row r="109" spans="1:12" x14ac:dyDescent="0.35">
      <c r="A109" t="s">
        <v>291</v>
      </c>
      <c r="B109" t="s">
        <v>13</v>
      </c>
      <c r="C109" t="s">
        <v>20</v>
      </c>
      <c r="D109">
        <v>30</v>
      </c>
      <c r="E109" t="s">
        <v>39</v>
      </c>
      <c r="F109" t="s">
        <v>33</v>
      </c>
      <c r="G109" s="1">
        <v>45271</v>
      </c>
      <c r="H109">
        <v>91566.78</v>
      </c>
      <c r="I109" t="s">
        <v>22</v>
      </c>
      <c r="J109">
        <v>-175370303</v>
      </c>
      <c r="K109" t="s">
        <v>30</v>
      </c>
      <c r="L109" t="b">
        <v>1</v>
      </c>
    </row>
    <row r="110" spans="1:12" x14ac:dyDescent="0.35">
      <c r="A110" t="s">
        <v>292</v>
      </c>
      <c r="B110" t="s">
        <v>59</v>
      </c>
      <c r="C110" t="s">
        <v>92</v>
      </c>
      <c r="D110">
        <v>35</v>
      </c>
      <c r="E110" t="s">
        <v>15</v>
      </c>
      <c r="F110" t="s">
        <v>28</v>
      </c>
      <c r="G110" t="s">
        <v>293</v>
      </c>
      <c r="H110">
        <v>81782.19</v>
      </c>
      <c r="I110" t="s">
        <v>107</v>
      </c>
      <c r="J110">
        <v>-5319433749</v>
      </c>
      <c r="K110" t="s">
        <v>30</v>
      </c>
      <c r="L110" t="b">
        <v>0</v>
      </c>
    </row>
    <row r="111" spans="1:12" x14ac:dyDescent="0.35">
      <c r="A111" t="s">
        <v>294</v>
      </c>
      <c r="B111" t="s">
        <v>32</v>
      </c>
      <c r="C111" t="s">
        <v>14</v>
      </c>
      <c r="E111" t="s">
        <v>56</v>
      </c>
      <c r="F111" t="s">
        <v>33</v>
      </c>
      <c r="G111" t="s">
        <v>295</v>
      </c>
      <c r="H111">
        <v>88119.37</v>
      </c>
      <c r="I111" t="s">
        <v>35</v>
      </c>
      <c r="J111">
        <v>-4793036148</v>
      </c>
      <c r="K111" t="s">
        <v>30</v>
      </c>
      <c r="L111" t="b">
        <v>1</v>
      </c>
    </row>
    <row r="112" spans="1:12" x14ac:dyDescent="0.35">
      <c r="A112" t="s">
        <v>296</v>
      </c>
      <c r="B112" t="s">
        <v>32</v>
      </c>
      <c r="C112" t="s">
        <v>43</v>
      </c>
      <c r="D112">
        <v>30</v>
      </c>
      <c r="E112" t="s">
        <v>159</v>
      </c>
      <c r="F112" t="s">
        <v>16</v>
      </c>
      <c r="G112" s="1">
        <v>45602</v>
      </c>
      <c r="H112">
        <v>71532.83</v>
      </c>
      <c r="I112" t="s">
        <v>297</v>
      </c>
      <c r="J112">
        <v>-8728399920</v>
      </c>
      <c r="K112" t="s">
        <v>30</v>
      </c>
      <c r="L112" t="b">
        <v>1</v>
      </c>
    </row>
    <row r="113" spans="1:12" x14ac:dyDescent="0.35">
      <c r="A113" t="s">
        <v>298</v>
      </c>
      <c r="B113" t="s">
        <v>32</v>
      </c>
      <c r="C113" t="s">
        <v>14</v>
      </c>
      <c r="D113">
        <v>40</v>
      </c>
      <c r="E113" t="s">
        <v>39</v>
      </c>
      <c r="F113" t="s">
        <v>28</v>
      </c>
      <c r="G113" t="s">
        <v>299</v>
      </c>
      <c r="H113">
        <v>98981.36</v>
      </c>
      <c r="I113" t="s">
        <v>35</v>
      </c>
      <c r="J113">
        <v>-9212493842</v>
      </c>
      <c r="K113" t="s">
        <v>30</v>
      </c>
      <c r="L113" t="b">
        <v>1</v>
      </c>
    </row>
    <row r="114" spans="1:12" x14ac:dyDescent="0.35">
      <c r="A114" t="s">
        <v>300</v>
      </c>
      <c r="B114" t="s">
        <v>65</v>
      </c>
      <c r="C114" t="s">
        <v>43</v>
      </c>
      <c r="D114">
        <v>40</v>
      </c>
      <c r="E114" t="s">
        <v>95</v>
      </c>
      <c r="F114" t="s">
        <v>16</v>
      </c>
      <c r="G114" t="s">
        <v>301</v>
      </c>
      <c r="H114">
        <v>80242.009999999995</v>
      </c>
      <c r="I114" t="s">
        <v>257</v>
      </c>
      <c r="J114">
        <v>-894870604</v>
      </c>
      <c r="K114" t="s">
        <v>30</v>
      </c>
      <c r="L114" t="b">
        <v>1</v>
      </c>
    </row>
    <row r="115" spans="1:12" x14ac:dyDescent="0.35">
      <c r="A115" t="s">
        <v>302</v>
      </c>
      <c r="B115" t="s">
        <v>32</v>
      </c>
      <c r="C115" t="s">
        <v>92</v>
      </c>
      <c r="D115">
        <v>25</v>
      </c>
      <c r="E115" t="s">
        <v>60</v>
      </c>
      <c r="F115" t="s">
        <v>28</v>
      </c>
      <c r="G115" s="1">
        <v>45513</v>
      </c>
      <c r="H115">
        <v>110236.18</v>
      </c>
      <c r="I115" t="s">
        <v>263</v>
      </c>
      <c r="J115">
        <v>-6641877579</v>
      </c>
      <c r="K115" t="s">
        <v>18</v>
      </c>
      <c r="L115" t="b">
        <v>1</v>
      </c>
    </row>
    <row r="116" spans="1:12" x14ac:dyDescent="0.35">
      <c r="A116" t="s">
        <v>303</v>
      </c>
      <c r="B116" t="s">
        <v>25</v>
      </c>
      <c r="C116" t="s">
        <v>14</v>
      </c>
      <c r="D116">
        <v>35</v>
      </c>
      <c r="E116" t="s">
        <v>44</v>
      </c>
      <c r="F116" t="s">
        <v>16</v>
      </c>
      <c r="G116" t="s">
        <v>304</v>
      </c>
      <c r="H116">
        <v>86327.47</v>
      </c>
      <c r="I116" t="s">
        <v>163</v>
      </c>
      <c r="J116">
        <v>-3046875062</v>
      </c>
      <c r="K116" t="s">
        <v>18</v>
      </c>
      <c r="L116" t="b">
        <v>0</v>
      </c>
    </row>
    <row r="117" spans="1:12" x14ac:dyDescent="0.35">
      <c r="A117" t="s">
        <v>305</v>
      </c>
      <c r="B117" t="s">
        <v>32</v>
      </c>
      <c r="C117" t="s">
        <v>20</v>
      </c>
      <c r="D117">
        <v>30</v>
      </c>
      <c r="E117" t="s">
        <v>74</v>
      </c>
      <c r="F117" t="s">
        <v>28</v>
      </c>
      <c r="G117" t="s">
        <v>306</v>
      </c>
      <c r="H117">
        <v>84420.81</v>
      </c>
      <c r="I117" t="s">
        <v>155</v>
      </c>
      <c r="J117">
        <v>-5190361331</v>
      </c>
      <c r="K117" t="s">
        <v>18</v>
      </c>
      <c r="L117" t="b">
        <v>0</v>
      </c>
    </row>
    <row r="118" spans="1:12" x14ac:dyDescent="0.35">
      <c r="A118" t="s">
        <v>307</v>
      </c>
      <c r="B118" t="s">
        <v>37</v>
      </c>
      <c r="C118" t="s">
        <v>122</v>
      </c>
      <c r="D118">
        <v>40</v>
      </c>
      <c r="E118" t="s">
        <v>146</v>
      </c>
      <c r="F118" t="s">
        <v>28</v>
      </c>
      <c r="G118" s="1">
        <v>43869</v>
      </c>
      <c r="H118">
        <v>110041.32</v>
      </c>
      <c r="I118" t="s">
        <v>137</v>
      </c>
      <c r="J118">
        <v>-5411076094</v>
      </c>
      <c r="K118" t="s">
        <v>18</v>
      </c>
      <c r="L118" t="b">
        <v>0</v>
      </c>
    </row>
    <row r="119" spans="1:12" x14ac:dyDescent="0.35">
      <c r="A119" t="s">
        <v>308</v>
      </c>
      <c r="B119" t="s">
        <v>65</v>
      </c>
      <c r="C119" t="s">
        <v>92</v>
      </c>
      <c r="D119">
        <v>35</v>
      </c>
      <c r="E119" t="s">
        <v>230</v>
      </c>
      <c r="F119" t="s">
        <v>28</v>
      </c>
      <c r="G119" t="s">
        <v>309</v>
      </c>
      <c r="H119">
        <v>81837.81</v>
      </c>
      <c r="I119" t="s">
        <v>130</v>
      </c>
      <c r="J119">
        <v>-4317350582</v>
      </c>
      <c r="K119" t="s">
        <v>30</v>
      </c>
      <c r="L119" t="b">
        <v>1</v>
      </c>
    </row>
    <row r="120" spans="1:12" x14ac:dyDescent="0.35">
      <c r="A120" t="s">
        <v>310</v>
      </c>
      <c r="B120" t="s">
        <v>37</v>
      </c>
      <c r="C120" t="s">
        <v>43</v>
      </c>
      <c r="D120">
        <v>25</v>
      </c>
      <c r="E120" t="s">
        <v>265</v>
      </c>
      <c r="F120" t="s">
        <v>16</v>
      </c>
      <c r="G120" s="1">
        <v>45147</v>
      </c>
      <c r="H120">
        <v>110855.72</v>
      </c>
      <c r="I120" t="s">
        <v>180</v>
      </c>
      <c r="J120">
        <v>-1997179109</v>
      </c>
      <c r="K120" t="s">
        <v>41</v>
      </c>
      <c r="L120" t="b">
        <v>0</v>
      </c>
    </row>
    <row r="121" spans="1:12" x14ac:dyDescent="0.35">
      <c r="A121" t="s">
        <v>311</v>
      </c>
      <c r="B121" t="s">
        <v>25</v>
      </c>
      <c r="C121" t="s">
        <v>26</v>
      </c>
      <c r="D121">
        <v>30</v>
      </c>
      <c r="E121" t="s">
        <v>177</v>
      </c>
      <c r="F121" t="s">
        <v>28</v>
      </c>
      <c r="G121" t="s">
        <v>312</v>
      </c>
      <c r="H121">
        <v>84894.52</v>
      </c>
      <c r="I121" t="s">
        <v>29</v>
      </c>
      <c r="J121">
        <v>-651207048</v>
      </c>
      <c r="K121" t="s">
        <v>23</v>
      </c>
      <c r="L121" t="b">
        <v>1</v>
      </c>
    </row>
    <row r="122" spans="1:12" x14ac:dyDescent="0.35">
      <c r="A122" t="s">
        <v>313</v>
      </c>
      <c r="B122" t="s">
        <v>25</v>
      </c>
      <c r="C122" t="s">
        <v>43</v>
      </c>
      <c r="D122">
        <v>30</v>
      </c>
      <c r="E122" t="s">
        <v>192</v>
      </c>
      <c r="F122" t="s">
        <v>16</v>
      </c>
      <c r="G122" s="1">
        <v>44538</v>
      </c>
      <c r="H122">
        <v>80668.13</v>
      </c>
      <c r="I122" t="s">
        <v>45</v>
      </c>
      <c r="J122">
        <v>-6110804660</v>
      </c>
      <c r="K122" t="s">
        <v>30</v>
      </c>
      <c r="L122" t="b">
        <v>1</v>
      </c>
    </row>
    <row r="123" spans="1:12" x14ac:dyDescent="0.35">
      <c r="A123" t="s">
        <v>314</v>
      </c>
      <c r="B123" t="s">
        <v>13</v>
      </c>
      <c r="C123" t="s">
        <v>26</v>
      </c>
      <c r="D123">
        <v>25</v>
      </c>
      <c r="E123" t="s">
        <v>78</v>
      </c>
      <c r="F123" t="s">
        <v>16</v>
      </c>
      <c r="G123" t="s">
        <v>315</v>
      </c>
      <c r="H123">
        <v>61086.47</v>
      </c>
      <c r="I123" t="s">
        <v>50</v>
      </c>
      <c r="J123">
        <v>-9639907675</v>
      </c>
      <c r="K123" t="s">
        <v>23</v>
      </c>
      <c r="L123" t="b">
        <v>1</v>
      </c>
    </row>
    <row r="124" spans="1:12" x14ac:dyDescent="0.35">
      <c r="A124" t="s">
        <v>316</v>
      </c>
      <c r="B124" t="s">
        <v>69</v>
      </c>
      <c r="C124" t="s">
        <v>55</v>
      </c>
      <c r="D124">
        <v>25</v>
      </c>
      <c r="E124" t="s">
        <v>103</v>
      </c>
      <c r="F124" t="s">
        <v>33</v>
      </c>
      <c r="G124" t="s">
        <v>317</v>
      </c>
      <c r="H124">
        <v>95339.68</v>
      </c>
      <c r="I124" t="s">
        <v>127</v>
      </c>
      <c r="J124">
        <v>-9915078592</v>
      </c>
      <c r="K124" t="s">
        <v>41</v>
      </c>
      <c r="L124" t="b">
        <v>1</v>
      </c>
    </row>
    <row r="125" spans="1:12" x14ac:dyDescent="0.35">
      <c r="A125" t="s">
        <v>318</v>
      </c>
      <c r="B125" t="s">
        <v>32</v>
      </c>
      <c r="C125" t="s">
        <v>14</v>
      </c>
      <c r="E125" t="s">
        <v>15</v>
      </c>
      <c r="F125" t="s">
        <v>33</v>
      </c>
      <c r="G125" s="1">
        <v>45421</v>
      </c>
      <c r="H125">
        <v>83774.97</v>
      </c>
      <c r="I125" t="s">
        <v>35</v>
      </c>
      <c r="J125">
        <v>-1109193927</v>
      </c>
      <c r="K125" t="s">
        <v>18</v>
      </c>
      <c r="L125" t="b">
        <v>0</v>
      </c>
    </row>
    <row r="126" spans="1:12" x14ac:dyDescent="0.35">
      <c r="A126" t="s">
        <v>319</v>
      </c>
      <c r="B126" t="s">
        <v>65</v>
      </c>
      <c r="C126" t="s">
        <v>26</v>
      </c>
      <c r="E126" t="s">
        <v>205</v>
      </c>
      <c r="F126" t="s">
        <v>16</v>
      </c>
      <c r="G126" s="1">
        <v>45265</v>
      </c>
      <c r="H126">
        <v>85576.86</v>
      </c>
      <c r="I126" t="s">
        <v>320</v>
      </c>
      <c r="J126">
        <v>-4567972319</v>
      </c>
      <c r="K126" t="s">
        <v>41</v>
      </c>
      <c r="L126" t="b">
        <v>0</v>
      </c>
    </row>
    <row r="127" spans="1:12" x14ac:dyDescent="0.35">
      <c r="A127" t="s">
        <v>321</v>
      </c>
      <c r="B127" t="s">
        <v>13</v>
      </c>
      <c r="C127" t="s">
        <v>43</v>
      </c>
      <c r="D127">
        <v>35</v>
      </c>
      <c r="E127" t="s">
        <v>70</v>
      </c>
      <c r="F127" t="s">
        <v>28</v>
      </c>
      <c r="G127" s="1">
        <v>44203</v>
      </c>
      <c r="H127">
        <v>107438.46</v>
      </c>
      <c r="I127" t="s">
        <v>153</v>
      </c>
      <c r="J127">
        <v>-249685497</v>
      </c>
      <c r="K127" t="s">
        <v>30</v>
      </c>
      <c r="L127" t="b">
        <v>1</v>
      </c>
    </row>
    <row r="128" spans="1:12" x14ac:dyDescent="0.35">
      <c r="A128" t="s">
        <v>322</v>
      </c>
      <c r="B128" t="s">
        <v>32</v>
      </c>
      <c r="C128" t="s">
        <v>55</v>
      </c>
      <c r="E128" t="s">
        <v>219</v>
      </c>
      <c r="F128" t="s">
        <v>33</v>
      </c>
      <c r="G128" s="1">
        <v>45484</v>
      </c>
      <c r="H128">
        <v>60401.68</v>
      </c>
      <c r="I128" t="s">
        <v>323</v>
      </c>
      <c r="J128">
        <v>-2274954507</v>
      </c>
      <c r="K128" t="s">
        <v>18</v>
      </c>
      <c r="L128" t="b">
        <v>0</v>
      </c>
    </row>
    <row r="129" spans="1:12" x14ac:dyDescent="0.35">
      <c r="A129" t="s">
        <v>324</v>
      </c>
      <c r="B129" t="s">
        <v>37</v>
      </c>
      <c r="C129" t="s">
        <v>122</v>
      </c>
      <c r="D129">
        <v>35</v>
      </c>
      <c r="E129" t="s">
        <v>98</v>
      </c>
      <c r="F129" t="s">
        <v>33</v>
      </c>
      <c r="G129" t="s">
        <v>325</v>
      </c>
      <c r="H129">
        <v>115299.66</v>
      </c>
      <c r="I129" t="s">
        <v>137</v>
      </c>
      <c r="J129">
        <v>-9203880652</v>
      </c>
      <c r="K129" t="s">
        <v>30</v>
      </c>
      <c r="L129" t="b">
        <v>1</v>
      </c>
    </row>
    <row r="130" spans="1:12" x14ac:dyDescent="0.35">
      <c r="A130" t="s">
        <v>326</v>
      </c>
      <c r="B130" t="s">
        <v>59</v>
      </c>
      <c r="C130" t="s">
        <v>20</v>
      </c>
      <c r="E130" t="s">
        <v>227</v>
      </c>
      <c r="F130" t="s">
        <v>33</v>
      </c>
      <c r="G130" t="s">
        <v>327</v>
      </c>
      <c r="H130">
        <v>72272.34</v>
      </c>
      <c r="I130" t="s">
        <v>225</v>
      </c>
      <c r="J130">
        <v>-3315377958</v>
      </c>
      <c r="K130" t="s">
        <v>18</v>
      </c>
      <c r="L130" t="b">
        <v>0</v>
      </c>
    </row>
    <row r="131" spans="1:12" x14ac:dyDescent="0.35">
      <c r="A131" t="s">
        <v>328</v>
      </c>
      <c r="B131" t="s">
        <v>69</v>
      </c>
      <c r="C131" t="s">
        <v>20</v>
      </c>
      <c r="D131">
        <v>40</v>
      </c>
      <c r="E131" t="s">
        <v>329</v>
      </c>
      <c r="F131" t="s">
        <v>16</v>
      </c>
      <c r="G131" s="1">
        <v>44875</v>
      </c>
      <c r="H131">
        <v>117537.71</v>
      </c>
      <c r="I131" t="s">
        <v>201</v>
      </c>
      <c r="J131">
        <v>-9594652169</v>
      </c>
      <c r="K131" t="s">
        <v>23</v>
      </c>
      <c r="L131" t="b">
        <v>0</v>
      </c>
    </row>
    <row r="132" spans="1:12" x14ac:dyDescent="0.35">
      <c r="A132" t="s">
        <v>330</v>
      </c>
      <c r="B132" t="s">
        <v>37</v>
      </c>
      <c r="C132" t="s">
        <v>20</v>
      </c>
      <c r="D132">
        <v>25</v>
      </c>
      <c r="E132" t="s">
        <v>21</v>
      </c>
      <c r="F132" t="s">
        <v>28</v>
      </c>
      <c r="G132" t="s">
        <v>331</v>
      </c>
      <c r="H132">
        <v>51074.33</v>
      </c>
      <c r="I132" t="s">
        <v>239</v>
      </c>
      <c r="J132">
        <v>-7303379336</v>
      </c>
      <c r="K132" t="s">
        <v>23</v>
      </c>
      <c r="L132" t="b">
        <v>1</v>
      </c>
    </row>
    <row r="133" spans="1:12" x14ac:dyDescent="0.35">
      <c r="A133" t="s">
        <v>332</v>
      </c>
      <c r="B133" t="s">
        <v>54</v>
      </c>
      <c r="C133" t="s">
        <v>26</v>
      </c>
      <c r="D133">
        <v>25</v>
      </c>
      <c r="E133" t="s">
        <v>70</v>
      </c>
      <c r="F133" t="s">
        <v>33</v>
      </c>
      <c r="G133" t="s">
        <v>333</v>
      </c>
      <c r="H133">
        <v>98489.32</v>
      </c>
      <c r="I133" t="s">
        <v>120</v>
      </c>
      <c r="J133">
        <v>-5636205014</v>
      </c>
      <c r="K133" t="s">
        <v>23</v>
      </c>
      <c r="L133" t="b">
        <v>0</v>
      </c>
    </row>
    <row r="134" spans="1:12" x14ac:dyDescent="0.35">
      <c r="A134" t="s">
        <v>334</v>
      </c>
      <c r="B134" t="s">
        <v>37</v>
      </c>
      <c r="C134" t="s">
        <v>122</v>
      </c>
      <c r="E134" t="s">
        <v>70</v>
      </c>
      <c r="F134" t="s">
        <v>28</v>
      </c>
      <c r="G134" s="1">
        <v>45597</v>
      </c>
      <c r="H134">
        <v>112120.71</v>
      </c>
      <c r="I134" t="s">
        <v>137</v>
      </c>
      <c r="J134">
        <v>-812473949</v>
      </c>
      <c r="K134" t="s">
        <v>41</v>
      </c>
      <c r="L134" t="b">
        <v>1</v>
      </c>
    </row>
    <row r="135" spans="1:12" x14ac:dyDescent="0.35">
      <c r="A135" t="s">
        <v>335</v>
      </c>
      <c r="B135" t="s">
        <v>25</v>
      </c>
      <c r="C135" t="s">
        <v>26</v>
      </c>
      <c r="E135" t="s">
        <v>60</v>
      </c>
      <c r="F135" t="s">
        <v>28</v>
      </c>
      <c r="G135" s="1">
        <v>44968</v>
      </c>
      <c r="H135">
        <v>114465.04</v>
      </c>
      <c r="I135" t="s">
        <v>29</v>
      </c>
      <c r="J135">
        <v>-334234257</v>
      </c>
      <c r="K135" t="s">
        <v>30</v>
      </c>
      <c r="L135" t="b">
        <v>0</v>
      </c>
    </row>
    <row r="136" spans="1:12" x14ac:dyDescent="0.35">
      <c r="A136" t="s">
        <v>336</v>
      </c>
      <c r="B136" t="s">
        <v>13</v>
      </c>
      <c r="C136" t="s">
        <v>14</v>
      </c>
      <c r="D136">
        <v>40</v>
      </c>
      <c r="E136" t="s">
        <v>85</v>
      </c>
      <c r="F136" t="s">
        <v>28</v>
      </c>
      <c r="G136" t="s">
        <v>337</v>
      </c>
      <c r="H136">
        <v>57035.51</v>
      </c>
      <c r="I136" t="s">
        <v>17</v>
      </c>
      <c r="J136">
        <v>-3230241025</v>
      </c>
      <c r="K136" t="s">
        <v>41</v>
      </c>
      <c r="L136" t="b">
        <v>1</v>
      </c>
    </row>
    <row r="137" spans="1:12" x14ac:dyDescent="0.35">
      <c r="A137" t="s">
        <v>338</v>
      </c>
      <c r="B137" t="s">
        <v>32</v>
      </c>
      <c r="C137" t="s">
        <v>26</v>
      </c>
      <c r="D137">
        <v>25</v>
      </c>
      <c r="E137" t="s">
        <v>268</v>
      </c>
      <c r="F137" t="s">
        <v>16</v>
      </c>
      <c r="G137" t="s">
        <v>339</v>
      </c>
      <c r="H137">
        <v>75092.429999999993</v>
      </c>
      <c r="I137" t="s">
        <v>278</v>
      </c>
      <c r="J137">
        <v>-1534735527</v>
      </c>
      <c r="K137" t="s">
        <v>23</v>
      </c>
      <c r="L137" t="b">
        <v>1</v>
      </c>
    </row>
    <row r="138" spans="1:12" x14ac:dyDescent="0.35">
      <c r="A138" t="s">
        <v>340</v>
      </c>
      <c r="B138" t="s">
        <v>59</v>
      </c>
      <c r="C138" t="s">
        <v>122</v>
      </c>
      <c r="E138" t="s">
        <v>265</v>
      </c>
      <c r="F138" t="s">
        <v>28</v>
      </c>
      <c r="G138" s="1">
        <v>45602</v>
      </c>
      <c r="H138">
        <v>62603.98</v>
      </c>
      <c r="I138" t="s">
        <v>341</v>
      </c>
      <c r="J138">
        <v>-9611223385</v>
      </c>
      <c r="K138" t="s">
        <v>30</v>
      </c>
      <c r="L138" t="b">
        <v>0</v>
      </c>
    </row>
    <row r="139" spans="1:12" x14ac:dyDescent="0.35">
      <c r="A139" t="s">
        <v>342</v>
      </c>
      <c r="B139" t="s">
        <v>69</v>
      </c>
      <c r="C139" t="s">
        <v>122</v>
      </c>
      <c r="E139" t="s">
        <v>56</v>
      </c>
      <c r="F139" t="s">
        <v>33</v>
      </c>
      <c r="G139" s="1">
        <v>45173</v>
      </c>
      <c r="H139">
        <v>60018.239999999998</v>
      </c>
      <c r="I139" t="s">
        <v>135</v>
      </c>
      <c r="J139">
        <v>-5596309937</v>
      </c>
      <c r="K139" t="s">
        <v>23</v>
      </c>
      <c r="L139" t="b">
        <v>0</v>
      </c>
    </row>
    <row r="140" spans="1:12" x14ac:dyDescent="0.35">
      <c r="A140" t="s">
        <v>343</v>
      </c>
      <c r="B140" t="s">
        <v>32</v>
      </c>
      <c r="C140" t="s">
        <v>14</v>
      </c>
      <c r="D140">
        <v>40</v>
      </c>
      <c r="E140" t="s">
        <v>149</v>
      </c>
      <c r="F140" t="s">
        <v>16</v>
      </c>
      <c r="G140" s="1">
        <v>45419</v>
      </c>
      <c r="H140">
        <v>82567.73</v>
      </c>
      <c r="I140" t="s">
        <v>35</v>
      </c>
      <c r="J140">
        <v>-4253042896</v>
      </c>
      <c r="K140" t="s">
        <v>41</v>
      </c>
      <c r="L140" t="b">
        <v>1</v>
      </c>
    </row>
    <row r="141" spans="1:12" x14ac:dyDescent="0.35">
      <c r="A141" t="s">
        <v>344</v>
      </c>
      <c r="B141" t="s">
        <v>54</v>
      </c>
      <c r="C141" t="s">
        <v>122</v>
      </c>
      <c r="D141">
        <v>25</v>
      </c>
      <c r="E141" t="s">
        <v>70</v>
      </c>
      <c r="F141" t="s">
        <v>28</v>
      </c>
      <c r="G141" s="1">
        <v>44295</v>
      </c>
      <c r="H141">
        <v>94725.71</v>
      </c>
      <c r="I141" t="s">
        <v>194</v>
      </c>
      <c r="J141">
        <v>-3179128684</v>
      </c>
      <c r="K141" t="s">
        <v>41</v>
      </c>
      <c r="L141" t="b">
        <v>0</v>
      </c>
    </row>
    <row r="142" spans="1:12" x14ac:dyDescent="0.35">
      <c r="A142" t="s">
        <v>345</v>
      </c>
      <c r="B142" t="s">
        <v>32</v>
      </c>
      <c r="C142" t="s">
        <v>43</v>
      </c>
      <c r="D142">
        <v>40</v>
      </c>
      <c r="E142" t="s">
        <v>66</v>
      </c>
      <c r="F142" t="s">
        <v>33</v>
      </c>
      <c r="G142" t="s">
        <v>222</v>
      </c>
      <c r="H142">
        <v>83824.56</v>
      </c>
      <c r="I142" t="s">
        <v>297</v>
      </c>
      <c r="J142">
        <v>-7872558776</v>
      </c>
      <c r="K142" t="s">
        <v>41</v>
      </c>
      <c r="L142" t="b">
        <v>0</v>
      </c>
    </row>
    <row r="143" spans="1:12" x14ac:dyDescent="0.35">
      <c r="A143" t="s">
        <v>346</v>
      </c>
      <c r="B143" t="s">
        <v>37</v>
      </c>
      <c r="C143" t="s">
        <v>122</v>
      </c>
      <c r="E143" t="s">
        <v>149</v>
      </c>
      <c r="F143" t="s">
        <v>33</v>
      </c>
      <c r="G143" t="s">
        <v>347</v>
      </c>
      <c r="H143">
        <v>118456.11</v>
      </c>
      <c r="I143" t="s">
        <v>137</v>
      </c>
      <c r="J143">
        <v>-4969033372</v>
      </c>
      <c r="K143" t="s">
        <v>23</v>
      </c>
      <c r="L143" t="b">
        <v>1</v>
      </c>
    </row>
    <row r="144" spans="1:12" x14ac:dyDescent="0.35">
      <c r="A144" t="s">
        <v>348</v>
      </c>
      <c r="B144" t="s">
        <v>32</v>
      </c>
      <c r="C144" t="s">
        <v>20</v>
      </c>
      <c r="D144">
        <v>25</v>
      </c>
      <c r="E144" t="s">
        <v>219</v>
      </c>
      <c r="F144" t="s">
        <v>28</v>
      </c>
      <c r="G144" s="1">
        <v>44108</v>
      </c>
      <c r="H144">
        <v>113743.19</v>
      </c>
      <c r="I144" t="s">
        <v>155</v>
      </c>
      <c r="J144">
        <v>-6346692547</v>
      </c>
      <c r="K144" t="s">
        <v>30</v>
      </c>
      <c r="L144" t="b">
        <v>1</v>
      </c>
    </row>
    <row r="145" spans="1:12" x14ac:dyDescent="0.35">
      <c r="A145" t="s">
        <v>349</v>
      </c>
      <c r="B145" t="s">
        <v>32</v>
      </c>
      <c r="C145" t="s">
        <v>43</v>
      </c>
      <c r="D145">
        <v>30</v>
      </c>
      <c r="E145" t="s">
        <v>177</v>
      </c>
      <c r="F145" t="s">
        <v>16</v>
      </c>
      <c r="G145" t="s">
        <v>350</v>
      </c>
      <c r="H145">
        <v>63309.24</v>
      </c>
      <c r="I145" t="s">
        <v>297</v>
      </c>
      <c r="J145">
        <v>-1214785389</v>
      </c>
      <c r="K145" t="s">
        <v>30</v>
      </c>
      <c r="L145" t="b">
        <v>0</v>
      </c>
    </row>
    <row r="146" spans="1:12" x14ac:dyDescent="0.35">
      <c r="A146" t="s">
        <v>351</v>
      </c>
      <c r="B146" t="s">
        <v>54</v>
      </c>
      <c r="C146" t="s">
        <v>43</v>
      </c>
      <c r="D146">
        <v>25</v>
      </c>
      <c r="E146" t="s">
        <v>329</v>
      </c>
      <c r="F146" t="s">
        <v>16</v>
      </c>
      <c r="G146" t="s">
        <v>352</v>
      </c>
      <c r="H146">
        <v>105202.73</v>
      </c>
      <c r="I146" t="s">
        <v>87</v>
      </c>
      <c r="J146">
        <v>-7895677664</v>
      </c>
      <c r="K146" t="s">
        <v>23</v>
      </c>
      <c r="L146" t="b">
        <v>1</v>
      </c>
    </row>
    <row r="147" spans="1:12" x14ac:dyDescent="0.35">
      <c r="A147" t="s">
        <v>353</v>
      </c>
      <c r="B147" t="s">
        <v>37</v>
      </c>
      <c r="C147" t="s">
        <v>14</v>
      </c>
      <c r="D147">
        <v>30</v>
      </c>
      <c r="E147" t="s">
        <v>268</v>
      </c>
      <c r="F147" t="s">
        <v>33</v>
      </c>
      <c r="G147" s="1">
        <v>45568</v>
      </c>
      <c r="H147">
        <v>79085.22</v>
      </c>
      <c r="I147" t="s">
        <v>52</v>
      </c>
      <c r="J147">
        <v>-7546027340</v>
      </c>
      <c r="K147" t="s">
        <v>30</v>
      </c>
      <c r="L147" t="b">
        <v>1</v>
      </c>
    </row>
    <row r="148" spans="1:12" x14ac:dyDescent="0.35">
      <c r="A148" t="s">
        <v>354</v>
      </c>
      <c r="B148" t="s">
        <v>37</v>
      </c>
      <c r="C148" t="s">
        <v>38</v>
      </c>
      <c r="E148" t="s">
        <v>177</v>
      </c>
      <c r="F148" t="s">
        <v>16</v>
      </c>
      <c r="G148" s="1">
        <v>44475</v>
      </c>
      <c r="H148">
        <v>113983.43</v>
      </c>
      <c r="I148" t="s">
        <v>40</v>
      </c>
      <c r="J148">
        <v>-5148881430</v>
      </c>
      <c r="K148" t="s">
        <v>23</v>
      </c>
      <c r="L148" t="b">
        <v>1</v>
      </c>
    </row>
    <row r="149" spans="1:12" x14ac:dyDescent="0.35">
      <c r="A149" t="s">
        <v>355</v>
      </c>
      <c r="B149" t="s">
        <v>32</v>
      </c>
      <c r="C149" t="s">
        <v>38</v>
      </c>
      <c r="D149">
        <v>35</v>
      </c>
      <c r="E149" t="s">
        <v>39</v>
      </c>
      <c r="F149" t="s">
        <v>16</v>
      </c>
      <c r="G149" t="s">
        <v>356</v>
      </c>
      <c r="H149">
        <v>102790.6</v>
      </c>
      <c r="I149" t="s">
        <v>141</v>
      </c>
      <c r="J149">
        <v>-1150835353</v>
      </c>
      <c r="K149" t="s">
        <v>30</v>
      </c>
      <c r="L149" t="b">
        <v>0</v>
      </c>
    </row>
    <row r="150" spans="1:12" x14ac:dyDescent="0.35">
      <c r="A150" t="s">
        <v>357</v>
      </c>
      <c r="B150" t="s">
        <v>69</v>
      </c>
      <c r="C150" t="s">
        <v>122</v>
      </c>
      <c r="E150" t="s">
        <v>139</v>
      </c>
      <c r="F150" t="s">
        <v>33</v>
      </c>
      <c r="G150" t="s">
        <v>358</v>
      </c>
      <c r="H150">
        <v>68512.100000000006</v>
      </c>
      <c r="I150" t="s">
        <v>135</v>
      </c>
      <c r="J150">
        <v>-4439284043</v>
      </c>
      <c r="K150" t="s">
        <v>18</v>
      </c>
      <c r="L150" t="b">
        <v>0</v>
      </c>
    </row>
    <row r="151" spans="1:12" x14ac:dyDescent="0.35">
      <c r="A151" t="s">
        <v>359</v>
      </c>
      <c r="B151" t="s">
        <v>37</v>
      </c>
      <c r="C151" t="s">
        <v>43</v>
      </c>
      <c r="D151">
        <v>35</v>
      </c>
      <c r="E151" t="s">
        <v>74</v>
      </c>
      <c r="F151" t="s">
        <v>28</v>
      </c>
      <c r="G151" t="s">
        <v>360</v>
      </c>
      <c r="H151">
        <v>57584.23</v>
      </c>
      <c r="I151" t="s">
        <v>180</v>
      </c>
      <c r="J151">
        <v>-5669078262</v>
      </c>
      <c r="K151" t="s">
        <v>18</v>
      </c>
      <c r="L151" t="b">
        <v>1</v>
      </c>
    </row>
    <row r="152" spans="1:12" x14ac:dyDescent="0.35">
      <c r="A152" t="s">
        <v>361</v>
      </c>
      <c r="B152" t="s">
        <v>25</v>
      </c>
      <c r="C152" t="s">
        <v>38</v>
      </c>
      <c r="E152" t="s">
        <v>177</v>
      </c>
      <c r="F152" t="s">
        <v>28</v>
      </c>
      <c r="G152" t="s">
        <v>362</v>
      </c>
      <c r="H152">
        <v>95335.67</v>
      </c>
      <c r="I152" t="s">
        <v>363</v>
      </c>
      <c r="J152">
        <v>-3373898774</v>
      </c>
      <c r="K152" t="s">
        <v>41</v>
      </c>
      <c r="L152" t="b">
        <v>0</v>
      </c>
    </row>
    <row r="153" spans="1:12" x14ac:dyDescent="0.35">
      <c r="A153" t="s">
        <v>364</v>
      </c>
      <c r="B153" t="s">
        <v>65</v>
      </c>
      <c r="C153" t="s">
        <v>38</v>
      </c>
      <c r="D153">
        <v>35</v>
      </c>
      <c r="E153" t="s">
        <v>230</v>
      </c>
      <c r="F153" t="s">
        <v>16</v>
      </c>
      <c r="G153" t="s">
        <v>365</v>
      </c>
      <c r="H153">
        <v>53174.28</v>
      </c>
      <c r="I153" t="s">
        <v>67</v>
      </c>
      <c r="J153">
        <v>-1536637779</v>
      </c>
      <c r="K153" t="s">
        <v>18</v>
      </c>
      <c r="L153" t="b">
        <v>1</v>
      </c>
    </row>
    <row r="154" spans="1:12" x14ac:dyDescent="0.35">
      <c r="A154" t="s">
        <v>366</v>
      </c>
      <c r="B154" t="s">
        <v>65</v>
      </c>
      <c r="C154" t="s">
        <v>122</v>
      </c>
      <c r="D154">
        <v>25</v>
      </c>
      <c r="E154" t="s">
        <v>60</v>
      </c>
      <c r="F154" t="s">
        <v>28</v>
      </c>
      <c r="G154" s="1">
        <v>43931</v>
      </c>
      <c r="H154">
        <v>77205.210000000006</v>
      </c>
      <c r="I154" t="s">
        <v>367</v>
      </c>
      <c r="J154">
        <v>-5292407552</v>
      </c>
      <c r="K154" t="s">
        <v>18</v>
      </c>
      <c r="L154" t="b">
        <v>0</v>
      </c>
    </row>
    <row r="155" spans="1:12" x14ac:dyDescent="0.35">
      <c r="A155" t="s">
        <v>368</v>
      </c>
      <c r="B155" t="s">
        <v>69</v>
      </c>
      <c r="C155" t="s">
        <v>38</v>
      </c>
      <c r="E155" t="s">
        <v>329</v>
      </c>
      <c r="F155" t="s">
        <v>16</v>
      </c>
      <c r="G155" t="s">
        <v>369</v>
      </c>
      <c r="H155">
        <v>79041.919999999998</v>
      </c>
      <c r="I155" t="s">
        <v>71</v>
      </c>
      <c r="J155">
        <v>-6668459089</v>
      </c>
      <c r="K155" t="s">
        <v>18</v>
      </c>
      <c r="L155" t="b">
        <v>1</v>
      </c>
    </row>
    <row r="156" spans="1:12" x14ac:dyDescent="0.35">
      <c r="A156" t="s">
        <v>370</v>
      </c>
      <c r="B156" t="s">
        <v>65</v>
      </c>
      <c r="C156" t="s">
        <v>26</v>
      </c>
      <c r="E156" t="s">
        <v>70</v>
      </c>
      <c r="F156" t="s">
        <v>16</v>
      </c>
      <c r="G156" t="s">
        <v>371</v>
      </c>
      <c r="H156">
        <v>75937.100000000006</v>
      </c>
      <c r="I156" t="s">
        <v>320</v>
      </c>
      <c r="J156">
        <v>-2259999662</v>
      </c>
      <c r="K156" t="s">
        <v>23</v>
      </c>
      <c r="L156" t="b">
        <v>1</v>
      </c>
    </row>
    <row r="157" spans="1:12" x14ac:dyDescent="0.35">
      <c r="A157" t="s">
        <v>372</v>
      </c>
      <c r="B157" t="s">
        <v>59</v>
      </c>
      <c r="C157" t="s">
        <v>55</v>
      </c>
      <c r="D157">
        <v>35</v>
      </c>
      <c r="E157" t="s">
        <v>85</v>
      </c>
      <c r="F157" t="s">
        <v>33</v>
      </c>
      <c r="G157" t="s">
        <v>373</v>
      </c>
      <c r="H157">
        <v>113118.73</v>
      </c>
      <c r="I157" t="s">
        <v>217</v>
      </c>
      <c r="J157">
        <v>-6186371596</v>
      </c>
      <c r="K157" t="s">
        <v>18</v>
      </c>
      <c r="L157" t="b">
        <v>0</v>
      </c>
    </row>
    <row r="158" spans="1:12" x14ac:dyDescent="0.35">
      <c r="A158" t="s">
        <v>374</v>
      </c>
      <c r="B158" t="s">
        <v>25</v>
      </c>
      <c r="C158" t="s">
        <v>14</v>
      </c>
      <c r="D158">
        <v>40</v>
      </c>
      <c r="E158" t="s">
        <v>66</v>
      </c>
      <c r="F158" t="s">
        <v>16</v>
      </c>
      <c r="G158" s="1">
        <v>45332</v>
      </c>
      <c r="H158">
        <v>107693.38</v>
      </c>
      <c r="I158" t="s">
        <v>163</v>
      </c>
      <c r="J158">
        <v>-4121820969</v>
      </c>
      <c r="K158" t="s">
        <v>18</v>
      </c>
      <c r="L158" t="b">
        <v>1</v>
      </c>
    </row>
    <row r="159" spans="1:12" x14ac:dyDescent="0.35">
      <c r="A159" t="s">
        <v>375</v>
      </c>
      <c r="B159" t="s">
        <v>59</v>
      </c>
      <c r="C159" t="s">
        <v>55</v>
      </c>
      <c r="E159" t="s">
        <v>159</v>
      </c>
      <c r="F159" t="s">
        <v>33</v>
      </c>
      <c r="G159" t="s">
        <v>376</v>
      </c>
      <c r="H159">
        <v>119217.46</v>
      </c>
      <c r="I159" t="s">
        <v>217</v>
      </c>
      <c r="J159">
        <v>-2316433480</v>
      </c>
      <c r="K159" t="s">
        <v>41</v>
      </c>
      <c r="L159" t="b">
        <v>0</v>
      </c>
    </row>
    <row r="160" spans="1:12" x14ac:dyDescent="0.35">
      <c r="A160" t="s">
        <v>377</v>
      </c>
      <c r="B160" t="s">
        <v>59</v>
      </c>
      <c r="C160" t="s">
        <v>122</v>
      </c>
      <c r="D160">
        <v>25</v>
      </c>
      <c r="E160" t="s">
        <v>109</v>
      </c>
      <c r="F160" t="s">
        <v>28</v>
      </c>
      <c r="G160" t="s">
        <v>378</v>
      </c>
      <c r="H160">
        <v>106913.71</v>
      </c>
      <c r="I160" t="s">
        <v>341</v>
      </c>
      <c r="J160">
        <v>-7058025661</v>
      </c>
      <c r="K160" t="s">
        <v>18</v>
      </c>
      <c r="L160" t="b">
        <v>0</v>
      </c>
    </row>
    <row r="161" spans="1:12" x14ac:dyDescent="0.35">
      <c r="A161" t="s">
        <v>379</v>
      </c>
      <c r="B161" t="s">
        <v>54</v>
      </c>
      <c r="C161" t="s">
        <v>20</v>
      </c>
      <c r="E161" t="s">
        <v>268</v>
      </c>
      <c r="F161" t="s">
        <v>16</v>
      </c>
      <c r="G161" t="s">
        <v>380</v>
      </c>
      <c r="H161">
        <v>87815.08</v>
      </c>
      <c r="I161" t="s">
        <v>125</v>
      </c>
      <c r="J161">
        <v>-1286716322</v>
      </c>
      <c r="K161" t="s">
        <v>18</v>
      </c>
      <c r="L161" t="b">
        <v>1</v>
      </c>
    </row>
    <row r="162" spans="1:12" x14ac:dyDescent="0.35">
      <c r="A162" t="s">
        <v>381</v>
      </c>
      <c r="B162" t="s">
        <v>13</v>
      </c>
      <c r="C162" t="s">
        <v>14</v>
      </c>
      <c r="D162">
        <v>25</v>
      </c>
      <c r="E162" t="s">
        <v>103</v>
      </c>
      <c r="F162" t="s">
        <v>33</v>
      </c>
      <c r="G162" s="1">
        <v>45418</v>
      </c>
      <c r="H162">
        <v>105190.21</v>
      </c>
      <c r="I162" t="s">
        <v>17</v>
      </c>
      <c r="J162">
        <v>-4672994937</v>
      </c>
      <c r="K162" t="s">
        <v>30</v>
      </c>
      <c r="L162" t="b">
        <v>1</v>
      </c>
    </row>
    <row r="163" spans="1:12" x14ac:dyDescent="0.35">
      <c r="A163" t="s">
        <v>382</v>
      </c>
      <c r="B163" t="s">
        <v>25</v>
      </c>
      <c r="C163" t="s">
        <v>122</v>
      </c>
      <c r="D163">
        <v>30</v>
      </c>
      <c r="E163" t="s">
        <v>139</v>
      </c>
      <c r="F163" t="s">
        <v>16</v>
      </c>
      <c r="G163" t="s">
        <v>383</v>
      </c>
      <c r="H163">
        <v>79467.240000000005</v>
      </c>
      <c r="I163" t="s">
        <v>182</v>
      </c>
      <c r="J163">
        <v>-7430271692</v>
      </c>
      <c r="K163" t="s">
        <v>41</v>
      </c>
      <c r="L163" t="b">
        <v>0</v>
      </c>
    </row>
    <row r="164" spans="1:12" x14ac:dyDescent="0.35">
      <c r="A164" t="s">
        <v>384</v>
      </c>
      <c r="B164" t="s">
        <v>13</v>
      </c>
      <c r="C164" t="s">
        <v>43</v>
      </c>
      <c r="D164">
        <v>40</v>
      </c>
      <c r="E164" t="s">
        <v>70</v>
      </c>
      <c r="F164" t="s">
        <v>28</v>
      </c>
      <c r="G164" t="s">
        <v>385</v>
      </c>
      <c r="H164">
        <v>57633.78</v>
      </c>
      <c r="I164" t="s">
        <v>153</v>
      </c>
      <c r="J164">
        <v>-8597779013</v>
      </c>
      <c r="K164" t="s">
        <v>41</v>
      </c>
      <c r="L164" t="b">
        <v>1</v>
      </c>
    </row>
    <row r="165" spans="1:12" x14ac:dyDescent="0.35">
      <c r="A165" t="s">
        <v>386</v>
      </c>
      <c r="B165" t="s">
        <v>25</v>
      </c>
      <c r="C165" t="s">
        <v>20</v>
      </c>
      <c r="E165" t="s">
        <v>212</v>
      </c>
      <c r="F165" t="s">
        <v>28</v>
      </c>
      <c r="G165" s="1">
        <v>43924</v>
      </c>
      <c r="H165">
        <v>54257.78</v>
      </c>
      <c r="I165" t="s">
        <v>80</v>
      </c>
      <c r="J165">
        <v>-7546926328</v>
      </c>
      <c r="K165" t="s">
        <v>41</v>
      </c>
      <c r="L165" t="b">
        <v>1</v>
      </c>
    </row>
    <row r="166" spans="1:12" x14ac:dyDescent="0.35">
      <c r="A166" t="s">
        <v>387</v>
      </c>
      <c r="B166" t="s">
        <v>69</v>
      </c>
      <c r="C166" t="s">
        <v>55</v>
      </c>
      <c r="D166">
        <v>40</v>
      </c>
      <c r="E166" t="s">
        <v>237</v>
      </c>
      <c r="F166" t="s">
        <v>33</v>
      </c>
      <c r="G166" t="s">
        <v>388</v>
      </c>
      <c r="H166">
        <v>113679.06</v>
      </c>
      <c r="I166" t="s">
        <v>127</v>
      </c>
      <c r="J166">
        <v>-6762916031</v>
      </c>
      <c r="K166" t="s">
        <v>41</v>
      </c>
      <c r="L166" t="b">
        <v>1</v>
      </c>
    </row>
    <row r="167" spans="1:12" x14ac:dyDescent="0.35">
      <c r="A167" t="s">
        <v>389</v>
      </c>
      <c r="B167" t="s">
        <v>13</v>
      </c>
      <c r="C167" t="s">
        <v>122</v>
      </c>
      <c r="D167">
        <v>35</v>
      </c>
      <c r="E167" t="s">
        <v>109</v>
      </c>
      <c r="F167" t="s">
        <v>16</v>
      </c>
      <c r="G167" t="s">
        <v>241</v>
      </c>
      <c r="H167">
        <v>69251.12</v>
      </c>
      <c r="I167" t="s">
        <v>123</v>
      </c>
      <c r="J167">
        <v>-4841376814</v>
      </c>
      <c r="K167" t="s">
        <v>41</v>
      </c>
      <c r="L167" t="b">
        <v>1</v>
      </c>
    </row>
    <row r="168" spans="1:12" x14ac:dyDescent="0.35">
      <c r="A168" t="s">
        <v>390</v>
      </c>
      <c r="B168" t="s">
        <v>37</v>
      </c>
      <c r="C168" t="s">
        <v>43</v>
      </c>
      <c r="D168">
        <v>40</v>
      </c>
      <c r="E168" t="s">
        <v>98</v>
      </c>
      <c r="F168" t="s">
        <v>33</v>
      </c>
      <c r="G168" t="s">
        <v>391</v>
      </c>
      <c r="H168">
        <v>85388.58</v>
      </c>
      <c r="I168" t="s">
        <v>180</v>
      </c>
      <c r="J168">
        <v>-1185672437</v>
      </c>
      <c r="K168" t="s">
        <v>41</v>
      </c>
      <c r="L168" t="b">
        <v>1</v>
      </c>
    </row>
    <row r="169" spans="1:12" x14ac:dyDescent="0.35">
      <c r="A169" t="s">
        <v>392</v>
      </c>
      <c r="B169" t="s">
        <v>13</v>
      </c>
      <c r="C169" t="s">
        <v>14</v>
      </c>
      <c r="E169" t="s">
        <v>56</v>
      </c>
      <c r="F169" t="s">
        <v>33</v>
      </c>
      <c r="G169" t="s">
        <v>393</v>
      </c>
      <c r="H169">
        <v>112166.37</v>
      </c>
      <c r="I169" t="s">
        <v>17</v>
      </c>
      <c r="J169">
        <v>-701765635</v>
      </c>
      <c r="K169" t="s">
        <v>23</v>
      </c>
      <c r="L169" t="b">
        <v>0</v>
      </c>
    </row>
    <row r="170" spans="1:12" x14ac:dyDescent="0.35">
      <c r="A170" t="s">
        <v>394</v>
      </c>
      <c r="B170" t="s">
        <v>65</v>
      </c>
      <c r="C170" t="s">
        <v>14</v>
      </c>
      <c r="D170">
        <v>40</v>
      </c>
      <c r="E170" t="s">
        <v>100</v>
      </c>
      <c r="F170" t="s">
        <v>16</v>
      </c>
      <c r="G170" s="1">
        <v>44237</v>
      </c>
      <c r="H170">
        <v>79873.48</v>
      </c>
      <c r="I170" t="s">
        <v>395</v>
      </c>
      <c r="J170">
        <v>-41257770</v>
      </c>
      <c r="K170" t="s">
        <v>18</v>
      </c>
      <c r="L170" t="b">
        <v>0</v>
      </c>
    </row>
    <row r="171" spans="1:12" x14ac:dyDescent="0.35">
      <c r="A171" t="s">
        <v>396</v>
      </c>
      <c r="B171" t="s">
        <v>37</v>
      </c>
      <c r="C171" t="s">
        <v>92</v>
      </c>
      <c r="D171">
        <v>30</v>
      </c>
      <c r="E171" t="s">
        <v>230</v>
      </c>
      <c r="F171" t="s">
        <v>16</v>
      </c>
      <c r="G171" s="1">
        <v>43958</v>
      </c>
      <c r="H171">
        <v>108224.03</v>
      </c>
      <c r="I171" t="s">
        <v>110</v>
      </c>
      <c r="J171">
        <v>-1837274219</v>
      </c>
      <c r="K171" t="s">
        <v>41</v>
      </c>
      <c r="L171" t="b">
        <v>1</v>
      </c>
    </row>
    <row r="172" spans="1:12" x14ac:dyDescent="0.35">
      <c r="A172" t="s">
        <v>397</v>
      </c>
      <c r="B172" t="s">
        <v>13</v>
      </c>
      <c r="C172" t="s">
        <v>43</v>
      </c>
      <c r="D172">
        <v>35</v>
      </c>
      <c r="E172" t="s">
        <v>89</v>
      </c>
      <c r="F172" t="s">
        <v>16</v>
      </c>
      <c r="G172" t="s">
        <v>398</v>
      </c>
      <c r="H172">
        <v>116963.72</v>
      </c>
      <c r="I172" t="s">
        <v>153</v>
      </c>
      <c r="J172">
        <v>-9124186209</v>
      </c>
      <c r="K172" t="s">
        <v>18</v>
      </c>
      <c r="L172" t="b">
        <v>1</v>
      </c>
    </row>
    <row r="173" spans="1:12" x14ac:dyDescent="0.35">
      <c r="A173" t="s">
        <v>399</v>
      </c>
      <c r="B173" t="s">
        <v>13</v>
      </c>
      <c r="C173" t="s">
        <v>26</v>
      </c>
      <c r="D173">
        <v>40</v>
      </c>
      <c r="E173" t="s">
        <v>149</v>
      </c>
      <c r="F173" t="s">
        <v>33</v>
      </c>
      <c r="G173" s="1">
        <v>45637</v>
      </c>
      <c r="H173">
        <v>114109.06</v>
      </c>
      <c r="I173" t="s">
        <v>50</v>
      </c>
      <c r="J173">
        <v>-4275230836</v>
      </c>
      <c r="K173" t="s">
        <v>18</v>
      </c>
      <c r="L173" t="b">
        <v>1</v>
      </c>
    </row>
    <row r="174" spans="1:12" x14ac:dyDescent="0.35">
      <c r="A174" t="s">
        <v>400</v>
      </c>
      <c r="B174" t="s">
        <v>32</v>
      </c>
      <c r="C174" t="s">
        <v>38</v>
      </c>
      <c r="E174" t="s">
        <v>146</v>
      </c>
      <c r="F174" t="s">
        <v>16</v>
      </c>
      <c r="G174" t="s">
        <v>401</v>
      </c>
      <c r="H174">
        <v>85518.88</v>
      </c>
      <c r="I174" t="s">
        <v>141</v>
      </c>
      <c r="J174">
        <v>-816470899</v>
      </c>
      <c r="K174" t="s">
        <v>23</v>
      </c>
      <c r="L174" t="b">
        <v>0</v>
      </c>
    </row>
    <row r="175" spans="1:12" x14ac:dyDescent="0.35">
      <c r="A175" t="s">
        <v>402</v>
      </c>
      <c r="B175" t="s">
        <v>65</v>
      </c>
      <c r="C175" t="s">
        <v>20</v>
      </c>
      <c r="D175">
        <v>30</v>
      </c>
      <c r="E175" t="s">
        <v>268</v>
      </c>
      <c r="F175" t="s">
        <v>28</v>
      </c>
      <c r="G175" t="s">
        <v>403</v>
      </c>
      <c r="H175">
        <v>58041.97</v>
      </c>
      <c r="I175" t="s">
        <v>404</v>
      </c>
      <c r="J175">
        <v>-6335331059</v>
      </c>
      <c r="K175" t="s">
        <v>41</v>
      </c>
      <c r="L175" t="b">
        <v>1</v>
      </c>
    </row>
    <row r="176" spans="1:12" x14ac:dyDescent="0.35">
      <c r="A176" t="s">
        <v>405</v>
      </c>
      <c r="B176" t="s">
        <v>59</v>
      </c>
      <c r="C176" t="s">
        <v>43</v>
      </c>
      <c r="D176">
        <v>40</v>
      </c>
      <c r="E176" t="s">
        <v>98</v>
      </c>
      <c r="F176" t="s">
        <v>28</v>
      </c>
      <c r="G176" t="s">
        <v>406</v>
      </c>
      <c r="H176">
        <v>94988.94</v>
      </c>
      <c r="I176" t="s">
        <v>101</v>
      </c>
      <c r="J176">
        <v>-531312205</v>
      </c>
      <c r="K176" t="s">
        <v>30</v>
      </c>
      <c r="L176" t="b">
        <v>0</v>
      </c>
    </row>
    <row r="177" spans="1:12" x14ac:dyDescent="0.35">
      <c r="A177" t="s">
        <v>407</v>
      </c>
      <c r="B177" t="s">
        <v>32</v>
      </c>
      <c r="C177" t="s">
        <v>92</v>
      </c>
      <c r="D177">
        <v>25</v>
      </c>
      <c r="E177" t="s">
        <v>118</v>
      </c>
      <c r="F177" t="s">
        <v>28</v>
      </c>
      <c r="G177" s="1">
        <v>45569</v>
      </c>
      <c r="H177">
        <v>71628.929999999993</v>
      </c>
      <c r="I177" t="s">
        <v>263</v>
      </c>
      <c r="J177">
        <v>-8155839385</v>
      </c>
      <c r="K177" t="s">
        <v>23</v>
      </c>
      <c r="L177" t="b">
        <v>0</v>
      </c>
    </row>
    <row r="178" spans="1:12" x14ac:dyDescent="0.35">
      <c r="A178" t="s">
        <v>408</v>
      </c>
      <c r="B178" t="s">
        <v>25</v>
      </c>
      <c r="C178" t="s">
        <v>38</v>
      </c>
      <c r="D178">
        <v>30</v>
      </c>
      <c r="E178" t="s">
        <v>89</v>
      </c>
      <c r="F178" t="s">
        <v>28</v>
      </c>
      <c r="G178" t="s">
        <v>284</v>
      </c>
      <c r="H178">
        <v>54870.98</v>
      </c>
      <c r="I178" t="s">
        <v>363</v>
      </c>
      <c r="J178">
        <v>-6133155205</v>
      </c>
      <c r="K178" t="s">
        <v>30</v>
      </c>
      <c r="L178" t="b">
        <v>0</v>
      </c>
    </row>
    <row r="179" spans="1:12" x14ac:dyDescent="0.35">
      <c r="A179" t="s">
        <v>409</v>
      </c>
      <c r="B179" t="s">
        <v>25</v>
      </c>
      <c r="C179" t="s">
        <v>38</v>
      </c>
      <c r="D179">
        <v>25</v>
      </c>
      <c r="E179" t="s">
        <v>78</v>
      </c>
      <c r="F179" t="s">
        <v>16</v>
      </c>
      <c r="G179" s="1">
        <v>44806</v>
      </c>
      <c r="H179">
        <v>79388.27</v>
      </c>
      <c r="I179" t="s">
        <v>363</v>
      </c>
      <c r="J179">
        <v>-5063731494</v>
      </c>
      <c r="K179" t="s">
        <v>18</v>
      </c>
      <c r="L179" t="b">
        <v>1</v>
      </c>
    </row>
    <row r="180" spans="1:12" x14ac:dyDescent="0.35">
      <c r="A180" t="s">
        <v>410</v>
      </c>
      <c r="B180" t="s">
        <v>37</v>
      </c>
      <c r="C180" t="s">
        <v>122</v>
      </c>
      <c r="D180">
        <v>35</v>
      </c>
      <c r="E180" t="s">
        <v>15</v>
      </c>
      <c r="F180" t="s">
        <v>28</v>
      </c>
      <c r="G180" s="1">
        <v>45082</v>
      </c>
      <c r="H180">
        <v>55946.99</v>
      </c>
      <c r="I180" t="s">
        <v>137</v>
      </c>
      <c r="J180">
        <v>-136497188</v>
      </c>
      <c r="K180" t="s">
        <v>18</v>
      </c>
      <c r="L180" t="b">
        <v>0</v>
      </c>
    </row>
    <row r="181" spans="1:12" x14ac:dyDescent="0.35">
      <c r="A181" t="s">
        <v>411</v>
      </c>
      <c r="B181" t="s">
        <v>54</v>
      </c>
      <c r="C181" t="s">
        <v>38</v>
      </c>
      <c r="E181" t="s">
        <v>85</v>
      </c>
      <c r="F181" t="s">
        <v>16</v>
      </c>
      <c r="G181" s="1">
        <v>44507</v>
      </c>
      <c r="H181">
        <v>81017.91</v>
      </c>
      <c r="I181" t="s">
        <v>90</v>
      </c>
      <c r="J181">
        <v>-2419562524</v>
      </c>
      <c r="K181" t="s">
        <v>23</v>
      </c>
      <c r="L181" t="b">
        <v>1</v>
      </c>
    </row>
    <row r="182" spans="1:12" x14ac:dyDescent="0.35">
      <c r="A182" t="s">
        <v>412</v>
      </c>
      <c r="B182" t="s">
        <v>65</v>
      </c>
      <c r="C182" t="s">
        <v>26</v>
      </c>
      <c r="D182">
        <v>40</v>
      </c>
      <c r="E182" t="s">
        <v>66</v>
      </c>
      <c r="F182" t="s">
        <v>28</v>
      </c>
      <c r="G182" t="s">
        <v>413</v>
      </c>
      <c r="H182">
        <v>74162.100000000006</v>
      </c>
      <c r="I182" t="s">
        <v>320</v>
      </c>
      <c r="J182">
        <v>-7150997682</v>
      </c>
      <c r="K182" t="s">
        <v>23</v>
      </c>
      <c r="L182" t="b">
        <v>0</v>
      </c>
    </row>
    <row r="183" spans="1:12" x14ac:dyDescent="0.35">
      <c r="A183" t="s">
        <v>414</v>
      </c>
      <c r="B183" t="s">
        <v>65</v>
      </c>
      <c r="C183" t="s">
        <v>14</v>
      </c>
      <c r="E183" t="s">
        <v>15</v>
      </c>
      <c r="F183" t="s">
        <v>16</v>
      </c>
      <c r="G183" t="s">
        <v>415</v>
      </c>
      <c r="H183">
        <v>77668.44</v>
      </c>
      <c r="I183" t="s">
        <v>395</v>
      </c>
      <c r="J183">
        <v>-8903091435</v>
      </c>
      <c r="K183" t="s">
        <v>30</v>
      </c>
      <c r="L183" t="b">
        <v>1</v>
      </c>
    </row>
    <row r="184" spans="1:12" x14ac:dyDescent="0.35">
      <c r="A184" t="s">
        <v>416</v>
      </c>
      <c r="B184" t="s">
        <v>25</v>
      </c>
      <c r="C184" t="s">
        <v>92</v>
      </c>
      <c r="D184">
        <v>30</v>
      </c>
      <c r="E184" t="s">
        <v>66</v>
      </c>
      <c r="F184" t="s">
        <v>16</v>
      </c>
      <c r="G184" t="s">
        <v>417</v>
      </c>
      <c r="H184">
        <v>67886.37</v>
      </c>
      <c r="I184" t="s">
        <v>166</v>
      </c>
      <c r="J184">
        <v>-3910257431</v>
      </c>
      <c r="K184" t="s">
        <v>41</v>
      </c>
      <c r="L184" t="b">
        <v>0</v>
      </c>
    </row>
    <row r="185" spans="1:12" x14ac:dyDescent="0.35">
      <c r="A185" t="s">
        <v>418</v>
      </c>
      <c r="B185" t="s">
        <v>25</v>
      </c>
      <c r="C185" t="s">
        <v>38</v>
      </c>
      <c r="D185">
        <v>40</v>
      </c>
      <c r="E185" t="s">
        <v>230</v>
      </c>
      <c r="F185" t="s">
        <v>16</v>
      </c>
      <c r="G185" t="s">
        <v>419</v>
      </c>
      <c r="H185">
        <v>76614.52</v>
      </c>
      <c r="I185" t="s">
        <v>363</v>
      </c>
      <c r="J185">
        <v>-6303975244</v>
      </c>
      <c r="K185" t="s">
        <v>30</v>
      </c>
      <c r="L185" t="b">
        <v>1</v>
      </c>
    </row>
    <row r="186" spans="1:12" x14ac:dyDescent="0.35">
      <c r="A186" t="s">
        <v>420</v>
      </c>
      <c r="B186" t="s">
        <v>37</v>
      </c>
      <c r="C186" t="s">
        <v>122</v>
      </c>
      <c r="D186">
        <v>25</v>
      </c>
      <c r="E186" t="s">
        <v>100</v>
      </c>
      <c r="F186" t="s">
        <v>16</v>
      </c>
      <c r="G186" s="1">
        <v>44901</v>
      </c>
      <c r="H186">
        <v>51311.91</v>
      </c>
      <c r="I186" t="s">
        <v>137</v>
      </c>
      <c r="J186">
        <v>-864035532</v>
      </c>
      <c r="K186" t="s">
        <v>23</v>
      </c>
      <c r="L186" t="b">
        <v>0</v>
      </c>
    </row>
    <row r="187" spans="1:12" x14ac:dyDescent="0.35">
      <c r="A187" t="s">
        <v>421</v>
      </c>
      <c r="B187" t="s">
        <v>37</v>
      </c>
      <c r="C187" t="s">
        <v>26</v>
      </c>
      <c r="E187" t="s">
        <v>265</v>
      </c>
      <c r="F187" t="s">
        <v>33</v>
      </c>
      <c r="G187" t="s">
        <v>315</v>
      </c>
      <c r="H187">
        <v>94809.919999999998</v>
      </c>
      <c r="I187" t="s">
        <v>47</v>
      </c>
      <c r="J187">
        <v>-8033968526</v>
      </c>
      <c r="K187" t="s">
        <v>30</v>
      </c>
      <c r="L187" t="b">
        <v>1</v>
      </c>
    </row>
    <row r="188" spans="1:12" x14ac:dyDescent="0.35">
      <c r="A188" t="s">
        <v>422</v>
      </c>
      <c r="B188" t="s">
        <v>69</v>
      </c>
      <c r="C188" t="s">
        <v>55</v>
      </c>
      <c r="D188">
        <v>25</v>
      </c>
      <c r="E188" t="s">
        <v>66</v>
      </c>
      <c r="F188" t="s">
        <v>28</v>
      </c>
      <c r="G188" t="s">
        <v>423</v>
      </c>
      <c r="H188">
        <v>108241.81</v>
      </c>
      <c r="I188" t="s">
        <v>127</v>
      </c>
      <c r="J188">
        <v>-171302320</v>
      </c>
      <c r="K188" t="s">
        <v>23</v>
      </c>
      <c r="L188" t="b">
        <v>1</v>
      </c>
    </row>
    <row r="189" spans="1:12" x14ac:dyDescent="0.35">
      <c r="A189" t="s">
        <v>424</v>
      </c>
      <c r="B189" t="s">
        <v>13</v>
      </c>
      <c r="C189" t="s">
        <v>14</v>
      </c>
      <c r="D189">
        <v>40</v>
      </c>
      <c r="E189" t="s">
        <v>60</v>
      </c>
      <c r="F189" t="s">
        <v>33</v>
      </c>
      <c r="G189" t="s">
        <v>425</v>
      </c>
      <c r="H189">
        <v>78031.490000000005</v>
      </c>
      <c r="I189" t="s">
        <v>17</v>
      </c>
      <c r="J189">
        <v>-2983381673</v>
      </c>
      <c r="K189" t="s">
        <v>30</v>
      </c>
      <c r="L189" t="b">
        <v>1</v>
      </c>
    </row>
    <row r="190" spans="1:12" x14ac:dyDescent="0.35">
      <c r="A190" t="s">
        <v>426</v>
      </c>
      <c r="B190" t="s">
        <v>32</v>
      </c>
      <c r="C190" t="s">
        <v>14</v>
      </c>
      <c r="D190">
        <v>35</v>
      </c>
      <c r="E190" t="s">
        <v>118</v>
      </c>
      <c r="F190" t="s">
        <v>16</v>
      </c>
      <c r="G190" s="1">
        <v>43957</v>
      </c>
      <c r="H190">
        <v>85733.83</v>
      </c>
      <c r="I190" t="s">
        <v>35</v>
      </c>
      <c r="J190">
        <v>-2336293448</v>
      </c>
      <c r="K190" t="s">
        <v>23</v>
      </c>
      <c r="L190" t="b">
        <v>1</v>
      </c>
    </row>
    <row r="191" spans="1:12" x14ac:dyDescent="0.35">
      <c r="A191" t="s">
        <v>427</v>
      </c>
      <c r="B191" t="s">
        <v>59</v>
      </c>
      <c r="C191" t="s">
        <v>92</v>
      </c>
      <c r="D191">
        <v>35</v>
      </c>
      <c r="E191" t="s">
        <v>149</v>
      </c>
      <c r="F191" t="s">
        <v>28</v>
      </c>
      <c r="G191" t="s">
        <v>428</v>
      </c>
      <c r="H191">
        <v>60338.29</v>
      </c>
      <c r="I191" t="s">
        <v>107</v>
      </c>
      <c r="J191">
        <v>-7347156626</v>
      </c>
      <c r="K191" t="s">
        <v>23</v>
      </c>
      <c r="L191" t="b">
        <v>0</v>
      </c>
    </row>
    <row r="192" spans="1:12" x14ac:dyDescent="0.35">
      <c r="A192" t="s">
        <v>429</v>
      </c>
      <c r="B192" t="s">
        <v>32</v>
      </c>
      <c r="C192" t="s">
        <v>14</v>
      </c>
      <c r="D192">
        <v>30</v>
      </c>
      <c r="E192" t="s">
        <v>89</v>
      </c>
      <c r="F192" t="s">
        <v>16</v>
      </c>
      <c r="G192" s="1">
        <v>45416</v>
      </c>
      <c r="H192">
        <v>103140.67</v>
      </c>
      <c r="I192" t="s">
        <v>35</v>
      </c>
      <c r="J192">
        <v>-7689627065</v>
      </c>
      <c r="K192" t="s">
        <v>23</v>
      </c>
      <c r="L192" t="b">
        <v>0</v>
      </c>
    </row>
    <row r="193" spans="1:12" x14ac:dyDescent="0.35">
      <c r="A193" t="s">
        <v>430</v>
      </c>
      <c r="B193" t="s">
        <v>65</v>
      </c>
      <c r="C193" t="s">
        <v>38</v>
      </c>
      <c r="D193">
        <v>40</v>
      </c>
      <c r="E193" t="s">
        <v>98</v>
      </c>
      <c r="F193" t="s">
        <v>33</v>
      </c>
      <c r="G193" t="s">
        <v>431</v>
      </c>
      <c r="H193">
        <v>114690.8</v>
      </c>
      <c r="I193" t="s">
        <v>67</v>
      </c>
      <c r="J193">
        <v>-1498282466</v>
      </c>
      <c r="K193" t="s">
        <v>41</v>
      </c>
      <c r="L193" t="b">
        <v>1</v>
      </c>
    </row>
    <row r="194" spans="1:12" x14ac:dyDescent="0.35">
      <c r="A194" t="s">
        <v>432</v>
      </c>
      <c r="B194" t="s">
        <v>37</v>
      </c>
      <c r="C194" t="s">
        <v>122</v>
      </c>
      <c r="D194">
        <v>35</v>
      </c>
      <c r="E194" t="s">
        <v>205</v>
      </c>
      <c r="F194" t="s">
        <v>16</v>
      </c>
      <c r="G194" t="s">
        <v>433</v>
      </c>
      <c r="H194">
        <v>80954.559999999998</v>
      </c>
      <c r="I194" t="s">
        <v>137</v>
      </c>
      <c r="J194">
        <v>-4746897151</v>
      </c>
      <c r="K194" t="s">
        <v>30</v>
      </c>
      <c r="L194" t="b">
        <v>0</v>
      </c>
    </row>
    <row r="195" spans="1:12" x14ac:dyDescent="0.35">
      <c r="A195" t="s">
        <v>434</v>
      </c>
      <c r="B195" t="s">
        <v>32</v>
      </c>
      <c r="C195" t="s">
        <v>14</v>
      </c>
      <c r="E195" t="s">
        <v>268</v>
      </c>
      <c r="F195" t="s">
        <v>28</v>
      </c>
      <c r="G195" t="s">
        <v>435</v>
      </c>
      <c r="H195">
        <v>71728.55</v>
      </c>
      <c r="I195" t="s">
        <v>35</v>
      </c>
      <c r="J195">
        <v>-7323008575</v>
      </c>
      <c r="K195" t="s">
        <v>30</v>
      </c>
      <c r="L195" t="b">
        <v>1</v>
      </c>
    </row>
    <row r="196" spans="1:12" x14ac:dyDescent="0.35">
      <c r="A196" t="s">
        <v>436</v>
      </c>
      <c r="B196" t="s">
        <v>25</v>
      </c>
      <c r="C196" t="s">
        <v>14</v>
      </c>
      <c r="D196">
        <v>35</v>
      </c>
      <c r="E196" t="s">
        <v>139</v>
      </c>
      <c r="F196" t="s">
        <v>28</v>
      </c>
      <c r="G196" s="1">
        <v>45393</v>
      </c>
      <c r="H196">
        <v>118415.8</v>
      </c>
      <c r="I196" t="s">
        <v>163</v>
      </c>
      <c r="J196">
        <v>-6656749159</v>
      </c>
      <c r="K196" t="s">
        <v>30</v>
      </c>
      <c r="L196" t="b">
        <v>1</v>
      </c>
    </row>
    <row r="197" spans="1:12" x14ac:dyDescent="0.35">
      <c r="A197" t="s">
        <v>437</v>
      </c>
      <c r="B197" t="s">
        <v>69</v>
      </c>
      <c r="C197" t="s">
        <v>55</v>
      </c>
      <c r="D197">
        <v>40</v>
      </c>
      <c r="E197" t="s">
        <v>98</v>
      </c>
      <c r="F197" t="s">
        <v>28</v>
      </c>
      <c r="G197" t="s">
        <v>438</v>
      </c>
      <c r="H197">
        <v>81481.36</v>
      </c>
      <c r="I197" t="s">
        <v>127</v>
      </c>
      <c r="J197">
        <v>-1692364586</v>
      </c>
      <c r="K197" t="s">
        <v>23</v>
      </c>
      <c r="L197" t="b">
        <v>0</v>
      </c>
    </row>
    <row r="198" spans="1:12" x14ac:dyDescent="0.35">
      <c r="A198" t="s">
        <v>439</v>
      </c>
      <c r="B198" t="s">
        <v>59</v>
      </c>
      <c r="C198" t="s">
        <v>55</v>
      </c>
      <c r="D198">
        <v>35</v>
      </c>
      <c r="E198" t="s">
        <v>74</v>
      </c>
      <c r="F198" t="s">
        <v>28</v>
      </c>
      <c r="G198" s="1">
        <v>43932</v>
      </c>
      <c r="H198">
        <v>117040.57</v>
      </c>
      <c r="I198" t="s">
        <v>217</v>
      </c>
      <c r="J198">
        <v>-5066337049</v>
      </c>
      <c r="K198" t="s">
        <v>30</v>
      </c>
      <c r="L198" t="b">
        <v>1</v>
      </c>
    </row>
    <row r="199" spans="1:12" x14ac:dyDescent="0.35">
      <c r="A199" t="s">
        <v>440</v>
      </c>
      <c r="B199" t="s">
        <v>37</v>
      </c>
      <c r="C199" t="s">
        <v>20</v>
      </c>
      <c r="D199">
        <v>25</v>
      </c>
      <c r="E199" t="s">
        <v>219</v>
      </c>
      <c r="F199" t="s">
        <v>16</v>
      </c>
      <c r="G199" t="s">
        <v>441</v>
      </c>
      <c r="H199">
        <v>67342.06</v>
      </c>
      <c r="I199" t="s">
        <v>239</v>
      </c>
      <c r="J199">
        <v>-2497243991</v>
      </c>
      <c r="K199" t="s">
        <v>30</v>
      </c>
      <c r="L199" t="b">
        <v>1</v>
      </c>
    </row>
    <row r="200" spans="1:12" x14ac:dyDescent="0.35">
      <c r="A200" t="s">
        <v>442</v>
      </c>
      <c r="B200" t="s">
        <v>65</v>
      </c>
      <c r="C200" t="s">
        <v>26</v>
      </c>
      <c r="E200" t="s">
        <v>98</v>
      </c>
      <c r="F200" t="s">
        <v>16</v>
      </c>
      <c r="G200" t="s">
        <v>443</v>
      </c>
      <c r="H200">
        <v>76099.64</v>
      </c>
      <c r="I200" t="s">
        <v>320</v>
      </c>
      <c r="J200">
        <v>-116691835</v>
      </c>
      <c r="K200" t="s">
        <v>23</v>
      </c>
      <c r="L200" t="b">
        <v>0</v>
      </c>
    </row>
    <row r="201" spans="1:12" x14ac:dyDescent="0.35">
      <c r="A201" t="s">
        <v>444</v>
      </c>
      <c r="B201" t="s">
        <v>69</v>
      </c>
      <c r="C201" t="s">
        <v>38</v>
      </c>
      <c r="D201">
        <v>35</v>
      </c>
      <c r="E201" t="s">
        <v>78</v>
      </c>
      <c r="F201" t="s">
        <v>16</v>
      </c>
      <c r="G201" s="1">
        <v>45388</v>
      </c>
      <c r="H201">
        <v>94162.06</v>
      </c>
      <c r="I201" t="s">
        <v>71</v>
      </c>
      <c r="J201">
        <v>-2644886945</v>
      </c>
      <c r="K201" t="s">
        <v>18</v>
      </c>
      <c r="L201" t="b">
        <v>1</v>
      </c>
    </row>
    <row r="202" spans="1:12" x14ac:dyDescent="0.35">
      <c r="A202" t="s">
        <v>445</v>
      </c>
      <c r="B202" t="s">
        <v>37</v>
      </c>
      <c r="C202" t="s">
        <v>14</v>
      </c>
      <c r="D202">
        <v>25</v>
      </c>
      <c r="E202" t="s">
        <v>219</v>
      </c>
      <c r="F202" t="s">
        <v>33</v>
      </c>
      <c r="G202" s="1">
        <v>44294</v>
      </c>
      <c r="H202">
        <v>67639.7</v>
      </c>
      <c r="I202" t="s">
        <v>52</v>
      </c>
      <c r="J202">
        <v>-1195243639</v>
      </c>
      <c r="K202" t="s">
        <v>23</v>
      </c>
      <c r="L202" t="b">
        <v>1</v>
      </c>
    </row>
    <row r="203" spans="1:12" x14ac:dyDescent="0.35">
      <c r="A203" t="s">
        <v>446</v>
      </c>
      <c r="B203" t="s">
        <v>54</v>
      </c>
      <c r="C203" t="s">
        <v>43</v>
      </c>
      <c r="D203">
        <v>35</v>
      </c>
      <c r="E203" t="s">
        <v>95</v>
      </c>
      <c r="F203" t="s">
        <v>28</v>
      </c>
      <c r="G203" t="s">
        <v>447</v>
      </c>
      <c r="H203">
        <v>114172.25</v>
      </c>
      <c r="I203" t="s">
        <v>87</v>
      </c>
      <c r="J203">
        <v>-2701168645</v>
      </c>
      <c r="K203" t="s">
        <v>30</v>
      </c>
      <c r="L203" t="b">
        <v>1</v>
      </c>
    </row>
    <row r="204" spans="1:12" x14ac:dyDescent="0.35">
      <c r="A204" t="s">
        <v>448</v>
      </c>
      <c r="B204" t="s">
        <v>69</v>
      </c>
      <c r="C204" t="s">
        <v>14</v>
      </c>
      <c r="D204">
        <v>30</v>
      </c>
      <c r="E204" t="s">
        <v>219</v>
      </c>
      <c r="F204" t="s">
        <v>16</v>
      </c>
      <c r="G204" t="s">
        <v>449</v>
      </c>
      <c r="H204">
        <v>89124.54</v>
      </c>
      <c r="I204" t="s">
        <v>235</v>
      </c>
      <c r="J204">
        <v>-2252237280</v>
      </c>
      <c r="K204" t="s">
        <v>23</v>
      </c>
      <c r="L204" t="b">
        <v>1</v>
      </c>
    </row>
    <row r="205" spans="1:12" x14ac:dyDescent="0.35">
      <c r="A205" t="s">
        <v>450</v>
      </c>
      <c r="B205" t="s">
        <v>37</v>
      </c>
      <c r="C205" t="s">
        <v>122</v>
      </c>
      <c r="D205">
        <v>30</v>
      </c>
      <c r="E205" t="s">
        <v>329</v>
      </c>
      <c r="F205" t="s">
        <v>28</v>
      </c>
      <c r="G205" s="1">
        <v>45027</v>
      </c>
      <c r="H205">
        <v>113871.36</v>
      </c>
      <c r="I205" t="s">
        <v>137</v>
      </c>
      <c r="J205">
        <v>-7932302345</v>
      </c>
      <c r="K205" t="s">
        <v>18</v>
      </c>
      <c r="L205" t="b">
        <v>0</v>
      </c>
    </row>
    <row r="206" spans="1:12" x14ac:dyDescent="0.35">
      <c r="A206" t="s">
        <v>451</v>
      </c>
      <c r="B206" t="s">
        <v>69</v>
      </c>
      <c r="C206" t="s">
        <v>20</v>
      </c>
      <c r="E206" t="s">
        <v>139</v>
      </c>
      <c r="F206" t="s">
        <v>33</v>
      </c>
      <c r="G206" t="s">
        <v>352</v>
      </c>
      <c r="H206">
        <v>62618.400000000001</v>
      </c>
      <c r="I206" t="s">
        <v>201</v>
      </c>
      <c r="J206">
        <v>-7912141613</v>
      </c>
      <c r="K206" t="s">
        <v>23</v>
      </c>
      <c r="L206" t="b">
        <v>0</v>
      </c>
    </row>
    <row r="207" spans="1:12" x14ac:dyDescent="0.35">
      <c r="A207" t="s">
        <v>452</v>
      </c>
      <c r="B207" t="s">
        <v>65</v>
      </c>
      <c r="C207" t="s">
        <v>26</v>
      </c>
      <c r="D207">
        <v>30</v>
      </c>
      <c r="E207" t="s">
        <v>196</v>
      </c>
      <c r="F207" t="s">
        <v>16</v>
      </c>
      <c r="G207" s="1">
        <v>44018</v>
      </c>
      <c r="H207">
        <v>70705.45</v>
      </c>
      <c r="I207" t="s">
        <v>320</v>
      </c>
      <c r="J207">
        <v>-1509377099</v>
      </c>
      <c r="K207" t="s">
        <v>30</v>
      </c>
      <c r="L207" t="b">
        <v>0</v>
      </c>
    </row>
    <row r="208" spans="1:12" x14ac:dyDescent="0.35">
      <c r="A208" t="s">
        <v>453</v>
      </c>
      <c r="B208" t="s">
        <v>25</v>
      </c>
      <c r="C208" t="s">
        <v>43</v>
      </c>
      <c r="D208">
        <v>35</v>
      </c>
      <c r="E208" t="s">
        <v>109</v>
      </c>
      <c r="F208" t="s">
        <v>28</v>
      </c>
      <c r="G208" s="1">
        <v>44836</v>
      </c>
      <c r="H208">
        <v>60797.69</v>
      </c>
      <c r="I208" t="s">
        <v>45</v>
      </c>
      <c r="J208">
        <v>-4090138068</v>
      </c>
      <c r="K208" t="s">
        <v>18</v>
      </c>
      <c r="L208" t="b">
        <v>1</v>
      </c>
    </row>
    <row r="209" spans="1:12" x14ac:dyDescent="0.35">
      <c r="A209" t="s">
        <v>454</v>
      </c>
      <c r="B209" t="s">
        <v>54</v>
      </c>
      <c r="C209" t="s">
        <v>20</v>
      </c>
      <c r="D209">
        <v>40</v>
      </c>
      <c r="E209" t="s">
        <v>39</v>
      </c>
      <c r="F209" t="s">
        <v>33</v>
      </c>
      <c r="G209" t="s">
        <v>455</v>
      </c>
      <c r="H209">
        <v>100371</v>
      </c>
      <c r="I209" t="s">
        <v>125</v>
      </c>
      <c r="J209">
        <v>-8477596554</v>
      </c>
      <c r="K209" t="s">
        <v>41</v>
      </c>
      <c r="L209" t="b">
        <v>1</v>
      </c>
    </row>
    <row r="210" spans="1:12" x14ac:dyDescent="0.35">
      <c r="A210" t="s">
        <v>456</v>
      </c>
      <c r="B210" t="s">
        <v>32</v>
      </c>
      <c r="C210" t="s">
        <v>92</v>
      </c>
      <c r="D210">
        <v>40</v>
      </c>
      <c r="E210" t="s">
        <v>89</v>
      </c>
      <c r="F210" t="s">
        <v>16</v>
      </c>
      <c r="G210" t="s">
        <v>457</v>
      </c>
      <c r="H210">
        <v>117591.76</v>
      </c>
      <c r="I210" t="s">
        <v>263</v>
      </c>
      <c r="J210">
        <v>-5356690550</v>
      </c>
      <c r="K210" t="s">
        <v>30</v>
      </c>
      <c r="L210" t="b">
        <v>0</v>
      </c>
    </row>
    <row r="211" spans="1:12" x14ac:dyDescent="0.35">
      <c r="A211" t="s">
        <v>458</v>
      </c>
      <c r="B211" t="s">
        <v>59</v>
      </c>
      <c r="C211" t="s">
        <v>26</v>
      </c>
      <c r="D211">
        <v>35</v>
      </c>
      <c r="E211" t="s">
        <v>78</v>
      </c>
      <c r="F211" t="s">
        <v>33</v>
      </c>
      <c r="G211" s="1">
        <v>44628</v>
      </c>
      <c r="H211">
        <v>103860.7</v>
      </c>
      <c r="I211" t="s">
        <v>242</v>
      </c>
      <c r="J211">
        <v>-762091842</v>
      </c>
      <c r="K211" t="s">
        <v>18</v>
      </c>
      <c r="L211" t="b">
        <v>1</v>
      </c>
    </row>
    <row r="212" spans="1:12" x14ac:dyDescent="0.35">
      <c r="A212" t="s">
        <v>459</v>
      </c>
      <c r="B212" t="s">
        <v>69</v>
      </c>
      <c r="C212" t="s">
        <v>14</v>
      </c>
      <c r="D212">
        <v>30</v>
      </c>
      <c r="E212" t="s">
        <v>89</v>
      </c>
      <c r="F212" t="s">
        <v>16</v>
      </c>
      <c r="G212" t="s">
        <v>337</v>
      </c>
      <c r="H212">
        <v>67500.22</v>
      </c>
      <c r="I212" t="s">
        <v>235</v>
      </c>
      <c r="J212">
        <v>-5797863049</v>
      </c>
      <c r="K212" t="s">
        <v>18</v>
      </c>
      <c r="L212" t="b">
        <v>1</v>
      </c>
    </row>
    <row r="213" spans="1:12" x14ac:dyDescent="0.35">
      <c r="A213" t="s">
        <v>460</v>
      </c>
      <c r="B213" t="s">
        <v>37</v>
      </c>
      <c r="C213" t="s">
        <v>14</v>
      </c>
      <c r="E213" t="s">
        <v>85</v>
      </c>
      <c r="F213" t="s">
        <v>28</v>
      </c>
      <c r="G213" s="1">
        <v>45545</v>
      </c>
      <c r="H213">
        <v>58727.44</v>
      </c>
      <c r="I213" t="s">
        <v>52</v>
      </c>
      <c r="J213">
        <v>-5057397690</v>
      </c>
      <c r="K213" t="s">
        <v>41</v>
      </c>
      <c r="L213" t="b">
        <v>1</v>
      </c>
    </row>
    <row r="214" spans="1:12" x14ac:dyDescent="0.35">
      <c r="A214" t="s">
        <v>461</v>
      </c>
      <c r="B214" t="s">
        <v>54</v>
      </c>
      <c r="C214" t="s">
        <v>26</v>
      </c>
      <c r="D214">
        <v>35</v>
      </c>
      <c r="E214" t="s">
        <v>265</v>
      </c>
      <c r="F214" t="s">
        <v>16</v>
      </c>
      <c r="G214" t="s">
        <v>208</v>
      </c>
      <c r="H214">
        <v>80623.08</v>
      </c>
      <c r="I214" t="s">
        <v>120</v>
      </c>
      <c r="J214">
        <v>-5671649327</v>
      </c>
      <c r="K214" t="s">
        <v>23</v>
      </c>
      <c r="L214" t="b">
        <v>1</v>
      </c>
    </row>
    <row r="215" spans="1:12" x14ac:dyDescent="0.35">
      <c r="A215" t="s">
        <v>462</v>
      </c>
      <c r="B215" t="s">
        <v>59</v>
      </c>
      <c r="C215" t="s">
        <v>14</v>
      </c>
      <c r="D215">
        <v>40</v>
      </c>
      <c r="E215" t="s">
        <v>139</v>
      </c>
      <c r="F215" t="s">
        <v>33</v>
      </c>
      <c r="G215" t="s">
        <v>463</v>
      </c>
      <c r="H215">
        <v>77751.78</v>
      </c>
      <c r="I215" t="s">
        <v>63</v>
      </c>
      <c r="J215">
        <v>-9802714871</v>
      </c>
      <c r="K215" t="s">
        <v>23</v>
      </c>
      <c r="L215" t="b">
        <v>0</v>
      </c>
    </row>
    <row r="216" spans="1:12" x14ac:dyDescent="0.35">
      <c r="A216" t="s">
        <v>464</v>
      </c>
      <c r="B216" t="s">
        <v>69</v>
      </c>
      <c r="C216" t="s">
        <v>38</v>
      </c>
      <c r="D216">
        <v>25</v>
      </c>
      <c r="E216" t="s">
        <v>66</v>
      </c>
      <c r="F216" t="s">
        <v>16</v>
      </c>
      <c r="G216" t="s">
        <v>465</v>
      </c>
      <c r="H216">
        <v>115157.81</v>
      </c>
      <c r="I216" t="s">
        <v>71</v>
      </c>
      <c r="J216">
        <v>-7178333210</v>
      </c>
      <c r="K216" t="s">
        <v>30</v>
      </c>
      <c r="L216" t="b">
        <v>0</v>
      </c>
    </row>
    <row r="217" spans="1:12" x14ac:dyDescent="0.35">
      <c r="A217" t="s">
        <v>466</v>
      </c>
      <c r="B217" t="s">
        <v>37</v>
      </c>
      <c r="C217" t="s">
        <v>26</v>
      </c>
      <c r="D217">
        <v>30</v>
      </c>
      <c r="E217" t="s">
        <v>103</v>
      </c>
      <c r="F217" t="s">
        <v>33</v>
      </c>
      <c r="G217" t="s">
        <v>467</v>
      </c>
      <c r="H217">
        <v>83071.850000000006</v>
      </c>
      <c r="I217" t="s">
        <v>47</v>
      </c>
      <c r="J217">
        <v>-6025643470</v>
      </c>
      <c r="K217" t="s">
        <v>41</v>
      </c>
      <c r="L217" t="b">
        <v>0</v>
      </c>
    </row>
    <row r="218" spans="1:12" x14ac:dyDescent="0.35">
      <c r="A218" t="s">
        <v>468</v>
      </c>
      <c r="B218" t="s">
        <v>65</v>
      </c>
      <c r="C218" t="s">
        <v>20</v>
      </c>
      <c r="D218">
        <v>40</v>
      </c>
      <c r="E218" t="s">
        <v>44</v>
      </c>
      <c r="F218" t="s">
        <v>16</v>
      </c>
      <c r="G218" s="1">
        <v>44045</v>
      </c>
      <c r="H218">
        <v>67914.67</v>
      </c>
      <c r="I218" t="s">
        <v>404</v>
      </c>
      <c r="J218">
        <v>-2871539914</v>
      </c>
      <c r="K218" t="s">
        <v>23</v>
      </c>
      <c r="L218" t="b">
        <v>1</v>
      </c>
    </row>
    <row r="219" spans="1:12" x14ac:dyDescent="0.35">
      <c r="A219" t="s">
        <v>469</v>
      </c>
      <c r="B219" t="s">
        <v>69</v>
      </c>
      <c r="C219" t="s">
        <v>26</v>
      </c>
      <c r="D219">
        <v>25</v>
      </c>
      <c r="E219" t="s">
        <v>66</v>
      </c>
      <c r="F219" t="s">
        <v>33</v>
      </c>
      <c r="G219" s="1">
        <v>43991</v>
      </c>
      <c r="H219">
        <v>53342.46</v>
      </c>
      <c r="I219" t="s">
        <v>76</v>
      </c>
      <c r="J219">
        <v>-6686334140</v>
      </c>
      <c r="K219" t="s">
        <v>41</v>
      </c>
      <c r="L219" t="b">
        <v>0</v>
      </c>
    </row>
    <row r="220" spans="1:12" x14ac:dyDescent="0.35">
      <c r="A220" t="s">
        <v>470</v>
      </c>
      <c r="B220" t="s">
        <v>65</v>
      </c>
      <c r="C220" t="s">
        <v>43</v>
      </c>
      <c r="D220">
        <v>25</v>
      </c>
      <c r="E220" t="s">
        <v>39</v>
      </c>
      <c r="F220" t="s">
        <v>28</v>
      </c>
      <c r="G220" s="1">
        <v>44958</v>
      </c>
      <c r="H220">
        <v>51150.47</v>
      </c>
      <c r="I220" t="s">
        <v>257</v>
      </c>
      <c r="J220">
        <v>-1159319524</v>
      </c>
      <c r="K220" t="s">
        <v>23</v>
      </c>
      <c r="L220" t="b">
        <v>0</v>
      </c>
    </row>
    <row r="221" spans="1:12" x14ac:dyDescent="0.35">
      <c r="A221" t="s">
        <v>471</v>
      </c>
      <c r="B221" t="s">
        <v>59</v>
      </c>
      <c r="C221" t="s">
        <v>14</v>
      </c>
      <c r="D221">
        <v>30</v>
      </c>
      <c r="E221" t="s">
        <v>212</v>
      </c>
      <c r="F221" t="s">
        <v>16</v>
      </c>
      <c r="G221" t="s">
        <v>472</v>
      </c>
      <c r="H221">
        <v>74697.119999999995</v>
      </c>
      <c r="I221" t="s">
        <v>63</v>
      </c>
      <c r="J221">
        <v>-6904098365</v>
      </c>
      <c r="K221" t="s">
        <v>18</v>
      </c>
      <c r="L221" t="b">
        <v>1</v>
      </c>
    </row>
    <row r="222" spans="1:12" x14ac:dyDescent="0.35">
      <c r="A222" t="s">
        <v>473</v>
      </c>
      <c r="B222" t="s">
        <v>54</v>
      </c>
      <c r="C222" t="s">
        <v>38</v>
      </c>
      <c r="D222">
        <v>25</v>
      </c>
      <c r="E222" t="s">
        <v>177</v>
      </c>
      <c r="F222" t="s">
        <v>16</v>
      </c>
      <c r="G222" t="s">
        <v>474</v>
      </c>
      <c r="H222">
        <v>88085.74</v>
      </c>
      <c r="I222" t="s">
        <v>90</v>
      </c>
      <c r="J222">
        <v>-5528993159</v>
      </c>
      <c r="K222" t="s">
        <v>23</v>
      </c>
      <c r="L222" t="b">
        <v>1</v>
      </c>
    </row>
    <row r="223" spans="1:12" x14ac:dyDescent="0.35">
      <c r="A223" t="s">
        <v>475</v>
      </c>
      <c r="B223" t="s">
        <v>25</v>
      </c>
      <c r="C223" t="s">
        <v>38</v>
      </c>
      <c r="D223">
        <v>40</v>
      </c>
      <c r="E223" t="s">
        <v>21</v>
      </c>
      <c r="F223" t="s">
        <v>28</v>
      </c>
      <c r="G223" s="1">
        <v>44623</v>
      </c>
      <c r="H223">
        <v>118672.76</v>
      </c>
      <c r="I223" t="s">
        <v>363</v>
      </c>
      <c r="J223">
        <v>-8752437728</v>
      </c>
      <c r="K223" t="s">
        <v>41</v>
      </c>
      <c r="L223" t="b">
        <v>0</v>
      </c>
    </row>
    <row r="224" spans="1:12" x14ac:dyDescent="0.35">
      <c r="A224" t="s">
        <v>476</v>
      </c>
      <c r="B224" t="s">
        <v>25</v>
      </c>
      <c r="C224" t="s">
        <v>92</v>
      </c>
      <c r="D224">
        <v>35</v>
      </c>
      <c r="E224" t="s">
        <v>268</v>
      </c>
      <c r="F224" t="s">
        <v>16</v>
      </c>
      <c r="G224" s="1">
        <v>45567</v>
      </c>
      <c r="H224">
        <v>95997.31</v>
      </c>
      <c r="I224" t="s">
        <v>166</v>
      </c>
      <c r="J224">
        <v>-4209548148</v>
      </c>
      <c r="K224" t="s">
        <v>18</v>
      </c>
      <c r="L224" t="b">
        <v>0</v>
      </c>
    </row>
    <row r="225" spans="1:12" x14ac:dyDescent="0.35">
      <c r="A225" t="s">
        <v>477</v>
      </c>
      <c r="B225" t="s">
        <v>37</v>
      </c>
      <c r="C225" t="s">
        <v>20</v>
      </c>
      <c r="D225">
        <v>30</v>
      </c>
      <c r="E225" t="s">
        <v>268</v>
      </c>
      <c r="F225" t="s">
        <v>28</v>
      </c>
      <c r="G225" t="s">
        <v>478</v>
      </c>
      <c r="H225">
        <v>106945.62</v>
      </c>
      <c r="I225" t="s">
        <v>239</v>
      </c>
      <c r="J225">
        <v>-7374605232</v>
      </c>
      <c r="K225" t="s">
        <v>18</v>
      </c>
      <c r="L225" t="b">
        <v>0</v>
      </c>
    </row>
    <row r="226" spans="1:12" x14ac:dyDescent="0.35">
      <c r="A226" t="s">
        <v>479</v>
      </c>
      <c r="B226" t="s">
        <v>65</v>
      </c>
      <c r="C226" t="s">
        <v>55</v>
      </c>
      <c r="D226">
        <v>40</v>
      </c>
      <c r="E226" t="s">
        <v>56</v>
      </c>
      <c r="F226" t="s">
        <v>16</v>
      </c>
      <c r="G226" s="1">
        <v>44079</v>
      </c>
      <c r="H226">
        <v>100123.15</v>
      </c>
      <c r="I226" t="s">
        <v>113</v>
      </c>
      <c r="J226">
        <v>-276420864</v>
      </c>
      <c r="K226" t="s">
        <v>18</v>
      </c>
      <c r="L226" t="b">
        <v>0</v>
      </c>
    </row>
    <row r="227" spans="1:12" x14ac:dyDescent="0.35">
      <c r="A227" t="s">
        <v>480</v>
      </c>
      <c r="B227" t="s">
        <v>25</v>
      </c>
      <c r="C227" t="s">
        <v>55</v>
      </c>
      <c r="D227">
        <v>35</v>
      </c>
      <c r="E227" t="s">
        <v>103</v>
      </c>
      <c r="F227" t="s">
        <v>16</v>
      </c>
      <c r="G227" t="s">
        <v>481</v>
      </c>
      <c r="H227">
        <v>52933.42</v>
      </c>
      <c r="I227" t="s">
        <v>150</v>
      </c>
      <c r="J227">
        <v>-6756618442</v>
      </c>
      <c r="K227" t="s">
        <v>41</v>
      </c>
      <c r="L227" t="b">
        <v>1</v>
      </c>
    </row>
    <row r="228" spans="1:12" x14ac:dyDescent="0.35">
      <c r="A228" t="s">
        <v>482</v>
      </c>
      <c r="B228" t="s">
        <v>69</v>
      </c>
      <c r="C228" t="s">
        <v>26</v>
      </c>
      <c r="E228" t="s">
        <v>70</v>
      </c>
      <c r="F228" t="s">
        <v>16</v>
      </c>
      <c r="G228" t="s">
        <v>483</v>
      </c>
      <c r="H228">
        <v>95283.03</v>
      </c>
      <c r="I228" t="s">
        <v>76</v>
      </c>
      <c r="J228">
        <v>-8612590471</v>
      </c>
      <c r="K228" t="s">
        <v>30</v>
      </c>
      <c r="L228" t="b">
        <v>0</v>
      </c>
    </row>
    <row r="229" spans="1:12" x14ac:dyDescent="0.35">
      <c r="A229" t="s">
        <v>484</v>
      </c>
      <c r="B229" t="s">
        <v>25</v>
      </c>
      <c r="C229" t="s">
        <v>92</v>
      </c>
      <c r="D229">
        <v>35</v>
      </c>
      <c r="E229" t="s">
        <v>139</v>
      </c>
      <c r="F229" t="s">
        <v>33</v>
      </c>
      <c r="G229" t="s">
        <v>485</v>
      </c>
      <c r="H229">
        <v>112264.06</v>
      </c>
      <c r="I229" t="s">
        <v>166</v>
      </c>
      <c r="J229">
        <v>-9277423329</v>
      </c>
      <c r="K229" t="s">
        <v>30</v>
      </c>
      <c r="L229" t="b">
        <v>0</v>
      </c>
    </row>
    <row r="230" spans="1:12" x14ac:dyDescent="0.35">
      <c r="A230" t="s">
        <v>486</v>
      </c>
      <c r="B230" t="s">
        <v>69</v>
      </c>
      <c r="C230" t="s">
        <v>122</v>
      </c>
      <c r="D230">
        <v>35</v>
      </c>
      <c r="E230" t="s">
        <v>205</v>
      </c>
      <c r="F230" t="s">
        <v>28</v>
      </c>
      <c r="G230" t="s">
        <v>487</v>
      </c>
      <c r="H230">
        <v>75714.28</v>
      </c>
      <c r="I230" t="s">
        <v>135</v>
      </c>
      <c r="J230">
        <v>-5912662014</v>
      </c>
      <c r="K230" t="s">
        <v>30</v>
      </c>
      <c r="L230" t="b">
        <v>1</v>
      </c>
    </row>
    <row r="231" spans="1:12" x14ac:dyDescent="0.35">
      <c r="A231" t="s">
        <v>488</v>
      </c>
      <c r="B231" t="s">
        <v>32</v>
      </c>
      <c r="C231" t="s">
        <v>26</v>
      </c>
      <c r="D231">
        <v>25</v>
      </c>
      <c r="E231" t="s">
        <v>230</v>
      </c>
      <c r="F231" t="s">
        <v>16</v>
      </c>
      <c r="G231" t="s">
        <v>489</v>
      </c>
      <c r="H231">
        <v>92171.73</v>
      </c>
      <c r="I231" t="s">
        <v>278</v>
      </c>
      <c r="J231">
        <v>-7201859625</v>
      </c>
      <c r="K231" t="s">
        <v>41</v>
      </c>
      <c r="L231" t="b">
        <v>0</v>
      </c>
    </row>
    <row r="232" spans="1:12" x14ac:dyDescent="0.35">
      <c r="A232" t="s">
        <v>490</v>
      </c>
      <c r="B232" t="s">
        <v>32</v>
      </c>
      <c r="C232" t="s">
        <v>92</v>
      </c>
      <c r="D232">
        <v>35</v>
      </c>
      <c r="E232" t="s">
        <v>159</v>
      </c>
      <c r="F232" t="s">
        <v>33</v>
      </c>
      <c r="G232" t="s">
        <v>491</v>
      </c>
      <c r="H232">
        <v>70694.8</v>
      </c>
      <c r="I232" t="s">
        <v>263</v>
      </c>
      <c r="J232">
        <v>-3013674925</v>
      </c>
      <c r="K232" t="s">
        <v>18</v>
      </c>
      <c r="L232" t="b">
        <v>1</v>
      </c>
    </row>
    <row r="233" spans="1:12" x14ac:dyDescent="0.35">
      <c r="A233" t="s">
        <v>492</v>
      </c>
      <c r="B233" t="s">
        <v>69</v>
      </c>
      <c r="C233" t="s">
        <v>20</v>
      </c>
      <c r="D233">
        <v>30</v>
      </c>
      <c r="E233" t="s">
        <v>230</v>
      </c>
      <c r="F233" t="s">
        <v>33</v>
      </c>
      <c r="G233" s="1">
        <v>44658</v>
      </c>
      <c r="H233">
        <v>52964.86</v>
      </c>
      <c r="I233" t="s">
        <v>201</v>
      </c>
      <c r="J233">
        <v>-1764750110</v>
      </c>
      <c r="K233" t="s">
        <v>30</v>
      </c>
      <c r="L233" t="b">
        <v>1</v>
      </c>
    </row>
    <row r="234" spans="1:12" x14ac:dyDescent="0.35">
      <c r="A234" t="s">
        <v>493</v>
      </c>
      <c r="B234" t="s">
        <v>37</v>
      </c>
      <c r="C234" t="s">
        <v>20</v>
      </c>
      <c r="E234" t="s">
        <v>70</v>
      </c>
      <c r="F234" t="s">
        <v>28</v>
      </c>
      <c r="G234" s="1">
        <v>45510</v>
      </c>
      <c r="H234">
        <v>116353.31</v>
      </c>
      <c r="I234" t="s">
        <v>239</v>
      </c>
      <c r="J234">
        <v>-1783099973</v>
      </c>
      <c r="K234" t="s">
        <v>41</v>
      </c>
      <c r="L234" t="b">
        <v>1</v>
      </c>
    </row>
    <row r="235" spans="1:12" x14ac:dyDescent="0.35">
      <c r="A235" t="s">
        <v>494</v>
      </c>
      <c r="B235" t="s">
        <v>69</v>
      </c>
      <c r="C235" t="s">
        <v>20</v>
      </c>
      <c r="D235">
        <v>35</v>
      </c>
      <c r="E235" t="s">
        <v>219</v>
      </c>
      <c r="F235" t="s">
        <v>28</v>
      </c>
      <c r="G235" t="s">
        <v>495</v>
      </c>
      <c r="H235">
        <v>116695.26</v>
      </c>
      <c r="I235" t="s">
        <v>201</v>
      </c>
      <c r="J235">
        <v>-1926764920</v>
      </c>
      <c r="K235" t="s">
        <v>30</v>
      </c>
      <c r="L235" t="b">
        <v>0</v>
      </c>
    </row>
    <row r="236" spans="1:12" x14ac:dyDescent="0.35">
      <c r="A236" t="s">
        <v>496</v>
      </c>
      <c r="B236" t="s">
        <v>65</v>
      </c>
      <c r="C236" t="s">
        <v>20</v>
      </c>
      <c r="D236">
        <v>25</v>
      </c>
      <c r="E236" t="s">
        <v>103</v>
      </c>
      <c r="F236" t="s">
        <v>16</v>
      </c>
      <c r="G236" t="s">
        <v>497</v>
      </c>
      <c r="H236">
        <v>95161.4</v>
      </c>
      <c r="I236" t="s">
        <v>404</v>
      </c>
      <c r="J236">
        <v>-5182606887</v>
      </c>
      <c r="K236" t="s">
        <v>23</v>
      </c>
      <c r="L236" t="b">
        <v>0</v>
      </c>
    </row>
    <row r="237" spans="1:12" x14ac:dyDescent="0.35">
      <c r="A237" t="s">
        <v>498</v>
      </c>
      <c r="B237" t="s">
        <v>25</v>
      </c>
      <c r="C237" t="s">
        <v>20</v>
      </c>
      <c r="E237" t="s">
        <v>27</v>
      </c>
      <c r="F237" t="s">
        <v>33</v>
      </c>
      <c r="G237" t="s">
        <v>499</v>
      </c>
      <c r="H237">
        <v>76040.94</v>
      </c>
      <c r="I237" t="s">
        <v>80</v>
      </c>
      <c r="J237">
        <v>-7189813128</v>
      </c>
      <c r="K237" t="s">
        <v>30</v>
      </c>
      <c r="L237" t="b">
        <v>1</v>
      </c>
    </row>
    <row r="238" spans="1:12" x14ac:dyDescent="0.35">
      <c r="A238" t="s">
        <v>500</v>
      </c>
      <c r="B238" t="s">
        <v>54</v>
      </c>
      <c r="C238" t="s">
        <v>92</v>
      </c>
      <c r="E238" t="s">
        <v>212</v>
      </c>
      <c r="F238" t="s">
        <v>33</v>
      </c>
      <c r="G238" t="s">
        <v>501</v>
      </c>
      <c r="H238">
        <v>69508.28</v>
      </c>
      <c r="I238" t="s">
        <v>502</v>
      </c>
      <c r="J238">
        <v>-2087510292</v>
      </c>
      <c r="K238" t="s">
        <v>30</v>
      </c>
      <c r="L238" t="b">
        <v>0</v>
      </c>
    </row>
    <row r="239" spans="1:12" x14ac:dyDescent="0.35">
      <c r="A239" t="s">
        <v>503</v>
      </c>
      <c r="B239" t="s">
        <v>25</v>
      </c>
      <c r="C239" t="s">
        <v>92</v>
      </c>
      <c r="D239">
        <v>30</v>
      </c>
      <c r="E239" t="s">
        <v>265</v>
      </c>
      <c r="F239" t="s">
        <v>33</v>
      </c>
      <c r="G239" t="s">
        <v>504</v>
      </c>
      <c r="H239">
        <v>58243.27</v>
      </c>
      <c r="I239" t="s">
        <v>166</v>
      </c>
      <c r="J239">
        <v>-2184011844</v>
      </c>
      <c r="K239" t="s">
        <v>18</v>
      </c>
      <c r="L239" t="b">
        <v>0</v>
      </c>
    </row>
    <row r="240" spans="1:12" x14ac:dyDescent="0.35">
      <c r="A240" t="s">
        <v>505</v>
      </c>
      <c r="B240" t="s">
        <v>65</v>
      </c>
      <c r="C240" t="s">
        <v>38</v>
      </c>
      <c r="D240">
        <v>30</v>
      </c>
      <c r="E240" t="s">
        <v>177</v>
      </c>
      <c r="F240" t="s">
        <v>28</v>
      </c>
      <c r="G240" s="1">
        <v>44602</v>
      </c>
      <c r="H240">
        <v>64012.480000000003</v>
      </c>
      <c r="I240" t="s">
        <v>67</v>
      </c>
      <c r="J240">
        <v>-8260340847</v>
      </c>
      <c r="K240" t="s">
        <v>41</v>
      </c>
      <c r="L240" t="b">
        <v>1</v>
      </c>
    </row>
    <row r="241" spans="1:12" x14ac:dyDescent="0.35">
      <c r="A241" t="s">
        <v>506</v>
      </c>
      <c r="B241" t="s">
        <v>13</v>
      </c>
      <c r="C241" t="s">
        <v>43</v>
      </c>
      <c r="D241">
        <v>40</v>
      </c>
      <c r="E241" t="s">
        <v>27</v>
      </c>
      <c r="F241" t="s">
        <v>33</v>
      </c>
      <c r="G241" t="s">
        <v>507</v>
      </c>
      <c r="H241">
        <v>106735.93</v>
      </c>
      <c r="I241" t="s">
        <v>153</v>
      </c>
      <c r="J241">
        <v>-7297585987</v>
      </c>
      <c r="K241" t="s">
        <v>18</v>
      </c>
      <c r="L241" t="b">
        <v>1</v>
      </c>
    </row>
    <row r="242" spans="1:12" x14ac:dyDescent="0.35">
      <c r="A242" t="s">
        <v>508</v>
      </c>
      <c r="B242" t="s">
        <v>37</v>
      </c>
      <c r="C242" t="s">
        <v>55</v>
      </c>
      <c r="D242">
        <v>35</v>
      </c>
      <c r="E242" t="s">
        <v>237</v>
      </c>
      <c r="F242" t="s">
        <v>28</v>
      </c>
      <c r="G242" t="s">
        <v>509</v>
      </c>
      <c r="H242">
        <v>70325.36</v>
      </c>
      <c r="I242" t="s">
        <v>271</v>
      </c>
      <c r="J242">
        <v>-3103032431</v>
      </c>
      <c r="K242" t="s">
        <v>18</v>
      </c>
      <c r="L242" t="b">
        <v>0</v>
      </c>
    </row>
    <row r="243" spans="1:12" x14ac:dyDescent="0.35">
      <c r="A243" t="s">
        <v>510</v>
      </c>
      <c r="B243" t="s">
        <v>54</v>
      </c>
      <c r="C243" t="s">
        <v>14</v>
      </c>
      <c r="D243">
        <v>30</v>
      </c>
      <c r="E243" t="s">
        <v>192</v>
      </c>
      <c r="F243" t="s">
        <v>16</v>
      </c>
      <c r="G243" s="1">
        <v>43960</v>
      </c>
      <c r="H243">
        <v>118959.28</v>
      </c>
      <c r="I243" t="s">
        <v>170</v>
      </c>
      <c r="J243">
        <v>-9839542960</v>
      </c>
      <c r="K243" t="s">
        <v>18</v>
      </c>
      <c r="L243" t="b">
        <v>1</v>
      </c>
    </row>
    <row r="244" spans="1:12" x14ac:dyDescent="0.35">
      <c r="A244" t="s">
        <v>511</v>
      </c>
      <c r="B244" t="s">
        <v>59</v>
      </c>
      <c r="C244" t="s">
        <v>20</v>
      </c>
      <c r="D244">
        <v>40</v>
      </c>
      <c r="E244" t="s">
        <v>268</v>
      </c>
      <c r="F244" t="s">
        <v>28</v>
      </c>
      <c r="G244" t="s">
        <v>512</v>
      </c>
      <c r="H244">
        <v>75823.78</v>
      </c>
      <c r="I244" t="s">
        <v>225</v>
      </c>
      <c r="J244">
        <v>-8446267145</v>
      </c>
      <c r="K244" t="s">
        <v>18</v>
      </c>
      <c r="L244" t="b">
        <v>0</v>
      </c>
    </row>
    <row r="245" spans="1:12" x14ac:dyDescent="0.35">
      <c r="A245" t="s">
        <v>513</v>
      </c>
      <c r="B245" t="s">
        <v>54</v>
      </c>
      <c r="C245" t="s">
        <v>122</v>
      </c>
      <c r="E245" t="s">
        <v>159</v>
      </c>
      <c r="F245" t="s">
        <v>33</v>
      </c>
      <c r="G245" t="s">
        <v>514</v>
      </c>
      <c r="H245">
        <v>119971.65</v>
      </c>
      <c r="I245" t="s">
        <v>194</v>
      </c>
      <c r="J245">
        <v>-2831435988</v>
      </c>
      <c r="K245" t="s">
        <v>18</v>
      </c>
      <c r="L245" t="b">
        <v>0</v>
      </c>
    </row>
    <row r="246" spans="1:12" x14ac:dyDescent="0.35">
      <c r="A246" t="s">
        <v>515</v>
      </c>
      <c r="B246" t="s">
        <v>69</v>
      </c>
      <c r="C246" t="s">
        <v>14</v>
      </c>
      <c r="D246">
        <v>40</v>
      </c>
      <c r="E246" t="s">
        <v>44</v>
      </c>
      <c r="F246" t="s">
        <v>16</v>
      </c>
      <c r="G246" s="1">
        <v>44510</v>
      </c>
      <c r="H246">
        <v>94963.7</v>
      </c>
      <c r="I246" t="s">
        <v>235</v>
      </c>
      <c r="J246">
        <v>-2625660930</v>
      </c>
      <c r="K246" t="s">
        <v>30</v>
      </c>
      <c r="L246" t="b">
        <v>0</v>
      </c>
    </row>
    <row r="247" spans="1:12" x14ac:dyDescent="0.35">
      <c r="A247" t="s">
        <v>516</v>
      </c>
      <c r="B247" t="s">
        <v>37</v>
      </c>
      <c r="C247" t="s">
        <v>92</v>
      </c>
      <c r="D247">
        <v>30</v>
      </c>
      <c r="E247" t="s">
        <v>219</v>
      </c>
      <c r="F247" t="s">
        <v>28</v>
      </c>
      <c r="G247" s="1">
        <v>44378</v>
      </c>
      <c r="H247">
        <v>103744.71</v>
      </c>
      <c r="I247" t="s">
        <v>110</v>
      </c>
      <c r="J247">
        <v>-4181861514</v>
      </c>
      <c r="K247" t="s">
        <v>18</v>
      </c>
      <c r="L247" t="b">
        <v>0</v>
      </c>
    </row>
    <row r="248" spans="1:12" x14ac:dyDescent="0.35">
      <c r="A248" t="s">
        <v>517</v>
      </c>
      <c r="B248" t="s">
        <v>25</v>
      </c>
      <c r="C248" t="s">
        <v>122</v>
      </c>
      <c r="D248">
        <v>25</v>
      </c>
      <c r="E248" t="s">
        <v>109</v>
      </c>
      <c r="F248" t="s">
        <v>33</v>
      </c>
      <c r="G248" s="1">
        <v>43902</v>
      </c>
      <c r="H248">
        <v>61337.69</v>
      </c>
      <c r="I248" t="s">
        <v>182</v>
      </c>
      <c r="J248">
        <v>-5423401635</v>
      </c>
      <c r="K248" t="s">
        <v>18</v>
      </c>
      <c r="L248" t="b">
        <v>1</v>
      </c>
    </row>
    <row r="249" spans="1:12" x14ac:dyDescent="0.35">
      <c r="A249" t="s">
        <v>518</v>
      </c>
      <c r="B249" t="s">
        <v>59</v>
      </c>
      <c r="C249" t="s">
        <v>122</v>
      </c>
      <c r="D249">
        <v>35</v>
      </c>
      <c r="E249" t="s">
        <v>177</v>
      </c>
      <c r="F249" t="s">
        <v>16</v>
      </c>
      <c r="G249" t="s">
        <v>519</v>
      </c>
      <c r="H249">
        <v>63741.13</v>
      </c>
      <c r="I249" t="s">
        <v>341</v>
      </c>
      <c r="J249">
        <v>-1128497184</v>
      </c>
      <c r="K249" t="s">
        <v>41</v>
      </c>
      <c r="L249" t="b">
        <v>1</v>
      </c>
    </row>
    <row r="250" spans="1:12" x14ac:dyDescent="0.35">
      <c r="A250" t="s">
        <v>520</v>
      </c>
      <c r="B250" t="s">
        <v>32</v>
      </c>
      <c r="C250" t="s">
        <v>122</v>
      </c>
      <c r="D250">
        <v>30</v>
      </c>
      <c r="E250" t="s">
        <v>15</v>
      </c>
      <c r="F250" t="s">
        <v>28</v>
      </c>
      <c r="G250" t="s">
        <v>521</v>
      </c>
      <c r="H250">
        <v>56539.99</v>
      </c>
      <c r="I250" t="s">
        <v>522</v>
      </c>
      <c r="J250">
        <v>-9484910255</v>
      </c>
      <c r="K250" t="s">
        <v>23</v>
      </c>
      <c r="L250" t="b">
        <v>1</v>
      </c>
    </row>
    <row r="251" spans="1:12" x14ac:dyDescent="0.35">
      <c r="A251" t="s">
        <v>523</v>
      </c>
      <c r="B251" t="s">
        <v>54</v>
      </c>
      <c r="C251" t="s">
        <v>38</v>
      </c>
      <c r="D251">
        <v>30</v>
      </c>
      <c r="E251" t="s">
        <v>78</v>
      </c>
      <c r="F251" t="s">
        <v>28</v>
      </c>
      <c r="G251" t="s">
        <v>524</v>
      </c>
      <c r="H251">
        <v>73633.37</v>
      </c>
      <c r="I251" t="s">
        <v>90</v>
      </c>
      <c r="J251">
        <v>-2588967923</v>
      </c>
      <c r="K251" t="s">
        <v>30</v>
      </c>
      <c r="L251" t="b">
        <v>1</v>
      </c>
    </row>
    <row r="252" spans="1:12" x14ac:dyDescent="0.35">
      <c r="A252" t="s">
        <v>525</v>
      </c>
      <c r="B252" t="s">
        <v>25</v>
      </c>
      <c r="C252" t="s">
        <v>92</v>
      </c>
      <c r="D252">
        <v>25</v>
      </c>
      <c r="E252" t="s">
        <v>159</v>
      </c>
      <c r="F252" t="s">
        <v>28</v>
      </c>
      <c r="G252" t="s">
        <v>526</v>
      </c>
      <c r="H252">
        <v>90373.99</v>
      </c>
      <c r="I252" t="s">
        <v>166</v>
      </c>
      <c r="J252">
        <v>-822269404</v>
      </c>
      <c r="K252" t="s">
        <v>30</v>
      </c>
      <c r="L252" t="b">
        <v>0</v>
      </c>
    </row>
    <row r="253" spans="1:12" x14ac:dyDescent="0.35">
      <c r="A253" t="s">
        <v>527</v>
      </c>
      <c r="B253" t="s">
        <v>69</v>
      </c>
      <c r="C253" t="s">
        <v>122</v>
      </c>
      <c r="E253" t="s">
        <v>237</v>
      </c>
      <c r="F253" t="s">
        <v>33</v>
      </c>
      <c r="G253" t="s">
        <v>528</v>
      </c>
      <c r="H253">
        <v>93901.48</v>
      </c>
      <c r="I253" t="s">
        <v>135</v>
      </c>
      <c r="J253">
        <v>-3967275783</v>
      </c>
      <c r="K253" t="s">
        <v>30</v>
      </c>
      <c r="L253" t="b">
        <v>0</v>
      </c>
    </row>
    <row r="254" spans="1:12" x14ac:dyDescent="0.35">
      <c r="A254" t="s">
        <v>529</v>
      </c>
      <c r="B254" t="s">
        <v>32</v>
      </c>
      <c r="C254" t="s">
        <v>20</v>
      </c>
      <c r="D254">
        <v>40</v>
      </c>
      <c r="E254" t="s">
        <v>27</v>
      </c>
      <c r="F254" t="s">
        <v>33</v>
      </c>
      <c r="G254" s="1">
        <v>44205</v>
      </c>
      <c r="H254">
        <v>81748.09</v>
      </c>
      <c r="I254" t="s">
        <v>155</v>
      </c>
      <c r="J254">
        <v>-4683414650</v>
      </c>
      <c r="K254" t="s">
        <v>18</v>
      </c>
      <c r="L254" t="b">
        <v>1</v>
      </c>
    </row>
    <row r="255" spans="1:12" x14ac:dyDescent="0.35">
      <c r="A255" t="s">
        <v>530</v>
      </c>
      <c r="B255" t="s">
        <v>54</v>
      </c>
      <c r="C255" t="s">
        <v>26</v>
      </c>
      <c r="D255">
        <v>40</v>
      </c>
      <c r="E255" t="s">
        <v>112</v>
      </c>
      <c r="F255" t="s">
        <v>33</v>
      </c>
      <c r="G255" t="s">
        <v>531</v>
      </c>
      <c r="H255">
        <v>73813.48</v>
      </c>
      <c r="I255" t="s">
        <v>120</v>
      </c>
      <c r="J255">
        <v>-1131290147</v>
      </c>
      <c r="K255" t="s">
        <v>18</v>
      </c>
      <c r="L255" t="b">
        <v>0</v>
      </c>
    </row>
    <row r="256" spans="1:12" x14ac:dyDescent="0.35">
      <c r="A256" t="s">
        <v>532</v>
      </c>
      <c r="B256" t="s">
        <v>37</v>
      </c>
      <c r="C256" t="s">
        <v>122</v>
      </c>
      <c r="D256">
        <v>35</v>
      </c>
      <c r="E256" t="s">
        <v>227</v>
      </c>
      <c r="F256" t="s">
        <v>33</v>
      </c>
      <c r="G256" t="s">
        <v>533</v>
      </c>
      <c r="H256">
        <v>89315.59</v>
      </c>
      <c r="I256" t="s">
        <v>137</v>
      </c>
      <c r="J256">
        <v>-7068277880</v>
      </c>
      <c r="K256" t="s">
        <v>18</v>
      </c>
      <c r="L256" t="b">
        <v>0</v>
      </c>
    </row>
    <row r="257" spans="1:12" x14ac:dyDescent="0.35">
      <c r="A257" t="s">
        <v>534</v>
      </c>
      <c r="B257" t="s">
        <v>65</v>
      </c>
      <c r="C257" t="s">
        <v>38</v>
      </c>
      <c r="D257">
        <v>25</v>
      </c>
      <c r="E257" t="s">
        <v>212</v>
      </c>
      <c r="F257" t="s">
        <v>16</v>
      </c>
      <c r="G257" t="s">
        <v>356</v>
      </c>
      <c r="H257">
        <v>56776.82</v>
      </c>
      <c r="I257" t="s">
        <v>67</v>
      </c>
      <c r="J257">
        <v>-6093068537</v>
      </c>
      <c r="K257" t="s">
        <v>41</v>
      </c>
      <c r="L257" t="b">
        <v>0</v>
      </c>
    </row>
    <row r="258" spans="1:12" x14ac:dyDescent="0.35">
      <c r="A258" t="s">
        <v>535</v>
      </c>
      <c r="B258" t="s">
        <v>69</v>
      </c>
      <c r="C258" t="s">
        <v>14</v>
      </c>
      <c r="E258" t="s">
        <v>227</v>
      </c>
      <c r="F258" t="s">
        <v>16</v>
      </c>
      <c r="G258" t="s">
        <v>536</v>
      </c>
      <c r="H258">
        <v>72920.509999999995</v>
      </c>
      <c r="I258" t="s">
        <v>235</v>
      </c>
      <c r="J258">
        <v>-9097283214</v>
      </c>
      <c r="K258" t="s">
        <v>23</v>
      </c>
      <c r="L258" t="b">
        <v>1</v>
      </c>
    </row>
    <row r="259" spans="1:12" x14ac:dyDescent="0.35">
      <c r="A259" t="s">
        <v>537</v>
      </c>
      <c r="B259" t="s">
        <v>37</v>
      </c>
      <c r="C259" t="s">
        <v>92</v>
      </c>
      <c r="D259">
        <v>30</v>
      </c>
      <c r="E259" t="s">
        <v>205</v>
      </c>
      <c r="F259" t="s">
        <v>28</v>
      </c>
      <c r="G259" t="s">
        <v>538</v>
      </c>
      <c r="H259">
        <v>84913.18</v>
      </c>
      <c r="I259" t="s">
        <v>110</v>
      </c>
      <c r="J259">
        <v>-2850676250</v>
      </c>
      <c r="K259" t="s">
        <v>18</v>
      </c>
      <c r="L259" t="b">
        <v>1</v>
      </c>
    </row>
    <row r="260" spans="1:12" x14ac:dyDescent="0.35">
      <c r="A260" t="s">
        <v>539</v>
      </c>
      <c r="B260" t="s">
        <v>25</v>
      </c>
      <c r="C260" t="s">
        <v>43</v>
      </c>
      <c r="D260">
        <v>25</v>
      </c>
      <c r="E260" t="s">
        <v>265</v>
      </c>
      <c r="F260" t="s">
        <v>33</v>
      </c>
      <c r="G260" s="1">
        <v>44413</v>
      </c>
      <c r="H260">
        <v>65060.11</v>
      </c>
      <c r="I260" t="s">
        <v>45</v>
      </c>
      <c r="J260">
        <v>-5381447442</v>
      </c>
      <c r="K260" t="s">
        <v>23</v>
      </c>
      <c r="L260" t="b">
        <v>1</v>
      </c>
    </row>
    <row r="261" spans="1:12" x14ac:dyDescent="0.35">
      <c r="A261" t="s">
        <v>540</v>
      </c>
      <c r="B261" t="s">
        <v>25</v>
      </c>
      <c r="C261" t="s">
        <v>38</v>
      </c>
      <c r="D261">
        <v>35</v>
      </c>
      <c r="E261" t="s">
        <v>265</v>
      </c>
      <c r="F261" t="s">
        <v>28</v>
      </c>
      <c r="G261" s="1">
        <v>45179</v>
      </c>
      <c r="H261">
        <v>82941.08</v>
      </c>
      <c r="I261" t="s">
        <v>363</v>
      </c>
      <c r="J261">
        <v>-963480796</v>
      </c>
      <c r="K261" t="s">
        <v>41</v>
      </c>
      <c r="L261" t="b">
        <v>0</v>
      </c>
    </row>
    <row r="262" spans="1:12" x14ac:dyDescent="0.35">
      <c r="A262" t="s">
        <v>541</v>
      </c>
      <c r="B262" t="s">
        <v>13</v>
      </c>
      <c r="C262" t="s">
        <v>122</v>
      </c>
      <c r="D262">
        <v>40</v>
      </c>
      <c r="E262" t="s">
        <v>118</v>
      </c>
      <c r="F262" t="s">
        <v>28</v>
      </c>
      <c r="G262" t="s">
        <v>542</v>
      </c>
      <c r="H262">
        <v>103469.97</v>
      </c>
      <c r="I262" t="s">
        <v>123</v>
      </c>
      <c r="J262">
        <v>-509754509</v>
      </c>
      <c r="K262" t="s">
        <v>30</v>
      </c>
      <c r="L262" t="b">
        <v>1</v>
      </c>
    </row>
    <row r="263" spans="1:12" x14ac:dyDescent="0.35">
      <c r="A263" t="s">
        <v>543</v>
      </c>
      <c r="B263" t="s">
        <v>69</v>
      </c>
      <c r="C263" t="s">
        <v>92</v>
      </c>
      <c r="D263">
        <v>25</v>
      </c>
      <c r="E263" t="s">
        <v>98</v>
      </c>
      <c r="F263" t="s">
        <v>16</v>
      </c>
      <c r="G263" s="1">
        <v>44896</v>
      </c>
      <c r="H263">
        <v>88725.6</v>
      </c>
      <c r="I263" t="s">
        <v>168</v>
      </c>
      <c r="J263">
        <v>-5265016730</v>
      </c>
      <c r="K263" t="s">
        <v>18</v>
      </c>
      <c r="L263" t="b">
        <v>1</v>
      </c>
    </row>
    <row r="264" spans="1:12" x14ac:dyDescent="0.35">
      <c r="A264" t="s">
        <v>544</v>
      </c>
      <c r="B264" t="s">
        <v>65</v>
      </c>
      <c r="C264" t="s">
        <v>26</v>
      </c>
      <c r="E264" t="s">
        <v>192</v>
      </c>
      <c r="F264" t="s">
        <v>28</v>
      </c>
      <c r="G264" s="1">
        <v>45052</v>
      </c>
      <c r="H264">
        <v>58316.77</v>
      </c>
      <c r="I264" t="s">
        <v>320</v>
      </c>
      <c r="J264">
        <v>-8826170242</v>
      </c>
      <c r="K264" t="s">
        <v>23</v>
      </c>
      <c r="L264" t="b">
        <v>1</v>
      </c>
    </row>
    <row r="265" spans="1:12" x14ac:dyDescent="0.35">
      <c r="A265" t="s">
        <v>545</v>
      </c>
      <c r="B265" t="s">
        <v>69</v>
      </c>
      <c r="C265" t="s">
        <v>122</v>
      </c>
      <c r="D265">
        <v>35</v>
      </c>
      <c r="E265" t="s">
        <v>192</v>
      </c>
      <c r="F265" t="s">
        <v>33</v>
      </c>
      <c r="G265" t="s">
        <v>546</v>
      </c>
      <c r="H265">
        <v>60098.720000000001</v>
      </c>
      <c r="I265" t="s">
        <v>135</v>
      </c>
      <c r="J265">
        <v>-7654562840</v>
      </c>
      <c r="K265" t="s">
        <v>23</v>
      </c>
      <c r="L265" t="b">
        <v>1</v>
      </c>
    </row>
    <row r="266" spans="1:12" x14ac:dyDescent="0.35">
      <c r="A266" t="s">
        <v>547</v>
      </c>
      <c r="B266" t="s">
        <v>69</v>
      </c>
      <c r="C266" t="s">
        <v>38</v>
      </c>
      <c r="E266" t="s">
        <v>159</v>
      </c>
      <c r="F266" t="s">
        <v>16</v>
      </c>
      <c r="G266" s="1">
        <v>44022</v>
      </c>
      <c r="H266">
        <v>99951.43</v>
      </c>
      <c r="I266" t="s">
        <v>71</v>
      </c>
      <c r="J266">
        <v>-7722560530</v>
      </c>
      <c r="K266" t="s">
        <v>18</v>
      </c>
      <c r="L266" t="b">
        <v>1</v>
      </c>
    </row>
    <row r="267" spans="1:12" x14ac:dyDescent="0.35">
      <c r="A267" t="s">
        <v>548</v>
      </c>
      <c r="B267" t="s">
        <v>65</v>
      </c>
      <c r="C267" t="s">
        <v>55</v>
      </c>
      <c r="D267">
        <v>30</v>
      </c>
      <c r="E267" t="s">
        <v>98</v>
      </c>
      <c r="F267" t="s">
        <v>16</v>
      </c>
      <c r="G267" s="1">
        <v>44238</v>
      </c>
      <c r="H267">
        <v>115195.81</v>
      </c>
      <c r="I267" t="s">
        <v>113</v>
      </c>
      <c r="J267">
        <v>-3402665022</v>
      </c>
      <c r="K267" t="s">
        <v>30</v>
      </c>
      <c r="L267" t="b">
        <v>1</v>
      </c>
    </row>
    <row r="268" spans="1:12" x14ac:dyDescent="0.35">
      <c r="A268" t="s">
        <v>549</v>
      </c>
      <c r="B268" t="s">
        <v>69</v>
      </c>
      <c r="C268" t="s">
        <v>20</v>
      </c>
      <c r="E268" t="s">
        <v>15</v>
      </c>
      <c r="F268" t="s">
        <v>28</v>
      </c>
      <c r="G268" t="s">
        <v>550</v>
      </c>
      <c r="H268">
        <v>85512.05</v>
      </c>
      <c r="I268" t="s">
        <v>201</v>
      </c>
      <c r="J268">
        <v>-7416787255</v>
      </c>
      <c r="K268" t="s">
        <v>30</v>
      </c>
      <c r="L268" t="b">
        <v>0</v>
      </c>
    </row>
    <row r="269" spans="1:12" x14ac:dyDescent="0.35">
      <c r="A269" t="s">
        <v>551</v>
      </c>
      <c r="B269" t="s">
        <v>65</v>
      </c>
      <c r="C269" t="s">
        <v>43</v>
      </c>
      <c r="E269" t="s">
        <v>212</v>
      </c>
      <c r="F269" t="s">
        <v>16</v>
      </c>
      <c r="G269" t="s">
        <v>552</v>
      </c>
      <c r="H269">
        <v>73186.77</v>
      </c>
      <c r="I269" t="s">
        <v>257</v>
      </c>
      <c r="J269">
        <v>-8621102257</v>
      </c>
      <c r="K269" t="s">
        <v>30</v>
      </c>
      <c r="L269" t="b">
        <v>0</v>
      </c>
    </row>
    <row r="270" spans="1:12" x14ac:dyDescent="0.35">
      <c r="A270" t="s">
        <v>553</v>
      </c>
      <c r="B270" t="s">
        <v>69</v>
      </c>
      <c r="C270" t="s">
        <v>14</v>
      </c>
      <c r="E270" t="s">
        <v>149</v>
      </c>
      <c r="F270" t="s">
        <v>28</v>
      </c>
      <c r="G270" s="1">
        <v>45267</v>
      </c>
      <c r="H270">
        <v>51865.3</v>
      </c>
      <c r="I270" t="s">
        <v>235</v>
      </c>
      <c r="J270">
        <v>-305690673</v>
      </c>
      <c r="K270" t="s">
        <v>41</v>
      </c>
      <c r="L270" t="b">
        <v>1</v>
      </c>
    </row>
    <row r="271" spans="1:12" x14ac:dyDescent="0.35">
      <c r="A271" t="s">
        <v>554</v>
      </c>
      <c r="B271" t="s">
        <v>59</v>
      </c>
      <c r="C271" t="s">
        <v>38</v>
      </c>
      <c r="D271">
        <v>25</v>
      </c>
      <c r="E271" t="s">
        <v>74</v>
      </c>
      <c r="F271" t="s">
        <v>16</v>
      </c>
      <c r="G271" s="1">
        <v>44816</v>
      </c>
      <c r="H271">
        <v>94031.77</v>
      </c>
      <c r="I271" t="s">
        <v>61</v>
      </c>
      <c r="J271">
        <v>-4716392822</v>
      </c>
      <c r="K271" t="s">
        <v>23</v>
      </c>
      <c r="L271" t="b">
        <v>1</v>
      </c>
    </row>
    <row r="272" spans="1:12" x14ac:dyDescent="0.35">
      <c r="A272" t="s">
        <v>555</v>
      </c>
      <c r="B272" t="s">
        <v>69</v>
      </c>
      <c r="C272" t="s">
        <v>92</v>
      </c>
      <c r="D272">
        <v>30</v>
      </c>
      <c r="E272" t="s">
        <v>56</v>
      </c>
      <c r="F272" t="s">
        <v>16</v>
      </c>
      <c r="G272" t="s">
        <v>512</v>
      </c>
      <c r="H272">
        <v>116374.36</v>
      </c>
      <c r="I272" t="s">
        <v>168</v>
      </c>
      <c r="J272">
        <v>-4143637188</v>
      </c>
      <c r="K272" t="s">
        <v>23</v>
      </c>
      <c r="L272" t="b">
        <v>0</v>
      </c>
    </row>
    <row r="273" spans="1:12" x14ac:dyDescent="0.35">
      <c r="A273" t="s">
        <v>556</v>
      </c>
      <c r="B273" t="s">
        <v>25</v>
      </c>
      <c r="C273" t="s">
        <v>43</v>
      </c>
      <c r="D273">
        <v>40</v>
      </c>
      <c r="E273" t="s">
        <v>212</v>
      </c>
      <c r="F273" t="s">
        <v>16</v>
      </c>
      <c r="G273" t="s">
        <v>557</v>
      </c>
      <c r="H273">
        <v>98335.02</v>
      </c>
      <c r="I273" t="s">
        <v>45</v>
      </c>
      <c r="J273">
        <v>-2392312603</v>
      </c>
      <c r="K273" t="s">
        <v>23</v>
      </c>
      <c r="L273" t="b">
        <v>0</v>
      </c>
    </row>
    <row r="274" spans="1:12" x14ac:dyDescent="0.35">
      <c r="A274" t="s">
        <v>558</v>
      </c>
      <c r="B274" t="s">
        <v>65</v>
      </c>
      <c r="C274" t="s">
        <v>43</v>
      </c>
      <c r="D274">
        <v>25</v>
      </c>
      <c r="E274" t="s">
        <v>56</v>
      </c>
      <c r="F274" t="s">
        <v>28</v>
      </c>
      <c r="G274" t="s">
        <v>559</v>
      </c>
      <c r="H274">
        <v>89262.07</v>
      </c>
      <c r="I274" t="s">
        <v>257</v>
      </c>
      <c r="J274">
        <v>-3260931065</v>
      </c>
      <c r="K274" t="s">
        <v>41</v>
      </c>
      <c r="L274" t="b">
        <v>1</v>
      </c>
    </row>
    <row r="275" spans="1:12" x14ac:dyDescent="0.35">
      <c r="A275" t="s">
        <v>560</v>
      </c>
      <c r="B275" t="s">
        <v>65</v>
      </c>
      <c r="C275" t="s">
        <v>43</v>
      </c>
      <c r="E275" t="s">
        <v>70</v>
      </c>
      <c r="F275" t="s">
        <v>16</v>
      </c>
      <c r="G275" t="s">
        <v>561</v>
      </c>
      <c r="H275">
        <v>113848.69</v>
      </c>
      <c r="I275" t="s">
        <v>257</v>
      </c>
      <c r="J275">
        <v>-8433567085</v>
      </c>
      <c r="K275" t="s">
        <v>23</v>
      </c>
      <c r="L275" t="b">
        <v>1</v>
      </c>
    </row>
    <row r="276" spans="1:12" x14ac:dyDescent="0.35">
      <c r="A276" t="s">
        <v>562</v>
      </c>
      <c r="B276" t="s">
        <v>37</v>
      </c>
      <c r="C276" t="s">
        <v>122</v>
      </c>
      <c r="D276">
        <v>35</v>
      </c>
      <c r="E276" t="s">
        <v>74</v>
      </c>
      <c r="F276" t="s">
        <v>16</v>
      </c>
      <c r="G276" t="s">
        <v>563</v>
      </c>
      <c r="H276">
        <v>69530.45</v>
      </c>
      <c r="I276" t="s">
        <v>137</v>
      </c>
      <c r="J276">
        <v>-414545634</v>
      </c>
      <c r="K276" t="s">
        <v>41</v>
      </c>
      <c r="L276" t="b">
        <v>1</v>
      </c>
    </row>
    <row r="277" spans="1:12" x14ac:dyDescent="0.35">
      <c r="A277" t="s">
        <v>564</v>
      </c>
      <c r="B277" t="s">
        <v>32</v>
      </c>
      <c r="C277" t="s">
        <v>20</v>
      </c>
      <c r="D277">
        <v>35</v>
      </c>
      <c r="E277" t="s">
        <v>56</v>
      </c>
      <c r="F277" t="s">
        <v>28</v>
      </c>
      <c r="G277" t="s">
        <v>565</v>
      </c>
      <c r="H277">
        <v>84230.22</v>
      </c>
      <c r="I277" t="s">
        <v>155</v>
      </c>
      <c r="J277">
        <v>-200053473</v>
      </c>
      <c r="K277" t="s">
        <v>30</v>
      </c>
      <c r="L277" t="b">
        <v>1</v>
      </c>
    </row>
    <row r="278" spans="1:12" x14ac:dyDescent="0.35">
      <c r="A278" t="s">
        <v>566</v>
      </c>
      <c r="B278" t="s">
        <v>32</v>
      </c>
      <c r="C278" t="s">
        <v>122</v>
      </c>
      <c r="D278">
        <v>35</v>
      </c>
      <c r="E278" t="s">
        <v>95</v>
      </c>
      <c r="F278" t="s">
        <v>28</v>
      </c>
      <c r="G278" t="s">
        <v>567</v>
      </c>
      <c r="H278">
        <v>76578.59</v>
      </c>
      <c r="I278" t="s">
        <v>522</v>
      </c>
      <c r="J278">
        <v>-9162475540</v>
      </c>
      <c r="K278" t="s">
        <v>18</v>
      </c>
      <c r="L278" t="b">
        <v>0</v>
      </c>
    </row>
    <row r="279" spans="1:12" x14ac:dyDescent="0.35">
      <c r="A279" t="s">
        <v>568</v>
      </c>
      <c r="B279" t="s">
        <v>37</v>
      </c>
      <c r="C279" t="s">
        <v>92</v>
      </c>
      <c r="D279">
        <v>30</v>
      </c>
      <c r="E279" t="s">
        <v>139</v>
      </c>
      <c r="F279" t="s">
        <v>33</v>
      </c>
      <c r="G279" s="1">
        <v>45323</v>
      </c>
      <c r="H279">
        <v>55532.06</v>
      </c>
      <c r="I279" t="s">
        <v>110</v>
      </c>
      <c r="J279">
        <v>-1082555988</v>
      </c>
      <c r="K279" t="s">
        <v>23</v>
      </c>
      <c r="L279" t="b">
        <v>1</v>
      </c>
    </row>
    <row r="280" spans="1:12" x14ac:dyDescent="0.35">
      <c r="A280" t="s">
        <v>569</v>
      </c>
      <c r="B280" t="s">
        <v>32</v>
      </c>
      <c r="C280" t="s">
        <v>122</v>
      </c>
      <c r="D280">
        <v>40</v>
      </c>
      <c r="E280" t="s">
        <v>196</v>
      </c>
      <c r="F280" t="s">
        <v>28</v>
      </c>
      <c r="G280" s="1">
        <v>44446</v>
      </c>
      <c r="H280">
        <v>115311.67999999999</v>
      </c>
      <c r="I280" t="s">
        <v>522</v>
      </c>
      <c r="J280">
        <v>-5343961128</v>
      </c>
      <c r="K280" t="s">
        <v>23</v>
      </c>
      <c r="L280" t="b">
        <v>1</v>
      </c>
    </row>
    <row r="281" spans="1:12" x14ac:dyDescent="0.35">
      <c r="A281" t="s">
        <v>570</v>
      </c>
      <c r="B281" t="s">
        <v>54</v>
      </c>
      <c r="C281" t="s">
        <v>55</v>
      </c>
      <c r="D281">
        <v>25</v>
      </c>
      <c r="E281" t="s">
        <v>219</v>
      </c>
      <c r="F281" t="s">
        <v>28</v>
      </c>
      <c r="G281" s="1">
        <v>44321</v>
      </c>
      <c r="H281">
        <v>66972.06</v>
      </c>
      <c r="I281" t="s">
        <v>57</v>
      </c>
      <c r="J281">
        <v>-1093371188</v>
      </c>
      <c r="K281" t="s">
        <v>30</v>
      </c>
      <c r="L281" t="b">
        <v>1</v>
      </c>
    </row>
    <row r="282" spans="1:12" x14ac:dyDescent="0.35">
      <c r="A282" t="s">
        <v>571</v>
      </c>
      <c r="B282" t="s">
        <v>59</v>
      </c>
      <c r="C282" t="s">
        <v>20</v>
      </c>
      <c r="D282">
        <v>30</v>
      </c>
      <c r="E282" t="s">
        <v>159</v>
      </c>
      <c r="F282" t="s">
        <v>33</v>
      </c>
      <c r="G282" s="1">
        <v>44388</v>
      </c>
      <c r="H282">
        <v>100215.06</v>
      </c>
      <c r="I282" t="s">
        <v>225</v>
      </c>
      <c r="J282">
        <v>-5473820235</v>
      </c>
      <c r="K282" t="s">
        <v>18</v>
      </c>
      <c r="L282" t="b">
        <v>1</v>
      </c>
    </row>
    <row r="283" spans="1:12" x14ac:dyDescent="0.35">
      <c r="A283" t="s">
        <v>572</v>
      </c>
      <c r="B283" t="s">
        <v>54</v>
      </c>
      <c r="C283" t="s">
        <v>20</v>
      </c>
      <c r="D283">
        <v>25</v>
      </c>
      <c r="E283" t="s">
        <v>109</v>
      </c>
      <c r="F283" t="s">
        <v>33</v>
      </c>
      <c r="G283" t="s">
        <v>573</v>
      </c>
      <c r="H283">
        <v>115452.25</v>
      </c>
      <c r="I283" t="s">
        <v>125</v>
      </c>
      <c r="J283">
        <v>-8485571616</v>
      </c>
      <c r="K283" t="s">
        <v>41</v>
      </c>
      <c r="L283" t="b">
        <v>0</v>
      </c>
    </row>
    <row r="284" spans="1:12" x14ac:dyDescent="0.35">
      <c r="A284" t="s">
        <v>574</v>
      </c>
      <c r="B284" t="s">
        <v>65</v>
      </c>
      <c r="C284" t="s">
        <v>92</v>
      </c>
      <c r="D284">
        <v>30</v>
      </c>
      <c r="E284" t="s">
        <v>146</v>
      </c>
      <c r="F284" t="s">
        <v>33</v>
      </c>
      <c r="G284" t="s">
        <v>575</v>
      </c>
      <c r="H284">
        <v>54141.38</v>
      </c>
      <c r="I284" t="s">
        <v>130</v>
      </c>
      <c r="J284">
        <v>-6880294239</v>
      </c>
      <c r="K284" t="s">
        <v>18</v>
      </c>
      <c r="L284" t="b">
        <v>0</v>
      </c>
    </row>
    <row r="285" spans="1:12" x14ac:dyDescent="0.35">
      <c r="A285" t="s">
        <v>576</v>
      </c>
      <c r="B285" t="s">
        <v>59</v>
      </c>
      <c r="C285" t="s">
        <v>14</v>
      </c>
      <c r="E285" t="s">
        <v>329</v>
      </c>
      <c r="F285" t="s">
        <v>16</v>
      </c>
      <c r="G285" t="s">
        <v>577</v>
      </c>
      <c r="H285">
        <v>79251.95</v>
      </c>
      <c r="I285" t="s">
        <v>63</v>
      </c>
      <c r="J285">
        <v>-9036788126</v>
      </c>
      <c r="K285" t="s">
        <v>30</v>
      </c>
      <c r="L285" t="b">
        <v>0</v>
      </c>
    </row>
    <row r="286" spans="1:12" x14ac:dyDescent="0.35">
      <c r="A286" t="s">
        <v>578</v>
      </c>
      <c r="B286" t="s">
        <v>25</v>
      </c>
      <c r="C286" t="s">
        <v>55</v>
      </c>
      <c r="D286">
        <v>40</v>
      </c>
      <c r="E286" t="s">
        <v>227</v>
      </c>
      <c r="F286" t="s">
        <v>28</v>
      </c>
      <c r="G286" t="s">
        <v>579</v>
      </c>
      <c r="H286">
        <v>114822.78</v>
      </c>
      <c r="I286" t="s">
        <v>150</v>
      </c>
      <c r="J286">
        <v>-8686694319</v>
      </c>
      <c r="K286" t="s">
        <v>30</v>
      </c>
      <c r="L286" t="b">
        <v>1</v>
      </c>
    </row>
    <row r="287" spans="1:12" x14ac:dyDescent="0.35">
      <c r="A287" t="s">
        <v>580</v>
      </c>
      <c r="B287" t="s">
        <v>25</v>
      </c>
      <c r="C287" t="s">
        <v>38</v>
      </c>
      <c r="D287">
        <v>35</v>
      </c>
      <c r="E287" t="s">
        <v>98</v>
      </c>
      <c r="F287" t="s">
        <v>16</v>
      </c>
      <c r="G287" t="s">
        <v>581</v>
      </c>
      <c r="H287">
        <v>69919.320000000007</v>
      </c>
      <c r="I287" t="s">
        <v>363</v>
      </c>
      <c r="J287">
        <v>-2939087883</v>
      </c>
      <c r="K287" t="s">
        <v>18</v>
      </c>
      <c r="L287" t="b">
        <v>1</v>
      </c>
    </row>
    <row r="288" spans="1:12" x14ac:dyDescent="0.35">
      <c r="A288" t="s">
        <v>582</v>
      </c>
      <c r="B288" t="s">
        <v>65</v>
      </c>
      <c r="C288" t="s">
        <v>122</v>
      </c>
      <c r="D288">
        <v>30</v>
      </c>
      <c r="E288" t="s">
        <v>74</v>
      </c>
      <c r="F288" t="s">
        <v>33</v>
      </c>
      <c r="G288" t="s">
        <v>583</v>
      </c>
      <c r="H288">
        <v>106616.97</v>
      </c>
      <c r="I288" t="s">
        <v>367</v>
      </c>
      <c r="J288">
        <v>-4344812307</v>
      </c>
      <c r="K288" t="s">
        <v>41</v>
      </c>
      <c r="L288" t="b">
        <v>0</v>
      </c>
    </row>
    <row r="289" spans="1:12" x14ac:dyDescent="0.35">
      <c r="A289" t="s">
        <v>584</v>
      </c>
      <c r="B289" t="s">
        <v>65</v>
      </c>
      <c r="C289" t="s">
        <v>26</v>
      </c>
      <c r="D289">
        <v>35</v>
      </c>
      <c r="E289" t="s">
        <v>56</v>
      </c>
      <c r="F289" t="s">
        <v>16</v>
      </c>
      <c r="G289" t="s">
        <v>585</v>
      </c>
      <c r="H289">
        <v>73597.850000000006</v>
      </c>
      <c r="I289" t="s">
        <v>320</v>
      </c>
      <c r="J289">
        <v>-3402424032</v>
      </c>
      <c r="K289" t="s">
        <v>41</v>
      </c>
      <c r="L289" t="b">
        <v>1</v>
      </c>
    </row>
    <row r="290" spans="1:12" x14ac:dyDescent="0.35">
      <c r="A290" t="s">
        <v>586</v>
      </c>
      <c r="B290" t="s">
        <v>59</v>
      </c>
      <c r="C290" t="s">
        <v>122</v>
      </c>
      <c r="D290">
        <v>30</v>
      </c>
      <c r="E290" t="s">
        <v>219</v>
      </c>
      <c r="F290" t="s">
        <v>33</v>
      </c>
      <c r="G290" t="s">
        <v>587</v>
      </c>
      <c r="H290">
        <v>79939.23</v>
      </c>
      <c r="I290" t="s">
        <v>341</v>
      </c>
      <c r="J290">
        <v>-8105955183</v>
      </c>
      <c r="K290" t="s">
        <v>23</v>
      </c>
      <c r="L290" t="b">
        <v>1</v>
      </c>
    </row>
    <row r="291" spans="1:12" x14ac:dyDescent="0.35">
      <c r="A291" t="s">
        <v>588</v>
      </c>
      <c r="B291" t="s">
        <v>69</v>
      </c>
      <c r="C291" t="s">
        <v>43</v>
      </c>
      <c r="D291">
        <v>25</v>
      </c>
      <c r="E291" t="s">
        <v>196</v>
      </c>
      <c r="F291" t="s">
        <v>33</v>
      </c>
      <c r="G291" t="s">
        <v>589</v>
      </c>
      <c r="H291" t="s">
        <v>277</v>
      </c>
      <c r="I291" t="s">
        <v>83</v>
      </c>
      <c r="J291">
        <v>-2694500533</v>
      </c>
      <c r="K291" t="s">
        <v>41</v>
      </c>
      <c r="L291" t="b">
        <v>0</v>
      </c>
    </row>
    <row r="292" spans="1:12" x14ac:dyDescent="0.35">
      <c r="A292" t="s">
        <v>590</v>
      </c>
      <c r="B292" t="s">
        <v>69</v>
      </c>
      <c r="C292" t="s">
        <v>122</v>
      </c>
      <c r="D292">
        <v>30</v>
      </c>
      <c r="E292" t="s">
        <v>70</v>
      </c>
      <c r="F292" t="s">
        <v>33</v>
      </c>
      <c r="G292" s="1">
        <v>44478</v>
      </c>
      <c r="H292">
        <v>90772.25</v>
      </c>
      <c r="I292" t="s">
        <v>135</v>
      </c>
      <c r="J292">
        <v>-2408916497</v>
      </c>
      <c r="K292" t="s">
        <v>18</v>
      </c>
      <c r="L292" t="b">
        <v>0</v>
      </c>
    </row>
    <row r="293" spans="1:12" x14ac:dyDescent="0.35">
      <c r="A293" t="s">
        <v>591</v>
      </c>
      <c r="B293" t="s">
        <v>32</v>
      </c>
      <c r="C293" t="s">
        <v>38</v>
      </c>
      <c r="D293">
        <v>35</v>
      </c>
      <c r="E293" t="s">
        <v>56</v>
      </c>
      <c r="F293" t="s">
        <v>16</v>
      </c>
      <c r="G293" t="s">
        <v>592</v>
      </c>
      <c r="H293">
        <v>58275.74</v>
      </c>
      <c r="I293" t="s">
        <v>141</v>
      </c>
      <c r="J293">
        <v>-3735439626</v>
      </c>
      <c r="K293" t="s">
        <v>30</v>
      </c>
      <c r="L293" t="b">
        <v>0</v>
      </c>
    </row>
    <row r="294" spans="1:12" x14ac:dyDescent="0.35">
      <c r="A294" t="s">
        <v>593</v>
      </c>
      <c r="B294" t="s">
        <v>69</v>
      </c>
      <c r="C294" t="s">
        <v>122</v>
      </c>
      <c r="E294" t="s">
        <v>15</v>
      </c>
      <c r="F294" t="s">
        <v>28</v>
      </c>
      <c r="G294" t="s">
        <v>317</v>
      </c>
      <c r="H294">
        <v>94709.79</v>
      </c>
      <c r="I294" t="s">
        <v>135</v>
      </c>
      <c r="J294">
        <v>-3652717271</v>
      </c>
      <c r="K294" t="s">
        <v>23</v>
      </c>
      <c r="L294" t="b">
        <v>0</v>
      </c>
    </row>
    <row r="295" spans="1:12" x14ac:dyDescent="0.35">
      <c r="A295" t="s">
        <v>594</v>
      </c>
      <c r="B295" t="s">
        <v>37</v>
      </c>
      <c r="C295" t="s">
        <v>55</v>
      </c>
      <c r="E295" t="s">
        <v>196</v>
      </c>
      <c r="F295" t="s">
        <v>16</v>
      </c>
      <c r="G295" s="1">
        <v>44721</v>
      </c>
      <c r="H295">
        <v>60722.99</v>
      </c>
      <c r="I295" t="s">
        <v>271</v>
      </c>
      <c r="J295">
        <v>-2397240421</v>
      </c>
      <c r="K295" t="s">
        <v>23</v>
      </c>
      <c r="L295" t="b">
        <v>1</v>
      </c>
    </row>
    <row r="296" spans="1:12" x14ac:dyDescent="0.35">
      <c r="A296" t="s">
        <v>595</v>
      </c>
      <c r="B296" t="s">
        <v>37</v>
      </c>
      <c r="C296" t="s">
        <v>55</v>
      </c>
      <c r="D296">
        <v>40</v>
      </c>
      <c r="E296" t="s">
        <v>78</v>
      </c>
      <c r="F296" t="s">
        <v>33</v>
      </c>
      <c r="G296" t="s">
        <v>596</v>
      </c>
      <c r="H296">
        <v>87626.240000000005</v>
      </c>
      <c r="I296" t="s">
        <v>271</v>
      </c>
      <c r="J296">
        <v>-6931216375</v>
      </c>
      <c r="K296" t="s">
        <v>30</v>
      </c>
      <c r="L296" t="b">
        <v>1</v>
      </c>
    </row>
    <row r="297" spans="1:12" x14ac:dyDescent="0.35">
      <c r="A297" t="s">
        <v>597</v>
      </c>
      <c r="B297" t="s">
        <v>59</v>
      </c>
      <c r="C297" t="s">
        <v>20</v>
      </c>
      <c r="D297">
        <v>30</v>
      </c>
      <c r="E297" t="s">
        <v>78</v>
      </c>
      <c r="F297" t="s">
        <v>16</v>
      </c>
      <c r="G297" s="1">
        <v>44907</v>
      </c>
      <c r="H297">
        <v>81272.36</v>
      </c>
      <c r="I297" t="s">
        <v>225</v>
      </c>
      <c r="J297">
        <v>-1820916600</v>
      </c>
      <c r="K297" t="s">
        <v>41</v>
      </c>
      <c r="L297" t="b">
        <v>0</v>
      </c>
    </row>
    <row r="298" spans="1:12" x14ac:dyDescent="0.35">
      <c r="A298" t="s">
        <v>598</v>
      </c>
      <c r="B298" t="s">
        <v>13</v>
      </c>
      <c r="C298" t="s">
        <v>92</v>
      </c>
      <c r="E298" t="s">
        <v>159</v>
      </c>
      <c r="F298" t="s">
        <v>28</v>
      </c>
      <c r="G298" s="1">
        <v>44572</v>
      </c>
      <c r="H298">
        <v>64150.97</v>
      </c>
      <c r="I298" t="s">
        <v>93</v>
      </c>
      <c r="J298">
        <v>-23142899</v>
      </c>
      <c r="K298" t="s">
        <v>30</v>
      </c>
      <c r="L298" t="b">
        <v>1</v>
      </c>
    </row>
    <row r="299" spans="1:12" x14ac:dyDescent="0.35">
      <c r="A299" t="s">
        <v>599</v>
      </c>
      <c r="B299" t="s">
        <v>54</v>
      </c>
      <c r="C299" t="s">
        <v>14</v>
      </c>
      <c r="D299">
        <v>35</v>
      </c>
      <c r="E299" t="s">
        <v>74</v>
      </c>
      <c r="F299" t="s">
        <v>16</v>
      </c>
      <c r="G299" t="s">
        <v>600</v>
      </c>
      <c r="H299">
        <v>64378.1</v>
      </c>
      <c r="I299" t="s">
        <v>170</v>
      </c>
      <c r="J299">
        <v>-1851327971</v>
      </c>
      <c r="K299" t="s">
        <v>41</v>
      </c>
      <c r="L299" t="b">
        <v>0</v>
      </c>
    </row>
    <row r="300" spans="1:12" x14ac:dyDescent="0.35">
      <c r="A300" t="s">
        <v>601</v>
      </c>
      <c r="B300" t="s">
        <v>13</v>
      </c>
      <c r="C300" t="s">
        <v>26</v>
      </c>
      <c r="E300" t="s">
        <v>21</v>
      </c>
      <c r="F300" t="s">
        <v>33</v>
      </c>
      <c r="G300" t="s">
        <v>602</v>
      </c>
      <c r="H300">
        <v>85927.35</v>
      </c>
      <c r="I300" t="s">
        <v>50</v>
      </c>
      <c r="J300">
        <v>-4572308480</v>
      </c>
      <c r="K300" t="s">
        <v>30</v>
      </c>
      <c r="L300" t="b">
        <v>0</v>
      </c>
    </row>
    <row r="301" spans="1:12" x14ac:dyDescent="0.35">
      <c r="A301" t="s">
        <v>603</v>
      </c>
      <c r="B301" t="s">
        <v>25</v>
      </c>
      <c r="C301" t="s">
        <v>43</v>
      </c>
      <c r="E301" t="s">
        <v>100</v>
      </c>
      <c r="F301" t="s">
        <v>33</v>
      </c>
      <c r="G301" t="s">
        <v>604</v>
      </c>
      <c r="H301">
        <v>51523.93</v>
      </c>
      <c r="I301" t="s">
        <v>45</v>
      </c>
      <c r="J301">
        <v>-18418619</v>
      </c>
      <c r="K301" t="s">
        <v>18</v>
      </c>
      <c r="L301" t="b">
        <v>1</v>
      </c>
    </row>
    <row r="302" spans="1:12" x14ac:dyDescent="0.35">
      <c r="A302" t="s">
        <v>605</v>
      </c>
      <c r="B302" t="s">
        <v>25</v>
      </c>
      <c r="C302" t="s">
        <v>122</v>
      </c>
      <c r="D302">
        <v>30</v>
      </c>
      <c r="E302" t="s">
        <v>44</v>
      </c>
      <c r="F302" t="s">
        <v>16</v>
      </c>
      <c r="G302" t="s">
        <v>606</v>
      </c>
      <c r="H302">
        <v>74117.02</v>
      </c>
      <c r="I302" t="s">
        <v>182</v>
      </c>
      <c r="J302">
        <v>-3036625435</v>
      </c>
      <c r="K302" t="s">
        <v>41</v>
      </c>
      <c r="L302" t="b">
        <v>0</v>
      </c>
    </row>
    <row r="303" spans="1:12" x14ac:dyDescent="0.35">
      <c r="A303" t="s">
        <v>607</v>
      </c>
      <c r="B303" t="s">
        <v>25</v>
      </c>
      <c r="C303" t="s">
        <v>122</v>
      </c>
      <c r="D303">
        <v>25</v>
      </c>
      <c r="E303" t="s">
        <v>21</v>
      </c>
      <c r="F303" t="s">
        <v>33</v>
      </c>
      <c r="G303" t="s">
        <v>608</v>
      </c>
      <c r="H303">
        <v>62598.69</v>
      </c>
      <c r="I303" t="s">
        <v>182</v>
      </c>
      <c r="J303">
        <v>-1721314518</v>
      </c>
      <c r="K303" t="s">
        <v>18</v>
      </c>
      <c r="L303" t="b">
        <v>1</v>
      </c>
    </row>
    <row r="304" spans="1:12" x14ac:dyDescent="0.35">
      <c r="A304" t="s">
        <v>609</v>
      </c>
      <c r="B304" t="s">
        <v>69</v>
      </c>
      <c r="C304" t="s">
        <v>38</v>
      </c>
      <c r="D304">
        <v>35</v>
      </c>
      <c r="E304" t="s">
        <v>112</v>
      </c>
      <c r="F304" t="s">
        <v>33</v>
      </c>
      <c r="G304" s="1">
        <v>44775</v>
      </c>
      <c r="H304">
        <v>55617.5</v>
      </c>
      <c r="I304" t="s">
        <v>71</v>
      </c>
      <c r="J304">
        <v>-5151092267</v>
      </c>
      <c r="K304" t="s">
        <v>23</v>
      </c>
      <c r="L304" t="b">
        <v>1</v>
      </c>
    </row>
    <row r="305" spans="1:12" x14ac:dyDescent="0.35">
      <c r="A305" t="s">
        <v>610</v>
      </c>
      <c r="B305" t="s">
        <v>54</v>
      </c>
      <c r="C305" t="s">
        <v>92</v>
      </c>
      <c r="D305">
        <v>35</v>
      </c>
      <c r="E305" t="s">
        <v>60</v>
      </c>
      <c r="F305" t="s">
        <v>28</v>
      </c>
      <c r="G305" t="s">
        <v>611</v>
      </c>
      <c r="H305">
        <v>87018.98</v>
      </c>
      <c r="I305" t="s">
        <v>502</v>
      </c>
      <c r="J305">
        <v>-5926249450</v>
      </c>
      <c r="K305" t="s">
        <v>30</v>
      </c>
      <c r="L305" t="b">
        <v>1</v>
      </c>
    </row>
    <row r="306" spans="1:12" x14ac:dyDescent="0.35">
      <c r="A306" t="s">
        <v>612</v>
      </c>
      <c r="B306" t="s">
        <v>59</v>
      </c>
      <c r="C306" t="s">
        <v>55</v>
      </c>
      <c r="D306">
        <v>25</v>
      </c>
      <c r="E306" t="s">
        <v>268</v>
      </c>
      <c r="F306" t="s">
        <v>33</v>
      </c>
      <c r="G306" s="1">
        <v>45240</v>
      </c>
      <c r="H306">
        <v>100336.58</v>
      </c>
      <c r="I306" t="s">
        <v>217</v>
      </c>
      <c r="J306">
        <v>-4754102251</v>
      </c>
      <c r="K306" t="s">
        <v>23</v>
      </c>
      <c r="L306" t="b">
        <v>1</v>
      </c>
    </row>
    <row r="307" spans="1:12" x14ac:dyDescent="0.35">
      <c r="A307" t="s">
        <v>613</v>
      </c>
      <c r="B307" t="s">
        <v>69</v>
      </c>
      <c r="C307" t="s">
        <v>26</v>
      </c>
      <c r="D307">
        <v>30</v>
      </c>
      <c r="E307" t="s">
        <v>205</v>
      </c>
      <c r="F307" t="s">
        <v>33</v>
      </c>
      <c r="G307" t="s">
        <v>614</v>
      </c>
      <c r="H307">
        <v>69295.48</v>
      </c>
      <c r="I307" t="s">
        <v>76</v>
      </c>
      <c r="J307">
        <v>-6771196420</v>
      </c>
      <c r="K307" t="s">
        <v>23</v>
      </c>
      <c r="L307" t="b">
        <v>0</v>
      </c>
    </row>
    <row r="308" spans="1:12" x14ac:dyDescent="0.35">
      <c r="A308" t="s">
        <v>615</v>
      </c>
      <c r="B308" t="s">
        <v>13</v>
      </c>
      <c r="C308" t="s">
        <v>20</v>
      </c>
      <c r="D308">
        <v>25</v>
      </c>
      <c r="E308" t="s">
        <v>230</v>
      </c>
      <c r="F308" t="s">
        <v>28</v>
      </c>
      <c r="G308" t="s">
        <v>616</v>
      </c>
      <c r="H308">
        <v>115536.66</v>
      </c>
      <c r="I308" t="s">
        <v>22</v>
      </c>
      <c r="J308">
        <v>-5226557675</v>
      </c>
      <c r="K308" t="s">
        <v>23</v>
      </c>
      <c r="L308" t="b">
        <v>1</v>
      </c>
    </row>
    <row r="309" spans="1:12" x14ac:dyDescent="0.35">
      <c r="A309" t="s">
        <v>617</v>
      </c>
      <c r="B309" t="s">
        <v>59</v>
      </c>
      <c r="C309" t="s">
        <v>55</v>
      </c>
      <c r="D309">
        <v>30</v>
      </c>
      <c r="E309" t="s">
        <v>159</v>
      </c>
      <c r="F309" t="s">
        <v>28</v>
      </c>
      <c r="G309" s="1">
        <v>44077</v>
      </c>
      <c r="H309">
        <v>81250.87</v>
      </c>
      <c r="I309" t="s">
        <v>217</v>
      </c>
      <c r="J309">
        <v>-9523668787</v>
      </c>
      <c r="K309" t="s">
        <v>23</v>
      </c>
      <c r="L309" t="b">
        <v>0</v>
      </c>
    </row>
    <row r="310" spans="1:12" x14ac:dyDescent="0.35">
      <c r="A310" t="s">
        <v>618</v>
      </c>
      <c r="B310" t="s">
        <v>25</v>
      </c>
      <c r="C310" t="s">
        <v>43</v>
      </c>
      <c r="D310">
        <v>30</v>
      </c>
      <c r="E310" t="s">
        <v>237</v>
      </c>
      <c r="F310" t="s">
        <v>33</v>
      </c>
      <c r="G310" t="s">
        <v>619</v>
      </c>
      <c r="H310">
        <v>66403.75</v>
      </c>
      <c r="I310" t="s">
        <v>45</v>
      </c>
      <c r="J310">
        <v>-7883619688</v>
      </c>
      <c r="K310" t="s">
        <v>30</v>
      </c>
      <c r="L310" t="b">
        <v>0</v>
      </c>
    </row>
    <row r="311" spans="1:12" x14ac:dyDescent="0.35">
      <c r="A311" t="s">
        <v>620</v>
      </c>
      <c r="B311" t="s">
        <v>25</v>
      </c>
      <c r="C311" t="s">
        <v>92</v>
      </c>
      <c r="D311">
        <v>30</v>
      </c>
      <c r="E311" t="s">
        <v>177</v>
      </c>
      <c r="F311" t="s">
        <v>16</v>
      </c>
      <c r="G311" t="s">
        <v>621</v>
      </c>
      <c r="H311">
        <v>114147.79</v>
      </c>
      <c r="I311" t="s">
        <v>166</v>
      </c>
      <c r="J311">
        <v>-3135030586</v>
      </c>
      <c r="K311" t="s">
        <v>23</v>
      </c>
      <c r="L311" t="b">
        <v>0</v>
      </c>
    </row>
    <row r="312" spans="1:12" x14ac:dyDescent="0.35">
      <c r="A312" t="s">
        <v>622</v>
      </c>
      <c r="B312" t="s">
        <v>37</v>
      </c>
      <c r="C312" t="s">
        <v>43</v>
      </c>
      <c r="D312">
        <v>30</v>
      </c>
      <c r="E312" t="s">
        <v>66</v>
      </c>
      <c r="F312" t="s">
        <v>28</v>
      </c>
      <c r="G312" s="1">
        <v>44632</v>
      </c>
      <c r="H312">
        <v>65472.99</v>
      </c>
      <c r="I312" t="s">
        <v>180</v>
      </c>
      <c r="J312">
        <v>-2105524727</v>
      </c>
      <c r="K312" t="s">
        <v>30</v>
      </c>
      <c r="L312" t="b">
        <v>0</v>
      </c>
    </row>
    <row r="313" spans="1:12" x14ac:dyDescent="0.35">
      <c r="A313" t="s">
        <v>623</v>
      </c>
      <c r="B313" t="s">
        <v>25</v>
      </c>
      <c r="C313" t="s">
        <v>14</v>
      </c>
      <c r="E313" t="s">
        <v>219</v>
      </c>
      <c r="F313" t="s">
        <v>16</v>
      </c>
      <c r="G313" s="1">
        <v>45084</v>
      </c>
      <c r="H313">
        <v>97512.51</v>
      </c>
      <c r="I313" t="s">
        <v>163</v>
      </c>
      <c r="J313">
        <v>-6333021259</v>
      </c>
      <c r="K313" t="s">
        <v>30</v>
      </c>
      <c r="L313" t="b">
        <v>1</v>
      </c>
    </row>
    <row r="314" spans="1:12" x14ac:dyDescent="0.35">
      <c r="A314" t="s">
        <v>624</v>
      </c>
      <c r="B314" t="s">
        <v>25</v>
      </c>
      <c r="C314" t="s">
        <v>20</v>
      </c>
      <c r="D314">
        <v>35</v>
      </c>
      <c r="E314" t="s">
        <v>329</v>
      </c>
      <c r="F314" t="s">
        <v>33</v>
      </c>
      <c r="G314" t="s">
        <v>625</v>
      </c>
      <c r="H314">
        <v>86712.41</v>
      </c>
      <c r="I314" t="s">
        <v>80</v>
      </c>
      <c r="J314">
        <v>-6501917919</v>
      </c>
      <c r="K314" t="s">
        <v>18</v>
      </c>
      <c r="L314" t="b">
        <v>1</v>
      </c>
    </row>
    <row r="315" spans="1:12" x14ac:dyDescent="0.35">
      <c r="A315" t="s">
        <v>626</v>
      </c>
      <c r="B315" t="s">
        <v>69</v>
      </c>
      <c r="C315" t="s">
        <v>14</v>
      </c>
      <c r="D315">
        <v>30</v>
      </c>
      <c r="E315" t="s">
        <v>212</v>
      </c>
      <c r="F315" t="s">
        <v>16</v>
      </c>
      <c r="G315" t="s">
        <v>627</v>
      </c>
      <c r="H315">
        <v>87654.98</v>
      </c>
      <c r="I315" t="s">
        <v>235</v>
      </c>
      <c r="J315">
        <v>-2521310961</v>
      </c>
      <c r="K315" t="s">
        <v>41</v>
      </c>
      <c r="L315" t="b">
        <v>0</v>
      </c>
    </row>
    <row r="316" spans="1:12" x14ac:dyDescent="0.35">
      <c r="A316" t="s">
        <v>628</v>
      </c>
      <c r="B316" t="s">
        <v>59</v>
      </c>
      <c r="C316" t="s">
        <v>38</v>
      </c>
      <c r="D316">
        <v>35</v>
      </c>
      <c r="E316" t="s">
        <v>56</v>
      </c>
      <c r="F316" t="s">
        <v>33</v>
      </c>
      <c r="G316" t="s">
        <v>629</v>
      </c>
      <c r="H316">
        <v>89367.02</v>
      </c>
      <c r="I316" t="s">
        <v>61</v>
      </c>
      <c r="J316">
        <v>-2728476569</v>
      </c>
      <c r="K316" t="s">
        <v>41</v>
      </c>
      <c r="L316" t="b">
        <v>0</v>
      </c>
    </row>
    <row r="317" spans="1:12" x14ac:dyDescent="0.35">
      <c r="A317" t="s">
        <v>630</v>
      </c>
      <c r="B317" t="s">
        <v>54</v>
      </c>
      <c r="C317" t="s">
        <v>43</v>
      </c>
      <c r="D317">
        <v>40</v>
      </c>
      <c r="E317" t="s">
        <v>118</v>
      </c>
      <c r="F317" t="s">
        <v>16</v>
      </c>
      <c r="G317" s="1">
        <v>44388</v>
      </c>
      <c r="H317">
        <v>95269.41</v>
      </c>
      <c r="I317" t="s">
        <v>87</v>
      </c>
      <c r="J317">
        <v>-4120092819</v>
      </c>
      <c r="K317" t="s">
        <v>30</v>
      </c>
      <c r="L317" t="b">
        <v>1</v>
      </c>
    </row>
    <row r="318" spans="1:12" x14ac:dyDescent="0.35">
      <c r="A318" t="s">
        <v>631</v>
      </c>
      <c r="B318" t="s">
        <v>37</v>
      </c>
      <c r="C318" t="s">
        <v>38</v>
      </c>
      <c r="D318">
        <v>25</v>
      </c>
      <c r="E318" t="s">
        <v>219</v>
      </c>
      <c r="F318" t="s">
        <v>16</v>
      </c>
      <c r="G318" t="s">
        <v>632</v>
      </c>
      <c r="H318">
        <v>68792.31</v>
      </c>
      <c r="I318" t="s">
        <v>40</v>
      </c>
      <c r="J318">
        <v>-6678498435</v>
      </c>
      <c r="K318" t="s">
        <v>18</v>
      </c>
      <c r="L318" t="b">
        <v>0</v>
      </c>
    </row>
    <row r="319" spans="1:12" x14ac:dyDescent="0.35">
      <c r="A319" t="s">
        <v>633</v>
      </c>
      <c r="B319" t="s">
        <v>25</v>
      </c>
      <c r="C319" t="s">
        <v>122</v>
      </c>
      <c r="D319">
        <v>25</v>
      </c>
      <c r="E319" t="s">
        <v>89</v>
      </c>
      <c r="F319" t="s">
        <v>28</v>
      </c>
      <c r="G319" s="1">
        <v>45117</v>
      </c>
      <c r="H319">
        <v>89119.53</v>
      </c>
      <c r="I319" t="s">
        <v>182</v>
      </c>
      <c r="J319">
        <v>-2418623689</v>
      </c>
      <c r="K319" t="s">
        <v>30</v>
      </c>
      <c r="L319" t="b">
        <v>1</v>
      </c>
    </row>
    <row r="320" spans="1:12" x14ac:dyDescent="0.35">
      <c r="A320" t="s">
        <v>634</v>
      </c>
      <c r="B320" t="s">
        <v>37</v>
      </c>
      <c r="C320" t="s">
        <v>14</v>
      </c>
      <c r="D320">
        <v>35</v>
      </c>
      <c r="E320" t="s">
        <v>60</v>
      </c>
      <c r="F320" t="s">
        <v>16</v>
      </c>
      <c r="G320" t="s">
        <v>635</v>
      </c>
      <c r="H320">
        <v>58212.13</v>
      </c>
      <c r="I320" t="s">
        <v>52</v>
      </c>
      <c r="J320">
        <v>-3628917755</v>
      </c>
      <c r="K320" t="s">
        <v>30</v>
      </c>
      <c r="L320" t="b">
        <v>0</v>
      </c>
    </row>
    <row r="321" spans="1:12" x14ac:dyDescent="0.35">
      <c r="A321" t="s">
        <v>636</v>
      </c>
      <c r="B321" t="s">
        <v>65</v>
      </c>
      <c r="C321" t="s">
        <v>92</v>
      </c>
      <c r="D321">
        <v>30</v>
      </c>
      <c r="E321" t="s">
        <v>78</v>
      </c>
      <c r="F321" t="s">
        <v>28</v>
      </c>
      <c r="G321" t="s">
        <v>637</v>
      </c>
      <c r="H321">
        <v>77764.240000000005</v>
      </c>
      <c r="I321" t="s">
        <v>130</v>
      </c>
      <c r="J321">
        <v>-6205634110</v>
      </c>
      <c r="K321" t="s">
        <v>30</v>
      </c>
      <c r="L321" t="b">
        <v>1</v>
      </c>
    </row>
    <row r="322" spans="1:12" x14ac:dyDescent="0.35">
      <c r="A322" t="s">
        <v>638</v>
      </c>
      <c r="B322" t="s">
        <v>37</v>
      </c>
      <c r="C322" t="s">
        <v>43</v>
      </c>
      <c r="D322">
        <v>35</v>
      </c>
      <c r="E322" t="s">
        <v>112</v>
      </c>
      <c r="F322" t="s">
        <v>28</v>
      </c>
      <c r="G322" t="s">
        <v>639</v>
      </c>
      <c r="H322">
        <v>75148.17</v>
      </c>
      <c r="I322" t="s">
        <v>180</v>
      </c>
      <c r="J322">
        <v>-5950342810</v>
      </c>
      <c r="K322" t="s">
        <v>18</v>
      </c>
      <c r="L322" t="b">
        <v>0</v>
      </c>
    </row>
    <row r="323" spans="1:12" x14ac:dyDescent="0.35">
      <c r="A323" t="s">
        <v>640</v>
      </c>
      <c r="B323" t="s">
        <v>65</v>
      </c>
      <c r="C323" t="s">
        <v>26</v>
      </c>
      <c r="D323">
        <v>40</v>
      </c>
      <c r="E323" t="s">
        <v>85</v>
      </c>
      <c r="F323" t="s">
        <v>33</v>
      </c>
      <c r="G323" s="1">
        <v>45508</v>
      </c>
      <c r="H323">
        <v>108781.18</v>
      </c>
      <c r="I323" t="s">
        <v>320</v>
      </c>
      <c r="J323">
        <v>-3904383033</v>
      </c>
      <c r="K323" t="s">
        <v>41</v>
      </c>
      <c r="L323" t="b">
        <v>0</v>
      </c>
    </row>
    <row r="324" spans="1:12" x14ac:dyDescent="0.35">
      <c r="A324" t="s">
        <v>641</v>
      </c>
      <c r="B324" t="s">
        <v>37</v>
      </c>
      <c r="C324" t="s">
        <v>20</v>
      </c>
      <c r="D324">
        <v>35</v>
      </c>
      <c r="E324" t="s">
        <v>21</v>
      </c>
      <c r="F324" t="s">
        <v>28</v>
      </c>
      <c r="G324" s="1">
        <v>45393</v>
      </c>
      <c r="H324">
        <v>65489.19</v>
      </c>
      <c r="I324" t="s">
        <v>239</v>
      </c>
      <c r="J324">
        <v>-1990970050</v>
      </c>
      <c r="K324" t="s">
        <v>18</v>
      </c>
      <c r="L324" t="b">
        <v>1</v>
      </c>
    </row>
    <row r="325" spans="1:12" x14ac:dyDescent="0.35">
      <c r="A325" t="s">
        <v>642</v>
      </c>
      <c r="B325" t="s">
        <v>32</v>
      </c>
      <c r="C325" t="s">
        <v>55</v>
      </c>
      <c r="E325" t="s">
        <v>98</v>
      </c>
      <c r="F325" t="s">
        <v>28</v>
      </c>
      <c r="G325" s="1">
        <v>44686</v>
      </c>
      <c r="H325">
        <v>70663.460000000006</v>
      </c>
      <c r="I325" t="s">
        <v>323</v>
      </c>
      <c r="J325">
        <v>-4054683564</v>
      </c>
      <c r="K325" t="s">
        <v>23</v>
      </c>
      <c r="L325" t="b">
        <v>0</v>
      </c>
    </row>
    <row r="326" spans="1:12" x14ac:dyDescent="0.35">
      <c r="A326" t="s">
        <v>643</v>
      </c>
      <c r="B326" t="s">
        <v>59</v>
      </c>
      <c r="C326" t="s">
        <v>92</v>
      </c>
      <c r="D326">
        <v>40</v>
      </c>
      <c r="E326" t="s">
        <v>109</v>
      </c>
      <c r="F326" t="s">
        <v>33</v>
      </c>
      <c r="G326" s="1">
        <v>44928</v>
      </c>
      <c r="H326">
        <v>95822.56</v>
      </c>
      <c r="I326" t="s">
        <v>107</v>
      </c>
      <c r="J326">
        <v>-2156818208</v>
      </c>
      <c r="K326" t="s">
        <v>18</v>
      </c>
      <c r="L326" t="b">
        <v>0</v>
      </c>
    </row>
    <row r="327" spans="1:12" x14ac:dyDescent="0.35">
      <c r="A327" t="s">
        <v>644</v>
      </c>
      <c r="B327" t="s">
        <v>32</v>
      </c>
      <c r="C327" t="s">
        <v>92</v>
      </c>
      <c r="D327">
        <v>40</v>
      </c>
      <c r="E327" t="s">
        <v>329</v>
      </c>
      <c r="F327" t="s">
        <v>28</v>
      </c>
      <c r="G327" s="1">
        <v>44571</v>
      </c>
      <c r="H327">
        <v>82258.03</v>
      </c>
      <c r="I327" t="s">
        <v>263</v>
      </c>
      <c r="J327">
        <v>-6790422710</v>
      </c>
      <c r="K327" t="s">
        <v>18</v>
      </c>
      <c r="L327" t="b">
        <v>1</v>
      </c>
    </row>
    <row r="328" spans="1:12" x14ac:dyDescent="0.35">
      <c r="A328" t="s">
        <v>645</v>
      </c>
      <c r="B328" t="s">
        <v>37</v>
      </c>
      <c r="C328" t="s">
        <v>38</v>
      </c>
      <c r="D328">
        <v>30</v>
      </c>
      <c r="E328" t="s">
        <v>27</v>
      </c>
      <c r="F328" t="s">
        <v>28</v>
      </c>
      <c r="G328" t="s">
        <v>646</v>
      </c>
      <c r="H328">
        <v>62883.34</v>
      </c>
      <c r="I328" t="s">
        <v>40</v>
      </c>
      <c r="J328">
        <v>-3322889856</v>
      </c>
      <c r="K328" t="s">
        <v>18</v>
      </c>
      <c r="L328" t="b">
        <v>0</v>
      </c>
    </row>
    <row r="329" spans="1:12" x14ac:dyDescent="0.35">
      <c r="A329" t="s">
        <v>647</v>
      </c>
      <c r="B329" t="s">
        <v>25</v>
      </c>
      <c r="C329" t="s">
        <v>14</v>
      </c>
      <c r="E329" t="s">
        <v>159</v>
      </c>
      <c r="F329" t="s">
        <v>28</v>
      </c>
      <c r="G329" s="1">
        <v>44078</v>
      </c>
      <c r="H329">
        <v>103503.72</v>
      </c>
      <c r="I329" t="s">
        <v>163</v>
      </c>
      <c r="J329">
        <v>-2545960632</v>
      </c>
      <c r="K329" t="s">
        <v>18</v>
      </c>
      <c r="L329" t="b">
        <v>1</v>
      </c>
    </row>
    <row r="330" spans="1:12" x14ac:dyDescent="0.35">
      <c r="A330" t="s">
        <v>648</v>
      </c>
      <c r="B330" t="s">
        <v>59</v>
      </c>
      <c r="C330" t="s">
        <v>43</v>
      </c>
      <c r="D330">
        <v>25</v>
      </c>
      <c r="E330" t="s">
        <v>56</v>
      </c>
      <c r="F330" t="s">
        <v>16</v>
      </c>
      <c r="G330" t="s">
        <v>649</v>
      </c>
      <c r="H330">
        <v>85401.3</v>
      </c>
      <c r="I330" t="s">
        <v>101</v>
      </c>
      <c r="J330">
        <v>-9912971023</v>
      </c>
      <c r="K330" t="s">
        <v>41</v>
      </c>
      <c r="L330" t="b">
        <v>1</v>
      </c>
    </row>
    <row r="331" spans="1:12" x14ac:dyDescent="0.35">
      <c r="A331" t="s">
        <v>650</v>
      </c>
      <c r="B331" t="s">
        <v>65</v>
      </c>
      <c r="C331" t="s">
        <v>43</v>
      </c>
      <c r="D331">
        <v>40</v>
      </c>
      <c r="E331" t="s">
        <v>159</v>
      </c>
      <c r="F331" t="s">
        <v>28</v>
      </c>
      <c r="G331" s="1">
        <v>44987</v>
      </c>
      <c r="H331" t="s">
        <v>277</v>
      </c>
      <c r="I331" t="s">
        <v>257</v>
      </c>
      <c r="J331">
        <v>-8171752420</v>
      </c>
      <c r="K331" t="s">
        <v>23</v>
      </c>
      <c r="L331" t="b">
        <v>0</v>
      </c>
    </row>
    <row r="332" spans="1:12" x14ac:dyDescent="0.35">
      <c r="A332" t="s">
        <v>651</v>
      </c>
      <c r="B332" t="s">
        <v>32</v>
      </c>
      <c r="C332" t="s">
        <v>122</v>
      </c>
      <c r="E332" t="s">
        <v>139</v>
      </c>
      <c r="F332" t="s">
        <v>28</v>
      </c>
      <c r="G332" t="s">
        <v>652</v>
      </c>
      <c r="H332">
        <v>98850.14</v>
      </c>
      <c r="I332" t="s">
        <v>522</v>
      </c>
      <c r="J332">
        <v>-4955112746</v>
      </c>
      <c r="K332" t="s">
        <v>41</v>
      </c>
      <c r="L332" t="b">
        <v>0</v>
      </c>
    </row>
    <row r="333" spans="1:12" x14ac:dyDescent="0.35">
      <c r="A333" t="s">
        <v>653</v>
      </c>
      <c r="B333" t="s">
        <v>54</v>
      </c>
      <c r="C333" t="s">
        <v>122</v>
      </c>
      <c r="D333">
        <v>25</v>
      </c>
      <c r="E333" t="s">
        <v>95</v>
      </c>
      <c r="F333" t="s">
        <v>16</v>
      </c>
      <c r="G333" s="1">
        <v>44413</v>
      </c>
      <c r="H333">
        <v>63435.24</v>
      </c>
      <c r="I333" t="s">
        <v>194</v>
      </c>
      <c r="J333">
        <v>-4721970545</v>
      </c>
      <c r="K333" t="s">
        <v>41</v>
      </c>
      <c r="L333" t="b">
        <v>0</v>
      </c>
    </row>
    <row r="334" spans="1:12" x14ac:dyDescent="0.35">
      <c r="A334" t="s">
        <v>654</v>
      </c>
      <c r="B334" t="s">
        <v>37</v>
      </c>
      <c r="C334" t="s">
        <v>20</v>
      </c>
      <c r="D334">
        <v>35</v>
      </c>
      <c r="E334" t="s">
        <v>21</v>
      </c>
      <c r="F334" t="s">
        <v>33</v>
      </c>
      <c r="G334" s="1">
        <v>44869</v>
      </c>
      <c r="H334">
        <v>82129.84</v>
      </c>
      <c r="I334" t="s">
        <v>239</v>
      </c>
      <c r="J334">
        <v>-6927589550</v>
      </c>
      <c r="K334" t="s">
        <v>18</v>
      </c>
      <c r="L334" t="b">
        <v>0</v>
      </c>
    </row>
    <row r="335" spans="1:12" x14ac:dyDescent="0.35">
      <c r="A335" t="s">
        <v>655</v>
      </c>
      <c r="B335" t="s">
        <v>59</v>
      </c>
      <c r="C335" t="s">
        <v>38</v>
      </c>
      <c r="D335">
        <v>35</v>
      </c>
      <c r="E335" t="s">
        <v>237</v>
      </c>
      <c r="F335" t="s">
        <v>28</v>
      </c>
      <c r="G335" t="s">
        <v>656</v>
      </c>
      <c r="H335">
        <v>95492.61</v>
      </c>
      <c r="I335" t="s">
        <v>61</v>
      </c>
      <c r="J335">
        <v>-6874090379</v>
      </c>
      <c r="K335" t="s">
        <v>30</v>
      </c>
      <c r="L335" t="b">
        <v>0</v>
      </c>
    </row>
    <row r="336" spans="1:12" x14ac:dyDescent="0.35">
      <c r="A336" t="s">
        <v>657</v>
      </c>
      <c r="B336" t="s">
        <v>69</v>
      </c>
      <c r="C336" t="s">
        <v>92</v>
      </c>
      <c r="D336">
        <v>40</v>
      </c>
      <c r="E336" t="s">
        <v>265</v>
      </c>
      <c r="F336" t="s">
        <v>33</v>
      </c>
      <c r="G336" t="s">
        <v>658</v>
      </c>
      <c r="H336">
        <v>94572.37</v>
      </c>
      <c r="I336" t="s">
        <v>168</v>
      </c>
      <c r="J336">
        <v>-2146296135</v>
      </c>
      <c r="K336" t="s">
        <v>30</v>
      </c>
      <c r="L336" t="b">
        <v>0</v>
      </c>
    </row>
    <row r="337" spans="1:12" x14ac:dyDescent="0.35">
      <c r="A337" t="s">
        <v>659</v>
      </c>
      <c r="B337" t="s">
        <v>13</v>
      </c>
      <c r="C337" t="s">
        <v>43</v>
      </c>
      <c r="D337">
        <v>40</v>
      </c>
      <c r="E337" t="s">
        <v>100</v>
      </c>
      <c r="F337" t="s">
        <v>33</v>
      </c>
      <c r="G337" s="1">
        <v>45019</v>
      </c>
      <c r="H337">
        <v>118413.05</v>
      </c>
      <c r="I337" t="s">
        <v>153</v>
      </c>
      <c r="J337">
        <v>-7157787111</v>
      </c>
      <c r="K337" t="s">
        <v>41</v>
      </c>
      <c r="L337" t="b">
        <v>0</v>
      </c>
    </row>
    <row r="338" spans="1:12" x14ac:dyDescent="0.35">
      <c r="A338" t="s">
        <v>660</v>
      </c>
      <c r="B338" t="s">
        <v>25</v>
      </c>
      <c r="C338" t="s">
        <v>26</v>
      </c>
      <c r="D338">
        <v>30</v>
      </c>
      <c r="E338" t="s">
        <v>27</v>
      </c>
      <c r="F338" t="s">
        <v>28</v>
      </c>
      <c r="G338" t="s">
        <v>661</v>
      </c>
      <c r="H338">
        <v>68976.649999999994</v>
      </c>
      <c r="I338" t="s">
        <v>29</v>
      </c>
      <c r="J338">
        <v>-1663651558</v>
      </c>
      <c r="K338" t="s">
        <v>41</v>
      </c>
      <c r="L338" t="b">
        <v>1</v>
      </c>
    </row>
    <row r="339" spans="1:12" x14ac:dyDescent="0.35">
      <c r="A339" t="s">
        <v>662</v>
      </c>
      <c r="B339" t="s">
        <v>32</v>
      </c>
      <c r="C339" t="s">
        <v>38</v>
      </c>
      <c r="E339" t="s">
        <v>219</v>
      </c>
      <c r="F339" t="s">
        <v>16</v>
      </c>
      <c r="G339" s="1">
        <v>44228</v>
      </c>
      <c r="H339">
        <v>115013.65</v>
      </c>
      <c r="I339" t="s">
        <v>141</v>
      </c>
      <c r="J339">
        <v>-7371470826</v>
      </c>
      <c r="K339" t="s">
        <v>18</v>
      </c>
      <c r="L339" t="b">
        <v>0</v>
      </c>
    </row>
    <row r="340" spans="1:12" x14ac:dyDescent="0.35">
      <c r="A340" t="s">
        <v>663</v>
      </c>
      <c r="B340" t="s">
        <v>59</v>
      </c>
      <c r="C340" t="s">
        <v>20</v>
      </c>
      <c r="E340" t="s">
        <v>27</v>
      </c>
      <c r="F340" t="s">
        <v>33</v>
      </c>
      <c r="G340" s="1">
        <v>43988</v>
      </c>
      <c r="H340">
        <v>70949.38</v>
      </c>
      <c r="I340" t="s">
        <v>225</v>
      </c>
      <c r="J340">
        <v>-2359096055</v>
      </c>
      <c r="K340" t="s">
        <v>41</v>
      </c>
      <c r="L340" t="b">
        <v>1</v>
      </c>
    </row>
    <row r="341" spans="1:12" x14ac:dyDescent="0.35">
      <c r="A341" t="s">
        <v>664</v>
      </c>
      <c r="B341" t="s">
        <v>69</v>
      </c>
      <c r="C341" t="s">
        <v>20</v>
      </c>
      <c r="E341" t="s">
        <v>212</v>
      </c>
      <c r="F341" t="s">
        <v>28</v>
      </c>
      <c r="G341" t="s">
        <v>365</v>
      </c>
      <c r="H341">
        <v>105334.87</v>
      </c>
      <c r="I341" t="s">
        <v>201</v>
      </c>
      <c r="J341">
        <v>-7303064420</v>
      </c>
      <c r="K341" t="s">
        <v>18</v>
      </c>
      <c r="L341" t="b">
        <v>0</v>
      </c>
    </row>
    <row r="342" spans="1:12" x14ac:dyDescent="0.35">
      <c r="A342" t="s">
        <v>665</v>
      </c>
      <c r="B342" t="s">
        <v>13</v>
      </c>
      <c r="C342" t="s">
        <v>38</v>
      </c>
      <c r="E342" t="s">
        <v>15</v>
      </c>
      <c r="F342" t="s">
        <v>16</v>
      </c>
      <c r="G342" t="s">
        <v>666</v>
      </c>
      <c r="H342">
        <v>80596.179999999993</v>
      </c>
      <c r="I342" t="s">
        <v>144</v>
      </c>
      <c r="J342">
        <v>-2146147682</v>
      </c>
      <c r="K342" t="s">
        <v>30</v>
      </c>
      <c r="L342" t="b">
        <v>0</v>
      </c>
    </row>
    <row r="343" spans="1:12" x14ac:dyDescent="0.35">
      <c r="A343" t="s">
        <v>667</v>
      </c>
      <c r="B343" t="s">
        <v>37</v>
      </c>
      <c r="C343" t="s">
        <v>20</v>
      </c>
      <c r="E343" t="s">
        <v>98</v>
      </c>
      <c r="F343" t="s">
        <v>33</v>
      </c>
      <c r="G343" s="1">
        <v>45356</v>
      </c>
      <c r="H343">
        <v>72846.37</v>
      </c>
      <c r="I343" t="s">
        <v>239</v>
      </c>
      <c r="J343">
        <v>-4201654234</v>
      </c>
      <c r="K343" t="s">
        <v>30</v>
      </c>
      <c r="L343" t="b">
        <v>1</v>
      </c>
    </row>
    <row r="344" spans="1:12" x14ac:dyDescent="0.35">
      <c r="A344" t="s">
        <v>668</v>
      </c>
      <c r="B344" t="s">
        <v>65</v>
      </c>
      <c r="C344" t="s">
        <v>38</v>
      </c>
      <c r="D344">
        <v>40</v>
      </c>
      <c r="E344" t="s">
        <v>118</v>
      </c>
      <c r="F344" t="s">
        <v>28</v>
      </c>
      <c r="G344" s="1">
        <v>44744</v>
      </c>
      <c r="H344">
        <v>80229.36</v>
      </c>
      <c r="I344" t="s">
        <v>67</v>
      </c>
      <c r="J344">
        <v>-6778265959</v>
      </c>
      <c r="K344" t="s">
        <v>23</v>
      </c>
      <c r="L344" t="b">
        <v>0</v>
      </c>
    </row>
    <row r="345" spans="1:12" x14ac:dyDescent="0.35">
      <c r="A345" t="s">
        <v>669</v>
      </c>
      <c r="B345" t="s">
        <v>69</v>
      </c>
      <c r="C345" t="s">
        <v>55</v>
      </c>
      <c r="D345">
        <v>25</v>
      </c>
      <c r="E345" t="s">
        <v>177</v>
      </c>
      <c r="F345" t="s">
        <v>16</v>
      </c>
      <c r="G345" t="s">
        <v>670</v>
      </c>
      <c r="H345">
        <v>55145.47</v>
      </c>
      <c r="I345" t="s">
        <v>127</v>
      </c>
      <c r="J345">
        <v>-8931992549</v>
      </c>
      <c r="K345" t="s">
        <v>30</v>
      </c>
      <c r="L345" t="b">
        <v>0</v>
      </c>
    </row>
    <row r="346" spans="1:12" x14ac:dyDescent="0.35">
      <c r="A346" t="s">
        <v>671</v>
      </c>
      <c r="B346" t="s">
        <v>69</v>
      </c>
      <c r="C346" t="s">
        <v>38</v>
      </c>
      <c r="D346">
        <v>30</v>
      </c>
      <c r="E346" t="s">
        <v>230</v>
      </c>
      <c r="F346" t="s">
        <v>33</v>
      </c>
      <c r="G346" s="1">
        <v>44774</v>
      </c>
      <c r="H346" t="s">
        <v>277</v>
      </c>
      <c r="I346" t="s">
        <v>71</v>
      </c>
      <c r="J346">
        <v>-2727516479</v>
      </c>
      <c r="K346" t="s">
        <v>41</v>
      </c>
      <c r="L346" t="b">
        <v>1</v>
      </c>
    </row>
    <row r="347" spans="1:12" x14ac:dyDescent="0.35">
      <c r="A347" t="s">
        <v>672</v>
      </c>
      <c r="B347" t="s">
        <v>32</v>
      </c>
      <c r="C347" t="s">
        <v>14</v>
      </c>
      <c r="D347">
        <v>40</v>
      </c>
      <c r="E347" t="s">
        <v>146</v>
      </c>
      <c r="F347" t="s">
        <v>16</v>
      </c>
      <c r="G347" t="s">
        <v>673</v>
      </c>
      <c r="H347">
        <v>56110.81</v>
      </c>
      <c r="I347" t="s">
        <v>35</v>
      </c>
      <c r="J347">
        <v>-7279103367</v>
      </c>
      <c r="K347" t="s">
        <v>30</v>
      </c>
      <c r="L347" t="b">
        <v>0</v>
      </c>
    </row>
    <row r="348" spans="1:12" x14ac:dyDescent="0.35">
      <c r="A348" t="s">
        <v>674</v>
      </c>
      <c r="B348" t="s">
        <v>69</v>
      </c>
      <c r="C348" t="s">
        <v>38</v>
      </c>
      <c r="D348">
        <v>25</v>
      </c>
      <c r="E348" t="s">
        <v>159</v>
      </c>
      <c r="F348" t="s">
        <v>33</v>
      </c>
      <c r="G348" s="1">
        <v>45171</v>
      </c>
      <c r="H348">
        <v>56514.5</v>
      </c>
      <c r="I348" t="s">
        <v>71</v>
      </c>
      <c r="J348">
        <v>-2963533904</v>
      </c>
      <c r="K348" t="s">
        <v>18</v>
      </c>
      <c r="L348" t="b">
        <v>0</v>
      </c>
    </row>
    <row r="349" spans="1:12" x14ac:dyDescent="0.35">
      <c r="A349" t="s">
        <v>675</v>
      </c>
      <c r="B349" t="s">
        <v>37</v>
      </c>
      <c r="C349" t="s">
        <v>20</v>
      </c>
      <c r="D349">
        <v>40</v>
      </c>
      <c r="E349" t="s">
        <v>268</v>
      </c>
      <c r="F349" t="s">
        <v>33</v>
      </c>
      <c r="G349" s="1">
        <v>44684</v>
      </c>
      <c r="H349">
        <v>104541.84</v>
      </c>
      <c r="I349" t="s">
        <v>239</v>
      </c>
      <c r="J349">
        <v>-5044817765</v>
      </c>
      <c r="K349" t="s">
        <v>30</v>
      </c>
      <c r="L349" t="b">
        <v>0</v>
      </c>
    </row>
    <row r="350" spans="1:12" x14ac:dyDescent="0.35">
      <c r="A350" t="s">
        <v>676</v>
      </c>
      <c r="B350" t="s">
        <v>59</v>
      </c>
      <c r="C350" t="s">
        <v>43</v>
      </c>
      <c r="E350" t="s">
        <v>109</v>
      </c>
      <c r="F350" t="s">
        <v>28</v>
      </c>
      <c r="G350" t="s">
        <v>677</v>
      </c>
      <c r="H350">
        <v>61865.120000000003</v>
      </c>
      <c r="I350" t="s">
        <v>101</v>
      </c>
      <c r="J350">
        <v>-5586851275</v>
      </c>
      <c r="K350" t="s">
        <v>23</v>
      </c>
      <c r="L350" t="b">
        <v>1</v>
      </c>
    </row>
    <row r="351" spans="1:12" x14ac:dyDescent="0.35">
      <c r="A351" t="s">
        <v>678</v>
      </c>
      <c r="B351" t="s">
        <v>32</v>
      </c>
      <c r="C351" t="s">
        <v>14</v>
      </c>
      <c r="D351">
        <v>40</v>
      </c>
      <c r="E351" t="s">
        <v>103</v>
      </c>
      <c r="F351" t="s">
        <v>16</v>
      </c>
      <c r="G351" s="1">
        <v>44810</v>
      </c>
      <c r="H351">
        <v>69317.33</v>
      </c>
      <c r="I351" t="s">
        <v>35</v>
      </c>
      <c r="J351">
        <v>-5289286645</v>
      </c>
      <c r="K351" t="s">
        <v>30</v>
      </c>
      <c r="L351" t="b">
        <v>0</v>
      </c>
    </row>
    <row r="352" spans="1:12" x14ac:dyDescent="0.35">
      <c r="A352" t="s">
        <v>679</v>
      </c>
      <c r="B352" t="s">
        <v>13</v>
      </c>
      <c r="C352" t="s">
        <v>20</v>
      </c>
      <c r="D352">
        <v>35</v>
      </c>
      <c r="E352" t="s">
        <v>66</v>
      </c>
      <c r="F352" t="s">
        <v>28</v>
      </c>
      <c r="G352" s="1">
        <v>45023</v>
      </c>
      <c r="H352">
        <v>84706.17</v>
      </c>
      <c r="I352" t="s">
        <v>22</v>
      </c>
      <c r="J352">
        <v>-4911110960</v>
      </c>
      <c r="K352" t="s">
        <v>18</v>
      </c>
      <c r="L352" t="b">
        <v>0</v>
      </c>
    </row>
    <row r="353" spans="1:12" x14ac:dyDescent="0.35">
      <c r="A353" t="s">
        <v>680</v>
      </c>
      <c r="B353" t="s">
        <v>65</v>
      </c>
      <c r="C353" t="s">
        <v>122</v>
      </c>
      <c r="D353">
        <v>25</v>
      </c>
      <c r="E353" t="s">
        <v>118</v>
      </c>
      <c r="F353" t="s">
        <v>16</v>
      </c>
      <c r="G353" t="s">
        <v>681</v>
      </c>
      <c r="H353">
        <v>73255.210000000006</v>
      </c>
      <c r="I353" t="s">
        <v>367</v>
      </c>
      <c r="J353">
        <v>-7981789045</v>
      </c>
      <c r="K353" t="s">
        <v>18</v>
      </c>
      <c r="L353" t="b">
        <v>0</v>
      </c>
    </row>
    <row r="354" spans="1:12" x14ac:dyDescent="0.35">
      <c r="A354" t="s">
        <v>682</v>
      </c>
      <c r="B354" t="s">
        <v>37</v>
      </c>
      <c r="C354" t="s">
        <v>122</v>
      </c>
      <c r="D354">
        <v>40</v>
      </c>
      <c r="E354" t="s">
        <v>212</v>
      </c>
      <c r="F354" t="s">
        <v>28</v>
      </c>
      <c r="G354" s="1">
        <v>44962</v>
      </c>
      <c r="H354">
        <v>59528.71</v>
      </c>
      <c r="I354" t="s">
        <v>137</v>
      </c>
      <c r="J354">
        <v>-3378613714</v>
      </c>
      <c r="K354" t="s">
        <v>41</v>
      </c>
      <c r="L354" t="b">
        <v>0</v>
      </c>
    </row>
    <row r="355" spans="1:12" x14ac:dyDescent="0.35">
      <c r="A355" t="s">
        <v>683</v>
      </c>
      <c r="B355" t="s">
        <v>59</v>
      </c>
      <c r="C355" t="s">
        <v>43</v>
      </c>
      <c r="D355">
        <v>40</v>
      </c>
      <c r="E355" t="s">
        <v>66</v>
      </c>
      <c r="F355" t="s">
        <v>33</v>
      </c>
      <c r="G355" t="s">
        <v>684</v>
      </c>
      <c r="H355">
        <v>70401.37</v>
      </c>
      <c r="I355" t="s">
        <v>101</v>
      </c>
      <c r="J355">
        <v>-7660538443</v>
      </c>
      <c r="K355" t="s">
        <v>30</v>
      </c>
      <c r="L355" t="b">
        <v>1</v>
      </c>
    </row>
    <row r="356" spans="1:12" x14ac:dyDescent="0.35">
      <c r="A356" t="s">
        <v>685</v>
      </c>
      <c r="B356" t="s">
        <v>65</v>
      </c>
      <c r="C356" t="s">
        <v>43</v>
      </c>
      <c r="E356" t="s">
        <v>118</v>
      </c>
      <c r="F356" t="s">
        <v>33</v>
      </c>
      <c r="G356" t="s">
        <v>686</v>
      </c>
      <c r="H356">
        <v>107154.62</v>
      </c>
      <c r="I356" t="s">
        <v>257</v>
      </c>
      <c r="J356">
        <v>-4630600024</v>
      </c>
      <c r="K356" t="s">
        <v>18</v>
      </c>
      <c r="L356" t="b">
        <v>1</v>
      </c>
    </row>
    <row r="357" spans="1:12" x14ac:dyDescent="0.35">
      <c r="A357" t="s">
        <v>687</v>
      </c>
      <c r="B357" t="s">
        <v>13</v>
      </c>
      <c r="C357" t="s">
        <v>14</v>
      </c>
      <c r="E357" t="s">
        <v>89</v>
      </c>
      <c r="F357" t="s">
        <v>28</v>
      </c>
      <c r="G357" s="1">
        <v>44256</v>
      </c>
      <c r="H357">
        <v>97719.88</v>
      </c>
      <c r="I357" t="s">
        <v>17</v>
      </c>
      <c r="J357">
        <v>-8955296385</v>
      </c>
      <c r="K357" t="s">
        <v>23</v>
      </c>
      <c r="L357" t="b">
        <v>0</v>
      </c>
    </row>
    <row r="358" spans="1:12" x14ac:dyDescent="0.35">
      <c r="A358" t="s">
        <v>688</v>
      </c>
      <c r="B358" t="s">
        <v>65</v>
      </c>
      <c r="C358" t="s">
        <v>55</v>
      </c>
      <c r="D358">
        <v>30</v>
      </c>
      <c r="E358" t="s">
        <v>70</v>
      </c>
      <c r="F358" t="s">
        <v>28</v>
      </c>
      <c r="G358" t="s">
        <v>251</v>
      </c>
      <c r="H358">
        <v>107327.59</v>
      </c>
      <c r="I358" t="s">
        <v>113</v>
      </c>
      <c r="J358">
        <v>-3960962625</v>
      </c>
      <c r="K358" t="s">
        <v>41</v>
      </c>
      <c r="L358" t="b">
        <v>0</v>
      </c>
    </row>
    <row r="359" spans="1:12" x14ac:dyDescent="0.35">
      <c r="A359" t="s">
        <v>689</v>
      </c>
      <c r="B359" t="s">
        <v>69</v>
      </c>
      <c r="C359" t="s">
        <v>43</v>
      </c>
      <c r="D359">
        <v>40</v>
      </c>
      <c r="E359" t="s">
        <v>27</v>
      </c>
      <c r="F359" t="s">
        <v>33</v>
      </c>
      <c r="G359" s="1">
        <v>44474</v>
      </c>
      <c r="H359">
        <v>67687.72</v>
      </c>
      <c r="I359" t="s">
        <v>83</v>
      </c>
      <c r="J359">
        <v>-5826312818</v>
      </c>
      <c r="K359" t="s">
        <v>23</v>
      </c>
      <c r="L359" t="b">
        <v>1</v>
      </c>
    </row>
    <row r="360" spans="1:12" x14ac:dyDescent="0.35">
      <c r="A360" t="s">
        <v>690</v>
      </c>
      <c r="B360" t="s">
        <v>69</v>
      </c>
      <c r="C360" t="s">
        <v>122</v>
      </c>
      <c r="D360">
        <v>40</v>
      </c>
      <c r="E360" t="s">
        <v>39</v>
      </c>
      <c r="F360" t="s">
        <v>28</v>
      </c>
      <c r="G360" s="1">
        <v>44782</v>
      </c>
      <c r="H360">
        <v>90757.08</v>
      </c>
      <c r="I360" t="s">
        <v>135</v>
      </c>
      <c r="J360">
        <v>-6482531105</v>
      </c>
      <c r="K360" t="s">
        <v>30</v>
      </c>
      <c r="L360" t="b">
        <v>1</v>
      </c>
    </row>
    <row r="361" spans="1:12" x14ac:dyDescent="0.35">
      <c r="A361" t="s">
        <v>691</v>
      </c>
      <c r="B361" t="s">
        <v>69</v>
      </c>
      <c r="C361" t="s">
        <v>38</v>
      </c>
      <c r="E361" t="s">
        <v>268</v>
      </c>
      <c r="F361" t="s">
        <v>28</v>
      </c>
      <c r="G361" t="s">
        <v>692</v>
      </c>
      <c r="H361">
        <v>87583.42</v>
      </c>
      <c r="I361" t="s">
        <v>71</v>
      </c>
      <c r="J361">
        <v>-920981959</v>
      </c>
      <c r="K361" t="s">
        <v>30</v>
      </c>
      <c r="L361" t="b">
        <v>0</v>
      </c>
    </row>
    <row r="362" spans="1:12" x14ac:dyDescent="0.35">
      <c r="A362" t="s">
        <v>693</v>
      </c>
      <c r="B362" t="s">
        <v>13</v>
      </c>
      <c r="C362" t="s">
        <v>20</v>
      </c>
      <c r="D362">
        <v>25</v>
      </c>
      <c r="E362" t="s">
        <v>27</v>
      </c>
      <c r="F362" t="s">
        <v>28</v>
      </c>
      <c r="G362" t="s">
        <v>694</v>
      </c>
      <c r="H362">
        <v>61643.69</v>
      </c>
      <c r="I362" t="s">
        <v>22</v>
      </c>
      <c r="J362">
        <v>-2752334382</v>
      </c>
      <c r="K362" t="s">
        <v>30</v>
      </c>
      <c r="L362" t="b">
        <v>1</v>
      </c>
    </row>
    <row r="363" spans="1:12" x14ac:dyDescent="0.35">
      <c r="A363" t="s">
        <v>695</v>
      </c>
      <c r="B363" t="s">
        <v>69</v>
      </c>
      <c r="C363" t="s">
        <v>122</v>
      </c>
      <c r="D363">
        <v>35</v>
      </c>
      <c r="E363" t="s">
        <v>21</v>
      </c>
      <c r="F363" t="s">
        <v>16</v>
      </c>
      <c r="G363" t="s">
        <v>696</v>
      </c>
      <c r="H363">
        <v>68111.69</v>
      </c>
      <c r="I363" t="s">
        <v>135</v>
      </c>
      <c r="J363">
        <v>-6404120910</v>
      </c>
      <c r="K363" t="s">
        <v>41</v>
      </c>
      <c r="L363" t="b">
        <v>0</v>
      </c>
    </row>
    <row r="364" spans="1:12" x14ac:dyDescent="0.35">
      <c r="A364" t="s">
        <v>697</v>
      </c>
      <c r="B364" t="s">
        <v>59</v>
      </c>
      <c r="C364" t="s">
        <v>122</v>
      </c>
      <c r="D364">
        <v>40</v>
      </c>
      <c r="E364" t="s">
        <v>212</v>
      </c>
      <c r="F364" t="s">
        <v>33</v>
      </c>
      <c r="G364" t="s">
        <v>698</v>
      </c>
      <c r="H364">
        <v>97568.88</v>
      </c>
      <c r="I364" t="s">
        <v>341</v>
      </c>
      <c r="J364">
        <v>-7911244210</v>
      </c>
      <c r="K364" t="s">
        <v>18</v>
      </c>
      <c r="L364" t="b">
        <v>1</v>
      </c>
    </row>
    <row r="365" spans="1:12" x14ac:dyDescent="0.35">
      <c r="A365" t="s">
        <v>699</v>
      </c>
      <c r="B365" t="s">
        <v>54</v>
      </c>
      <c r="C365" t="s">
        <v>55</v>
      </c>
      <c r="D365">
        <v>35</v>
      </c>
      <c r="E365" t="s">
        <v>39</v>
      </c>
      <c r="F365" t="s">
        <v>16</v>
      </c>
      <c r="G365" t="s">
        <v>700</v>
      </c>
      <c r="H365">
        <v>79118.28</v>
      </c>
      <c r="I365" t="s">
        <v>57</v>
      </c>
      <c r="J365">
        <v>-7536170616</v>
      </c>
      <c r="K365" t="s">
        <v>41</v>
      </c>
      <c r="L365" t="b">
        <v>1</v>
      </c>
    </row>
    <row r="366" spans="1:12" x14ac:dyDescent="0.35">
      <c r="A366" t="s">
        <v>701</v>
      </c>
      <c r="B366" t="s">
        <v>13</v>
      </c>
      <c r="C366" t="s">
        <v>14</v>
      </c>
      <c r="D366">
        <v>30</v>
      </c>
      <c r="E366" t="s">
        <v>146</v>
      </c>
      <c r="F366" t="s">
        <v>33</v>
      </c>
      <c r="G366" t="s">
        <v>325</v>
      </c>
      <c r="H366">
        <v>104898.9</v>
      </c>
      <c r="I366" t="s">
        <v>17</v>
      </c>
      <c r="J366">
        <v>-1366572239</v>
      </c>
      <c r="K366" t="s">
        <v>23</v>
      </c>
      <c r="L366" t="b">
        <v>1</v>
      </c>
    </row>
    <row r="367" spans="1:12" x14ac:dyDescent="0.35">
      <c r="A367" t="s">
        <v>702</v>
      </c>
      <c r="B367" t="s">
        <v>37</v>
      </c>
      <c r="C367" t="s">
        <v>14</v>
      </c>
      <c r="D367">
        <v>40</v>
      </c>
      <c r="E367" t="s">
        <v>39</v>
      </c>
      <c r="F367" t="s">
        <v>28</v>
      </c>
      <c r="G367" t="s">
        <v>703</v>
      </c>
      <c r="H367">
        <v>81671.3</v>
      </c>
      <c r="I367" t="s">
        <v>52</v>
      </c>
      <c r="J367">
        <v>-2990155798</v>
      </c>
      <c r="K367" t="s">
        <v>41</v>
      </c>
      <c r="L367" t="b">
        <v>1</v>
      </c>
    </row>
    <row r="368" spans="1:12" x14ac:dyDescent="0.35">
      <c r="A368" t="s">
        <v>704</v>
      </c>
      <c r="B368" t="s">
        <v>25</v>
      </c>
      <c r="C368" t="s">
        <v>92</v>
      </c>
      <c r="D368">
        <v>25</v>
      </c>
      <c r="E368" t="s">
        <v>268</v>
      </c>
      <c r="F368" t="s">
        <v>28</v>
      </c>
      <c r="G368" s="1">
        <v>44143</v>
      </c>
      <c r="H368">
        <v>97399.75</v>
      </c>
      <c r="I368" t="s">
        <v>166</v>
      </c>
      <c r="J368">
        <v>-8028413907</v>
      </c>
      <c r="K368" t="s">
        <v>23</v>
      </c>
      <c r="L368" t="b">
        <v>0</v>
      </c>
    </row>
    <row r="369" spans="1:12" x14ac:dyDescent="0.35">
      <c r="A369" t="s">
        <v>705</v>
      </c>
      <c r="B369" t="s">
        <v>59</v>
      </c>
      <c r="C369" t="s">
        <v>55</v>
      </c>
      <c r="E369" t="s">
        <v>89</v>
      </c>
      <c r="F369" t="s">
        <v>16</v>
      </c>
      <c r="G369" s="1">
        <v>44419</v>
      </c>
      <c r="H369">
        <v>89189.43</v>
      </c>
      <c r="I369" t="s">
        <v>217</v>
      </c>
      <c r="J369">
        <v>-882351304</v>
      </c>
      <c r="K369" t="s">
        <v>41</v>
      </c>
      <c r="L369" t="b">
        <v>1</v>
      </c>
    </row>
    <row r="370" spans="1:12" x14ac:dyDescent="0.35">
      <c r="A370" t="s">
        <v>706</v>
      </c>
      <c r="B370" t="s">
        <v>59</v>
      </c>
      <c r="C370" t="s">
        <v>38</v>
      </c>
      <c r="D370">
        <v>40</v>
      </c>
      <c r="E370" t="s">
        <v>56</v>
      </c>
      <c r="F370" t="s">
        <v>16</v>
      </c>
      <c r="G370" s="1">
        <v>45024</v>
      </c>
      <c r="H370">
        <v>96011.55</v>
      </c>
      <c r="I370" t="s">
        <v>61</v>
      </c>
      <c r="J370">
        <v>-2312447314</v>
      </c>
      <c r="K370" t="s">
        <v>18</v>
      </c>
      <c r="L370" t="b">
        <v>1</v>
      </c>
    </row>
    <row r="371" spans="1:12" x14ac:dyDescent="0.35">
      <c r="A371" t="s">
        <v>707</v>
      </c>
      <c r="B371" t="s">
        <v>59</v>
      </c>
      <c r="C371" t="s">
        <v>14</v>
      </c>
      <c r="D371">
        <v>40</v>
      </c>
      <c r="E371" t="s">
        <v>74</v>
      </c>
      <c r="F371" t="s">
        <v>33</v>
      </c>
      <c r="G371" s="1">
        <v>44105</v>
      </c>
      <c r="H371">
        <v>99331.49</v>
      </c>
      <c r="I371" t="s">
        <v>63</v>
      </c>
      <c r="J371">
        <v>-8477686341</v>
      </c>
      <c r="K371" t="s">
        <v>23</v>
      </c>
      <c r="L371" t="b">
        <v>0</v>
      </c>
    </row>
    <row r="372" spans="1:12" x14ac:dyDescent="0.35">
      <c r="A372" t="s">
        <v>708</v>
      </c>
      <c r="B372" t="s">
        <v>13</v>
      </c>
      <c r="C372" t="s">
        <v>20</v>
      </c>
      <c r="E372" t="s">
        <v>95</v>
      </c>
      <c r="F372" t="s">
        <v>16</v>
      </c>
      <c r="G372" t="s">
        <v>542</v>
      </c>
      <c r="H372">
        <v>72818.94</v>
      </c>
      <c r="I372" t="s">
        <v>22</v>
      </c>
      <c r="J372">
        <v>-3461994236</v>
      </c>
      <c r="K372" t="s">
        <v>30</v>
      </c>
      <c r="L372" t="b">
        <v>1</v>
      </c>
    </row>
    <row r="373" spans="1:12" x14ac:dyDescent="0.35">
      <c r="A373" t="s">
        <v>709</v>
      </c>
      <c r="B373" t="s">
        <v>32</v>
      </c>
      <c r="C373" t="s">
        <v>43</v>
      </c>
      <c r="D373">
        <v>40</v>
      </c>
      <c r="E373" t="s">
        <v>219</v>
      </c>
      <c r="F373" t="s">
        <v>33</v>
      </c>
      <c r="G373" s="1">
        <v>45112</v>
      </c>
      <c r="H373">
        <v>77204.75</v>
      </c>
      <c r="I373" t="s">
        <v>297</v>
      </c>
      <c r="J373">
        <v>-6769459195</v>
      </c>
      <c r="K373" t="s">
        <v>30</v>
      </c>
      <c r="L373" t="b">
        <v>1</v>
      </c>
    </row>
    <row r="374" spans="1:12" x14ac:dyDescent="0.35">
      <c r="A374" t="s">
        <v>710</v>
      </c>
      <c r="B374" t="s">
        <v>13</v>
      </c>
      <c r="C374" t="s">
        <v>55</v>
      </c>
      <c r="D374">
        <v>35</v>
      </c>
      <c r="E374" t="s">
        <v>212</v>
      </c>
      <c r="F374" t="s">
        <v>28</v>
      </c>
      <c r="G374" t="s">
        <v>711</v>
      </c>
      <c r="H374">
        <v>106961.68</v>
      </c>
      <c r="I374" t="s">
        <v>199</v>
      </c>
      <c r="J374">
        <v>-6395517207</v>
      </c>
      <c r="K374" t="s">
        <v>41</v>
      </c>
      <c r="L374" t="b">
        <v>0</v>
      </c>
    </row>
    <row r="375" spans="1:12" x14ac:dyDescent="0.35">
      <c r="A375" t="s">
        <v>712</v>
      </c>
      <c r="B375" t="s">
        <v>32</v>
      </c>
      <c r="C375" t="s">
        <v>43</v>
      </c>
      <c r="E375" t="s">
        <v>44</v>
      </c>
      <c r="F375" t="s">
        <v>28</v>
      </c>
      <c r="G375" s="1">
        <v>43840</v>
      </c>
      <c r="H375">
        <v>71923</v>
      </c>
      <c r="I375" t="s">
        <v>297</v>
      </c>
      <c r="J375">
        <v>-4964985600</v>
      </c>
      <c r="K375" t="s">
        <v>30</v>
      </c>
      <c r="L375" t="b">
        <v>1</v>
      </c>
    </row>
    <row r="376" spans="1:12" x14ac:dyDescent="0.35">
      <c r="A376" t="s">
        <v>713</v>
      </c>
      <c r="B376" t="s">
        <v>13</v>
      </c>
      <c r="C376" t="s">
        <v>122</v>
      </c>
      <c r="D376">
        <v>30</v>
      </c>
      <c r="E376" t="s">
        <v>149</v>
      </c>
      <c r="F376" t="s">
        <v>16</v>
      </c>
      <c r="G376" s="1">
        <v>44906</v>
      </c>
      <c r="H376">
        <v>77192.429999999993</v>
      </c>
      <c r="I376" t="s">
        <v>123</v>
      </c>
      <c r="J376">
        <v>-2562531354</v>
      </c>
      <c r="K376" t="s">
        <v>23</v>
      </c>
      <c r="L376" t="b">
        <v>0</v>
      </c>
    </row>
    <row r="377" spans="1:12" x14ac:dyDescent="0.35">
      <c r="A377" t="s">
        <v>714</v>
      </c>
      <c r="B377" t="s">
        <v>69</v>
      </c>
      <c r="C377" t="s">
        <v>20</v>
      </c>
      <c r="D377">
        <v>40</v>
      </c>
      <c r="E377" t="s">
        <v>205</v>
      </c>
      <c r="F377" t="s">
        <v>28</v>
      </c>
      <c r="G377" s="1">
        <v>45047</v>
      </c>
      <c r="H377">
        <v>98540.3</v>
      </c>
      <c r="I377" t="s">
        <v>201</v>
      </c>
      <c r="J377">
        <v>-2510505378</v>
      </c>
      <c r="K377" t="s">
        <v>30</v>
      </c>
      <c r="L377" t="b">
        <v>0</v>
      </c>
    </row>
    <row r="378" spans="1:12" x14ac:dyDescent="0.35">
      <c r="A378" t="s">
        <v>715</v>
      </c>
      <c r="B378" t="s">
        <v>54</v>
      </c>
      <c r="C378" t="s">
        <v>20</v>
      </c>
      <c r="E378" t="s">
        <v>205</v>
      </c>
      <c r="F378" t="s">
        <v>33</v>
      </c>
      <c r="G378" t="s">
        <v>716</v>
      </c>
      <c r="H378">
        <v>63096.9</v>
      </c>
      <c r="I378" t="s">
        <v>125</v>
      </c>
      <c r="J378">
        <v>-5381649382</v>
      </c>
      <c r="K378" t="s">
        <v>18</v>
      </c>
      <c r="L378" t="b">
        <v>0</v>
      </c>
    </row>
    <row r="379" spans="1:12" x14ac:dyDescent="0.35">
      <c r="A379" t="s">
        <v>717</v>
      </c>
      <c r="B379" t="s">
        <v>25</v>
      </c>
      <c r="C379" t="s">
        <v>122</v>
      </c>
      <c r="D379">
        <v>35</v>
      </c>
      <c r="E379" t="s">
        <v>39</v>
      </c>
      <c r="F379" t="s">
        <v>16</v>
      </c>
      <c r="G379" s="1">
        <v>44257</v>
      </c>
      <c r="H379">
        <v>107065.12</v>
      </c>
      <c r="I379" t="s">
        <v>182</v>
      </c>
      <c r="J379">
        <v>-1849196654</v>
      </c>
      <c r="K379" t="s">
        <v>18</v>
      </c>
      <c r="L379" t="b">
        <v>0</v>
      </c>
    </row>
    <row r="380" spans="1:12" x14ac:dyDescent="0.35">
      <c r="A380" t="s">
        <v>718</v>
      </c>
      <c r="B380" t="s">
        <v>65</v>
      </c>
      <c r="C380" t="s">
        <v>55</v>
      </c>
      <c r="D380">
        <v>40</v>
      </c>
      <c r="E380" t="s">
        <v>230</v>
      </c>
      <c r="F380" t="s">
        <v>33</v>
      </c>
      <c r="G380" t="s">
        <v>719</v>
      </c>
      <c r="H380">
        <v>108792.43</v>
      </c>
      <c r="I380" t="s">
        <v>113</v>
      </c>
      <c r="J380">
        <v>-3307704610</v>
      </c>
      <c r="K380" t="s">
        <v>41</v>
      </c>
      <c r="L380" t="b">
        <v>1</v>
      </c>
    </row>
    <row r="381" spans="1:12" x14ac:dyDescent="0.35">
      <c r="A381" t="s">
        <v>720</v>
      </c>
      <c r="B381" t="s">
        <v>13</v>
      </c>
      <c r="C381" t="s">
        <v>122</v>
      </c>
      <c r="E381" t="s">
        <v>60</v>
      </c>
      <c r="F381" t="s">
        <v>33</v>
      </c>
      <c r="G381" s="1">
        <v>44015</v>
      </c>
      <c r="H381">
        <v>69239.7</v>
      </c>
      <c r="I381" t="s">
        <v>123</v>
      </c>
      <c r="J381">
        <v>-7295963903</v>
      </c>
      <c r="K381" t="s">
        <v>23</v>
      </c>
      <c r="L381" t="b">
        <v>0</v>
      </c>
    </row>
    <row r="382" spans="1:12" x14ac:dyDescent="0.35">
      <c r="A382" t="s">
        <v>721</v>
      </c>
      <c r="B382" t="s">
        <v>54</v>
      </c>
      <c r="C382" t="s">
        <v>43</v>
      </c>
      <c r="D382">
        <v>40</v>
      </c>
      <c r="E382" t="s">
        <v>219</v>
      </c>
      <c r="F382" t="s">
        <v>33</v>
      </c>
      <c r="G382" t="s">
        <v>722</v>
      </c>
      <c r="H382">
        <v>85756.42</v>
      </c>
      <c r="I382" t="s">
        <v>87</v>
      </c>
      <c r="J382">
        <v>-907426087</v>
      </c>
      <c r="K382" t="s">
        <v>18</v>
      </c>
      <c r="L382" t="b">
        <v>1</v>
      </c>
    </row>
    <row r="383" spans="1:12" x14ac:dyDescent="0.35">
      <c r="A383" t="s">
        <v>723</v>
      </c>
      <c r="B383" t="s">
        <v>32</v>
      </c>
      <c r="C383" t="s">
        <v>92</v>
      </c>
      <c r="E383" t="s">
        <v>192</v>
      </c>
      <c r="F383" t="s">
        <v>16</v>
      </c>
      <c r="G383" s="1">
        <v>45416</v>
      </c>
      <c r="H383">
        <v>100328.62</v>
      </c>
      <c r="I383" t="s">
        <v>263</v>
      </c>
      <c r="J383">
        <v>-501716444</v>
      </c>
      <c r="K383" t="s">
        <v>18</v>
      </c>
      <c r="L383" t="b">
        <v>1</v>
      </c>
    </row>
    <row r="384" spans="1:12" x14ac:dyDescent="0.35">
      <c r="A384" t="s">
        <v>724</v>
      </c>
      <c r="B384" t="s">
        <v>69</v>
      </c>
      <c r="C384" t="s">
        <v>20</v>
      </c>
      <c r="D384">
        <v>25</v>
      </c>
      <c r="E384" t="s">
        <v>329</v>
      </c>
      <c r="F384" t="s">
        <v>16</v>
      </c>
      <c r="G384" s="1">
        <v>44205</v>
      </c>
      <c r="H384">
        <v>111236.69</v>
      </c>
      <c r="I384" t="s">
        <v>201</v>
      </c>
      <c r="J384">
        <v>-5618579063</v>
      </c>
      <c r="K384" t="s">
        <v>23</v>
      </c>
      <c r="L384" t="b">
        <v>1</v>
      </c>
    </row>
    <row r="385" spans="1:12" x14ac:dyDescent="0.35">
      <c r="A385" t="s">
        <v>725</v>
      </c>
      <c r="B385" t="s">
        <v>32</v>
      </c>
      <c r="C385" t="s">
        <v>26</v>
      </c>
      <c r="D385">
        <v>35</v>
      </c>
      <c r="E385" t="s">
        <v>39</v>
      </c>
      <c r="F385" t="s">
        <v>16</v>
      </c>
      <c r="G385" s="1">
        <v>45478</v>
      </c>
      <c r="H385">
        <v>106832.22</v>
      </c>
      <c r="I385" t="s">
        <v>278</v>
      </c>
      <c r="J385">
        <v>-7715910299</v>
      </c>
      <c r="K385" t="s">
        <v>30</v>
      </c>
      <c r="L385" t="b">
        <v>1</v>
      </c>
    </row>
    <row r="386" spans="1:12" x14ac:dyDescent="0.35">
      <c r="A386" t="s">
        <v>726</v>
      </c>
      <c r="B386" t="s">
        <v>37</v>
      </c>
      <c r="C386" t="s">
        <v>26</v>
      </c>
      <c r="E386" t="s">
        <v>230</v>
      </c>
      <c r="F386" t="s">
        <v>16</v>
      </c>
      <c r="G386" t="s">
        <v>727</v>
      </c>
      <c r="H386">
        <v>59746.45</v>
      </c>
      <c r="I386" t="s">
        <v>47</v>
      </c>
      <c r="J386">
        <v>-2156321357</v>
      </c>
      <c r="K386" t="s">
        <v>30</v>
      </c>
      <c r="L386" t="b">
        <v>1</v>
      </c>
    </row>
    <row r="387" spans="1:12" x14ac:dyDescent="0.35">
      <c r="A387" t="s">
        <v>728</v>
      </c>
      <c r="B387" t="s">
        <v>59</v>
      </c>
      <c r="C387" t="s">
        <v>43</v>
      </c>
      <c r="D387">
        <v>25</v>
      </c>
      <c r="E387" t="s">
        <v>177</v>
      </c>
      <c r="F387" t="s">
        <v>28</v>
      </c>
      <c r="G387" t="s">
        <v>729</v>
      </c>
      <c r="H387">
        <v>91780.04</v>
      </c>
      <c r="I387" t="s">
        <v>101</v>
      </c>
      <c r="J387">
        <v>-40104144</v>
      </c>
      <c r="K387" t="s">
        <v>41</v>
      </c>
      <c r="L387" t="b">
        <v>1</v>
      </c>
    </row>
    <row r="388" spans="1:12" x14ac:dyDescent="0.35">
      <c r="A388" t="s">
        <v>730</v>
      </c>
      <c r="B388" t="s">
        <v>32</v>
      </c>
      <c r="C388" t="s">
        <v>38</v>
      </c>
      <c r="D388">
        <v>35</v>
      </c>
      <c r="E388" t="s">
        <v>177</v>
      </c>
      <c r="F388" t="s">
        <v>28</v>
      </c>
      <c r="G388" t="s">
        <v>731</v>
      </c>
      <c r="H388">
        <v>107062.66</v>
      </c>
      <c r="I388" t="s">
        <v>141</v>
      </c>
      <c r="J388">
        <v>-9642297124</v>
      </c>
      <c r="K388" t="s">
        <v>30</v>
      </c>
      <c r="L388" t="b">
        <v>1</v>
      </c>
    </row>
    <row r="389" spans="1:12" x14ac:dyDescent="0.35">
      <c r="A389" t="s">
        <v>732</v>
      </c>
      <c r="B389" t="s">
        <v>69</v>
      </c>
      <c r="C389" t="s">
        <v>14</v>
      </c>
      <c r="D389">
        <v>25</v>
      </c>
      <c r="E389" t="s">
        <v>149</v>
      </c>
      <c r="F389" t="s">
        <v>16</v>
      </c>
      <c r="G389" s="1">
        <v>45119</v>
      </c>
      <c r="H389">
        <v>110625.52</v>
      </c>
      <c r="I389" t="s">
        <v>235</v>
      </c>
      <c r="J389">
        <v>-2967188396</v>
      </c>
      <c r="K389" t="s">
        <v>23</v>
      </c>
      <c r="L389" t="b">
        <v>1</v>
      </c>
    </row>
    <row r="390" spans="1:12" x14ac:dyDescent="0.35">
      <c r="A390" t="s">
        <v>733</v>
      </c>
      <c r="B390" t="s">
        <v>37</v>
      </c>
      <c r="C390" t="s">
        <v>122</v>
      </c>
      <c r="D390">
        <v>30</v>
      </c>
      <c r="E390" t="s">
        <v>230</v>
      </c>
      <c r="F390" t="s">
        <v>33</v>
      </c>
      <c r="G390" t="s">
        <v>734</v>
      </c>
      <c r="H390">
        <v>90419.79</v>
      </c>
      <c r="I390" t="s">
        <v>137</v>
      </c>
      <c r="J390">
        <v>-7457314414</v>
      </c>
      <c r="K390" t="s">
        <v>18</v>
      </c>
      <c r="L390" t="b">
        <v>1</v>
      </c>
    </row>
    <row r="391" spans="1:12" x14ac:dyDescent="0.35">
      <c r="A391" t="s">
        <v>735</v>
      </c>
      <c r="B391" t="s">
        <v>69</v>
      </c>
      <c r="C391" t="s">
        <v>122</v>
      </c>
      <c r="D391">
        <v>40</v>
      </c>
      <c r="E391" t="s">
        <v>21</v>
      </c>
      <c r="F391" t="s">
        <v>28</v>
      </c>
      <c r="G391" t="s">
        <v>736</v>
      </c>
      <c r="H391">
        <v>111608.76</v>
      </c>
      <c r="I391" t="s">
        <v>135</v>
      </c>
      <c r="J391">
        <v>-8331170302</v>
      </c>
      <c r="K391" t="s">
        <v>30</v>
      </c>
      <c r="L391" t="b">
        <v>1</v>
      </c>
    </row>
    <row r="392" spans="1:12" x14ac:dyDescent="0.35">
      <c r="A392" t="s">
        <v>737</v>
      </c>
      <c r="B392" t="s">
        <v>32</v>
      </c>
      <c r="C392" t="s">
        <v>38</v>
      </c>
      <c r="D392">
        <v>35</v>
      </c>
      <c r="E392" t="s">
        <v>112</v>
      </c>
      <c r="F392" t="s">
        <v>33</v>
      </c>
      <c r="G392" s="1">
        <v>45081</v>
      </c>
      <c r="H392">
        <v>50173.120000000003</v>
      </c>
      <c r="I392" t="s">
        <v>141</v>
      </c>
      <c r="J392">
        <v>-7637153987</v>
      </c>
      <c r="K392" t="s">
        <v>41</v>
      </c>
      <c r="L392" t="b">
        <v>0</v>
      </c>
    </row>
    <row r="393" spans="1:12" x14ac:dyDescent="0.35">
      <c r="A393" t="s">
        <v>738</v>
      </c>
      <c r="B393" t="s">
        <v>13</v>
      </c>
      <c r="C393" t="s">
        <v>38</v>
      </c>
      <c r="D393">
        <v>40</v>
      </c>
      <c r="E393" t="s">
        <v>329</v>
      </c>
      <c r="F393" t="s">
        <v>28</v>
      </c>
      <c r="G393" s="1">
        <v>44621</v>
      </c>
      <c r="H393">
        <v>109507.44</v>
      </c>
      <c r="I393" t="s">
        <v>144</v>
      </c>
      <c r="J393">
        <v>-5472812355</v>
      </c>
      <c r="K393" t="s">
        <v>30</v>
      </c>
      <c r="L393" t="b">
        <v>0</v>
      </c>
    </row>
    <row r="394" spans="1:12" x14ac:dyDescent="0.35">
      <c r="A394" t="s">
        <v>739</v>
      </c>
      <c r="B394" t="s">
        <v>69</v>
      </c>
      <c r="C394" t="s">
        <v>43</v>
      </c>
      <c r="D394">
        <v>30</v>
      </c>
      <c r="E394" t="s">
        <v>227</v>
      </c>
      <c r="F394" t="s">
        <v>33</v>
      </c>
      <c r="G394" s="1">
        <v>44262</v>
      </c>
      <c r="H394">
        <v>72600.56</v>
      </c>
      <c r="I394" t="s">
        <v>83</v>
      </c>
      <c r="J394">
        <v>-7983631461</v>
      </c>
      <c r="K394" t="s">
        <v>23</v>
      </c>
      <c r="L394" t="b">
        <v>0</v>
      </c>
    </row>
    <row r="395" spans="1:12" x14ac:dyDescent="0.35">
      <c r="A395" t="s">
        <v>740</v>
      </c>
      <c r="B395" t="s">
        <v>54</v>
      </c>
      <c r="C395" t="s">
        <v>43</v>
      </c>
      <c r="E395" t="s">
        <v>70</v>
      </c>
      <c r="F395" t="s">
        <v>28</v>
      </c>
      <c r="G395" s="1">
        <v>45569</v>
      </c>
      <c r="H395">
        <v>53388.65</v>
      </c>
      <c r="I395" t="s">
        <v>87</v>
      </c>
      <c r="J395">
        <v>-4912711306</v>
      </c>
      <c r="K395" t="s">
        <v>41</v>
      </c>
      <c r="L395" t="b">
        <v>1</v>
      </c>
    </row>
    <row r="396" spans="1:12" x14ac:dyDescent="0.35">
      <c r="A396" t="s">
        <v>741</v>
      </c>
      <c r="B396" t="s">
        <v>65</v>
      </c>
      <c r="C396" t="s">
        <v>38</v>
      </c>
      <c r="D396">
        <v>25</v>
      </c>
      <c r="E396" t="s">
        <v>60</v>
      </c>
      <c r="F396" t="s">
        <v>33</v>
      </c>
      <c r="G396" t="s">
        <v>742</v>
      </c>
      <c r="H396">
        <v>50047.32</v>
      </c>
      <c r="I396" t="s">
        <v>67</v>
      </c>
      <c r="J396">
        <v>-2407875417</v>
      </c>
      <c r="K396" t="s">
        <v>30</v>
      </c>
      <c r="L396" t="b">
        <v>0</v>
      </c>
    </row>
    <row r="397" spans="1:12" x14ac:dyDescent="0.35">
      <c r="A397" t="s">
        <v>743</v>
      </c>
      <c r="B397" t="s">
        <v>59</v>
      </c>
      <c r="C397" t="s">
        <v>20</v>
      </c>
      <c r="D397">
        <v>30</v>
      </c>
      <c r="E397" t="s">
        <v>15</v>
      </c>
      <c r="F397" t="s">
        <v>16</v>
      </c>
      <c r="G397" t="s">
        <v>744</v>
      </c>
      <c r="H397">
        <v>115290.79</v>
      </c>
      <c r="I397" t="s">
        <v>225</v>
      </c>
      <c r="J397">
        <v>-1563268684</v>
      </c>
      <c r="K397" t="s">
        <v>41</v>
      </c>
      <c r="L397" t="b">
        <v>0</v>
      </c>
    </row>
    <row r="398" spans="1:12" x14ac:dyDescent="0.35">
      <c r="A398" t="s">
        <v>745</v>
      </c>
      <c r="B398" t="s">
        <v>37</v>
      </c>
      <c r="C398" t="s">
        <v>43</v>
      </c>
      <c r="D398">
        <v>35</v>
      </c>
      <c r="E398" t="s">
        <v>268</v>
      </c>
      <c r="F398" t="s">
        <v>28</v>
      </c>
      <c r="G398" t="s">
        <v>639</v>
      </c>
      <c r="H398">
        <v>61586.76</v>
      </c>
      <c r="I398" t="s">
        <v>180</v>
      </c>
      <c r="J398">
        <v>-745106633</v>
      </c>
      <c r="K398" t="s">
        <v>23</v>
      </c>
      <c r="L398" t="b">
        <v>0</v>
      </c>
    </row>
    <row r="399" spans="1:12" x14ac:dyDescent="0.35">
      <c r="A399" t="s">
        <v>746</v>
      </c>
      <c r="B399" t="s">
        <v>32</v>
      </c>
      <c r="C399" t="s">
        <v>92</v>
      </c>
      <c r="D399">
        <v>30</v>
      </c>
      <c r="E399" t="s">
        <v>100</v>
      </c>
      <c r="F399" t="s">
        <v>16</v>
      </c>
      <c r="G399" s="1">
        <v>45272</v>
      </c>
      <c r="H399">
        <v>56662.86</v>
      </c>
      <c r="I399" t="s">
        <v>263</v>
      </c>
      <c r="J399">
        <v>-3629489785</v>
      </c>
      <c r="K399" t="s">
        <v>18</v>
      </c>
      <c r="L399" t="b">
        <v>1</v>
      </c>
    </row>
    <row r="400" spans="1:12" x14ac:dyDescent="0.35">
      <c r="A400" t="s">
        <v>747</v>
      </c>
      <c r="B400" t="s">
        <v>13</v>
      </c>
      <c r="C400" t="s">
        <v>43</v>
      </c>
      <c r="D400">
        <v>30</v>
      </c>
      <c r="E400" t="s">
        <v>109</v>
      </c>
      <c r="F400" t="s">
        <v>28</v>
      </c>
      <c r="G400" t="s">
        <v>748</v>
      </c>
      <c r="H400" t="s">
        <v>277</v>
      </c>
      <c r="I400" t="s">
        <v>153</v>
      </c>
      <c r="J400">
        <v>-1031310093</v>
      </c>
      <c r="K400" t="s">
        <v>23</v>
      </c>
      <c r="L400" t="b">
        <v>1</v>
      </c>
    </row>
    <row r="401" spans="1:12" x14ac:dyDescent="0.35">
      <c r="A401" t="s">
        <v>749</v>
      </c>
      <c r="B401" t="s">
        <v>37</v>
      </c>
      <c r="C401" t="s">
        <v>122</v>
      </c>
      <c r="D401">
        <v>25</v>
      </c>
      <c r="E401" t="s">
        <v>100</v>
      </c>
      <c r="F401" t="s">
        <v>16</v>
      </c>
      <c r="G401" s="1">
        <v>44690</v>
      </c>
      <c r="H401">
        <v>54957.98</v>
      </c>
      <c r="I401" t="s">
        <v>137</v>
      </c>
      <c r="J401">
        <v>-3181439665</v>
      </c>
      <c r="K401" t="s">
        <v>23</v>
      </c>
      <c r="L401" t="b">
        <v>1</v>
      </c>
    </row>
    <row r="402" spans="1:12" x14ac:dyDescent="0.35">
      <c r="A402" t="s">
        <v>750</v>
      </c>
      <c r="B402" t="s">
        <v>13</v>
      </c>
      <c r="C402" t="s">
        <v>43</v>
      </c>
      <c r="D402">
        <v>25</v>
      </c>
      <c r="E402" t="s">
        <v>146</v>
      </c>
      <c r="F402" t="s">
        <v>33</v>
      </c>
      <c r="G402" s="1">
        <v>44022</v>
      </c>
      <c r="H402">
        <v>76790.47</v>
      </c>
      <c r="I402" t="s">
        <v>153</v>
      </c>
      <c r="J402">
        <v>-1347323548</v>
      </c>
      <c r="K402" t="s">
        <v>23</v>
      </c>
      <c r="L402" t="b">
        <v>1</v>
      </c>
    </row>
    <row r="403" spans="1:12" x14ac:dyDescent="0.35">
      <c r="A403" t="s">
        <v>751</v>
      </c>
      <c r="B403" t="s">
        <v>54</v>
      </c>
      <c r="C403" t="s">
        <v>20</v>
      </c>
      <c r="D403">
        <v>30</v>
      </c>
      <c r="E403" t="s">
        <v>95</v>
      </c>
      <c r="F403" t="s">
        <v>28</v>
      </c>
      <c r="G403" t="s">
        <v>752</v>
      </c>
      <c r="H403">
        <v>92722.35</v>
      </c>
      <c r="I403" t="s">
        <v>125</v>
      </c>
      <c r="J403">
        <v>-4012897431</v>
      </c>
      <c r="K403" t="s">
        <v>23</v>
      </c>
      <c r="L403" t="b">
        <v>0</v>
      </c>
    </row>
    <row r="404" spans="1:12" x14ac:dyDescent="0.35">
      <c r="A404" t="s">
        <v>753</v>
      </c>
      <c r="B404" t="s">
        <v>37</v>
      </c>
      <c r="C404" t="s">
        <v>38</v>
      </c>
      <c r="D404">
        <v>30</v>
      </c>
      <c r="E404" t="s">
        <v>329</v>
      </c>
      <c r="F404" t="s">
        <v>16</v>
      </c>
      <c r="G404" t="s">
        <v>754</v>
      </c>
      <c r="H404">
        <v>93125.32</v>
      </c>
      <c r="I404" t="s">
        <v>40</v>
      </c>
      <c r="J404">
        <v>-5122572075</v>
      </c>
      <c r="K404" t="s">
        <v>18</v>
      </c>
      <c r="L404" t="b">
        <v>0</v>
      </c>
    </row>
    <row r="405" spans="1:12" x14ac:dyDescent="0.35">
      <c r="A405" t="s">
        <v>755</v>
      </c>
      <c r="B405" t="s">
        <v>59</v>
      </c>
      <c r="C405" t="s">
        <v>122</v>
      </c>
      <c r="D405">
        <v>25</v>
      </c>
      <c r="E405" t="s">
        <v>60</v>
      </c>
      <c r="F405" t="s">
        <v>16</v>
      </c>
      <c r="G405" t="s">
        <v>756</v>
      </c>
      <c r="H405">
        <v>101100.64</v>
      </c>
      <c r="I405" t="s">
        <v>341</v>
      </c>
      <c r="J405">
        <v>-5024120956</v>
      </c>
      <c r="K405" t="s">
        <v>18</v>
      </c>
      <c r="L405" t="b">
        <v>0</v>
      </c>
    </row>
    <row r="406" spans="1:12" x14ac:dyDescent="0.35">
      <c r="A406" t="s">
        <v>757</v>
      </c>
      <c r="B406" t="s">
        <v>69</v>
      </c>
      <c r="C406" t="s">
        <v>43</v>
      </c>
      <c r="D406">
        <v>35</v>
      </c>
      <c r="E406" t="s">
        <v>196</v>
      </c>
      <c r="F406" t="s">
        <v>33</v>
      </c>
      <c r="G406" t="s">
        <v>758</v>
      </c>
      <c r="H406">
        <v>55897.41</v>
      </c>
      <c r="I406" t="s">
        <v>83</v>
      </c>
      <c r="J406">
        <v>-9073710093</v>
      </c>
      <c r="K406" t="s">
        <v>41</v>
      </c>
      <c r="L406" t="b">
        <v>0</v>
      </c>
    </row>
    <row r="407" spans="1:12" x14ac:dyDescent="0.35">
      <c r="A407" t="s">
        <v>759</v>
      </c>
      <c r="B407" t="s">
        <v>32</v>
      </c>
      <c r="C407" t="s">
        <v>20</v>
      </c>
      <c r="D407">
        <v>25</v>
      </c>
      <c r="E407" t="s">
        <v>15</v>
      </c>
      <c r="F407" t="s">
        <v>16</v>
      </c>
      <c r="G407" t="s">
        <v>203</v>
      </c>
      <c r="H407">
        <v>92484.88</v>
      </c>
      <c r="I407" t="s">
        <v>155</v>
      </c>
      <c r="J407">
        <v>-3882211456</v>
      </c>
      <c r="K407" t="s">
        <v>30</v>
      </c>
      <c r="L407" t="b">
        <v>1</v>
      </c>
    </row>
    <row r="408" spans="1:12" x14ac:dyDescent="0.35">
      <c r="A408" t="s">
        <v>760</v>
      </c>
      <c r="B408" t="s">
        <v>69</v>
      </c>
      <c r="C408" t="s">
        <v>92</v>
      </c>
      <c r="D408">
        <v>35</v>
      </c>
      <c r="E408" t="s">
        <v>237</v>
      </c>
      <c r="F408" t="s">
        <v>16</v>
      </c>
      <c r="G408" s="1">
        <v>44844</v>
      </c>
      <c r="H408">
        <v>77011.990000000005</v>
      </c>
      <c r="I408" t="s">
        <v>168</v>
      </c>
      <c r="J408">
        <v>-7584745704</v>
      </c>
      <c r="K408" t="s">
        <v>18</v>
      </c>
      <c r="L408" t="b">
        <v>1</v>
      </c>
    </row>
    <row r="409" spans="1:12" x14ac:dyDescent="0.35">
      <c r="A409" t="s">
        <v>761</v>
      </c>
      <c r="B409" t="s">
        <v>13</v>
      </c>
      <c r="C409" t="s">
        <v>43</v>
      </c>
      <c r="E409" t="s">
        <v>268</v>
      </c>
      <c r="F409" t="s">
        <v>33</v>
      </c>
      <c r="G409" t="s">
        <v>602</v>
      </c>
      <c r="H409">
        <v>77078.679999999993</v>
      </c>
      <c r="I409" t="s">
        <v>153</v>
      </c>
      <c r="J409">
        <v>-4589714801</v>
      </c>
      <c r="K409" t="s">
        <v>18</v>
      </c>
      <c r="L409" t="b">
        <v>1</v>
      </c>
    </row>
    <row r="410" spans="1:12" x14ac:dyDescent="0.35">
      <c r="A410" t="s">
        <v>762</v>
      </c>
      <c r="B410" t="s">
        <v>69</v>
      </c>
      <c r="C410" t="s">
        <v>20</v>
      </c>
      <c r="D410">
        <v>35</v>
      </c>
      <c r="E410" t="s">
        <v>219</v>
      </c>
      <c r="F410" t="s">
        <v>16</v>
      </c>
      <c r="G410" s="1">
        <v>45600</v>
      </c>
      <c r="H410">
        <v>82971.02</v>
      </c>
      <c r="I410" t="s">
        <v>201</v>
      </c>
      <c r="J410">
        <v>-6325703964</v>
      </c>
      <c r="K410" t="s">
        <v>30</v>
      </c>
      <c r="L410" t="b">
        <v>0</v>
      </c>
    </row>
    <row r="411" spans="1:12" x14ac:dyDescent="0.35">
      <c r="A411" t="s">
        <v>763</v>
      </c>
      <c r="B411" t="s">
        <v>13</v>
      </c>
      <c r="C411" t="s">
        <v>92</v>
      </c>
      <c r="D411">
        <v>25</v>
      </c>
      <c r="E411" t="s">
        <v>44</v>
      </c>
      <c r="F411" t="s">
        <v>16</v>
      </c>
      <c r="G411" t="s">
        <v>157</v>
      </c>
      <c r="H411">
        <v>65102.01</v>
      </c>
      <c r="I411" t="s">
        <v>93</v>
      </c>
      <c r="J411">
        <v>-3136148781</v>
      </c>
      <c r="K411" t="s">
        <v>18</v>
      </c>
      <c r="L411" t="b">
        <v>1</v>
      </c>
    </row>
    <row r="412" spans="1:12" x14ac:dyDescent="0.35">
      <c r="A412" t="s">
        <v>764</v>
      </c>
      <c r="B412" t="s">
        <v>69</v>
      </c>
      <c r="C412" t="s">
        <v>38</v>
      </c>
      <c r="E412" t="s">
        <v>149</v>
      </c>
      <c r="F412" t="s">
        <v>28</v>
      </c>
      <c r="G412" t="s">
        <v>765</v>
      </c>
      <c r="H412">
        <v>103697.7</v>
      </c>
      <c r="I412" t="s">
        <v>71</v>
      </c>
      <c r="J412">
        <v>-4556964429</v>
      </c>
      <c r="K412" t="s">
        <v>23</v>
      </c>
      <c r="L412" t="b">
        <v>1</v>
      </c>
    </row>
    <row r="413" spans="1:12" x14ac:dyDescent="0.35">
      <c r="A413" t="s">
        <v>766</v>
      </c>
      <c r="B413" t="s">
        <v>69</v>
      </c>
      <c r="C413" t="s">
        <v>43</v>
      </c>
      <c r="D413">
        <v>25</v>
      </c>
      <c r="E413" t="s">
        <v>78</v>
      </c>
      <c r="F413" t="s">
        <v>28</v>
      </c>
      <c r="G413" t="s">
        <v>727</v>
      </c>
      <c r="H413">
        <v>60687.63</v>
      </c>
      <c r="I413" t="s">
        <v>83</v>
      </c>
      <c r="J413">
        <v>-9859167953</v>
      </c>
      <c r="K413" t="s">
        <v>23</v>
      </c>
      <c r="L413" t="b">
        <v>0</v>
      </c>
    </row>
    <row r="414" spans="1:12" x14ac:dyDescent="0.35">
      <c r="A414" t="s">
        <v>767</v>
      </c>
      <c r="B414" t="s">
        <v>13</v>
      </c>
      <c r="C414" t="s">
        <v>92</v>
      </c>
      <c r="E414" t="s">
        <v>196</v>
      </c>
      <c r="F414" t="s">
        <v>28</v>
      </c>
      <c r="G414" t="s">
        <v>768</v>
      </c>
      <c r="H414">
        <v>77351.210000000006</v>
      </c>
      <c r="I414" t="s">
        <v>93</v>
      </c>
      <c r="J414">
        <v>-1072728497</v>
      </c>
      <c r="K414" t="s">
        <v>30</v>
      </c>
      <c r="L414" t="b">
        <v>0</v>
      </c>
    </row>
    <row r="415" spans="1:12" x14ac:dyDescent="0.35">
      <c r="A415" t="s">
        <v>769</v>
      </c>
      <c r="B415" t="s">
        <v>13</v>
      </c>
      <c r="C415" t="s">
        <v>122</v>
      </c>
      <c r="D415">
        <v>35</v>
      </c>
      <c r="E415" t="s">
        <v>230</v>
      </c>
      <c r="F415" t="s">
        <v>28</v>
      </c>
      <c r="G415" t="s">
        <v>770</v>
      </c>
      <c r="H415">
        <v>66704.62</v>
      </c>
      <c r="I415" t="s">
        <v>123</v>
      </c>
      <c r="J415">
        <v>-2474140702</v>
      </c>
      <c r="K415" t="s">
        <v>41</v>
      </c>
      <c r="L415" t="b">
        <v>1</v>
      </c>
    </row>
    <row r="416" spans="1:12" x14ac:dyDescent="0.35">
      <c r="A416" t="s">
        <v>771</v>
      </c>
      <c r="B416" t="s">
        <v>69</v>
      </c>
      <c r="C416" t="s">
        <v>38</v>
      </c>
      <c r="D416">
        <v>25</v>
      </c>
      <c r="E416" t="s">
        <v>265</v>
      </c>
      <c r="F416" t="s">
        <v>28</v>
      </c>
      <c r="G416" t="s">
        <v>772</v>
      </c>
      <c r="H416">
        <v>71650.3</v>
      </c>
      <c r="I416" t="s">
        <v>71</v>
      </c>
      <c r="J416">
        <v>-4910740649</v>
      </c>
      <c r="K416" t="s">
        <v>41</v>
      </c>
      <c r="L416" t="b">
        <v>1</v>
      </c>
    </row>
    <row r="417" spans="1:12" x14ac:dyDescent="0.35">
      <c r="A417" t="s">
        <v>773</v>
      </c>
      <c r="B417" t="s">
        <v>54</v>
      </c>
      <c r="C417" t="s">
        <v>122</v>
      </c>
      <c r="D417">
        <v>25</v>
      </c>
      <c r="E417" t="s">
        <v>85</v>
      </c>
      <c r="F417" t="s">
        <v>16</v>
      </c>
      <c r="G417" s="1">
        <v>45119</v>
      </c>
      <c r="H417">
        <v>50794.54</v>
      </c>
      <c r="I417" t="s">
        <v>194</v>
      </c>
      <c r="J417">
        <v>-425488213</v>
      </c>
      <c r="K417" t="s">
        <v>30</v>
      </c>
      <c r="L417" t="b">
        <v>1</v>
      </c>
    </row>
    <row r="418" spans="1:12" x14ac:dyDescent="0.35">
      <c r="A418" t="s">
        <v>774</v>
      </c>
      <c r="B418" t="s">
        <v>37</v>
      </c>
      <c r="C418" t="s">
        <v>26</v>
      </c>
      <c r="E418" t="s">
        <v>219</v>
      </c>
      <c r="F418" t="s">
        <v>33</v>
      </c>
      <c r="G418" s="1">
        <v>44024</v>
      </c>
      <c r="H418">
        <v>76030.86</v>
      </c>
      <c r="I418" t="s">
        <v>47</v>
      </c>
      <c r="J418">
        <v>-2369143074</v>
      </c>
      <c r="K418" t="s">
        <v>30</v>
      </c>
      <c r="L418" t="b">
        <v>1</v>
      </c>
    </row>
    <row r="419" spans="1:12" x14ac:dyDescent="0.35">
      <c r="A419" t="s">
        <v>775</v>
      </c>
      <c r="B419" t="s">
        <v>32</v>
      </c>
      <c r="C419" t="s">
        <v>55</v>
      </c>
      <c r="D419">
        <v>25</v>
      </c>
      <c r="E419" t="s">
        <v>268</v>
      </c>
      <c r="F419" t="s">
        <v>33</v>
      </c>
      <c r="G419" s="1">
        <v>44507</v>
      </c>
      <c r="H419">
        <v>86669.79</v>
      </c>
      <c r="I419" t="s">
        <v>323</v>
      </c>
      <c r="J419">
        <v>-3666144941</v>
      </c>
      <c r="K419" t="s">
        <v>23</v>
      </c>
      <c r="L419" t="b">
        <v>1</v>
      </c>
    </row>
    <row r="420" spans="1:12" x14ac:dyDescent="0.35">
      <c r="A420" t="s">
        <v>776</v>
      </c>
      <c r="B420" t="s">
        <v>13</v>
      </c>
      <c r="C420" t="s">
        <v>43</v>
      </c>
      <c r="D420">
        <v>40</v>
      </c>
      <c r="E420" t="s">
        <v>265</v>
      </c>
      <c r="F420" t="s">
        <v>33</v>
      </c>
      <c r="G420" t="s">
        <v>777</v>
      </c>
      <c r="H420">
        <v>84972.7</v>
      </c>
      <c r="I420" t="s">
        <v>153</v>
      </c>
      <c r="J420">
        <v>-9659234267</v>
      </c>
      <c r="K420" t="s">
        <v>41</v>
      </c>
      <c r="L420" t="b">
        <v>1</v>
      </c>
    </row>
    <row r="421" spans="1:12" x14ac:dyDescent="0.35">
      <c r="A421" t="s">
        <v>778</v>
      </c>
      <c r="B421" t="s">
        <v>37</v>
      </c>
      <c r="C421" t="s">
        <v>92</v>
      </c>
      <c r="D421">
        <v>30</v>
      </c>
      <c r="E421" t="s">
        <v>139</v>
      </c>
      <c r="F421" t="s">
        <v>28</v>
      </c>
      <c r="G421" s="1">
        <v>45270</v>
      </c>
      <c r="H421">
        <v>100594.49</v>
      </c>
      <c r="I421" t="s">
        <v>110</v>
      </c>
      <c r="J421">
        <v>-3441497825</v>
      </c>
      <c r="K421" t="s">
        <v>18</v>
      </c>
      <c r="L421" t="b">
        <v>0</v>
      </c>
    </row>
    <row r="422" spans="1:12" x14ac:dyDescent="0.35">
      <c r="A422" t="s">
        <v>779</v>
      </c>
      <c r="B422" t="s">
        <v>25</v>
      </c>
      <c r="C422" t="s">
        <v>55</v>
      </c>
      <c r="D422">
        <v>25</v>
      </c>
      <c r="E422" t="s">
        <v>60</v>
      </c>
      <c r="F422" t="s">
        <v>16</v>
      </c>
      <c r="G422" t="s">
        <v>780</v>
      </c>
      <c r="H422">
        <v>75478.350000000006</v>
      </c>
      <c r="I422" t="s">
        <v>150</v>
      </c>
      <c r="J422">
        <v>-6128758574</v>
      </c>
      <c r="K422" t="s">
        <v>23</v>
      </c>
      <c r="L422" t="b">
        <v>0</v>
      </c>
    </row>
    <row r="423" spans="1:12" x14ac:dyDescent="0.35">
      <c r="A423" t="s">
        <v>781</v>
      </c>
      <c r="B423" t="s">
        <v>54</v>
      </c>
      <c r="C423" t="s">
        <v>55</v>
      </c>
      <c r="D423">
        <v>25</v>
      </c>
      <c r="E423" t="s">
        <v>219</v>
      </c>
      <c r="F423" t="s">
        <v>28</v>
      </c>
      <c r="G423" s="1">
        <v>45025</v>
      </c>
      <c r="H423">
        <v>79355.850000000006</v>
      </c>
      <c r="I423" t="s">
        <v>57</v>
      </c>
      <c r="J423">
        <v>-6766708060</v>
      </c>
      <c r="K423" t="s">
        <v>30</v>
      </c>
      <c r="L423" t="b">
        <v>0</v>
      </c>
    </row>
    <row r="424" spans="1:12" x14ac:dyDescent="0.35">
      <c r="A424" t="s">
        <v>782</v>
      </c>
      <c r="B424" t="s">
        <v>69</v>
      </c>
      <c r="C424" t="s">
        <v>92</v>
      </c>
      <c r="D424">
        <v>35</v>
      </c>
      <c r="E424" t="s">
        <v>139</v>
      </c>
      <c r="F424" t="s">
        <v>28</v>
      </c>
      <c r="G424" s="1">
        <v>44594</v>
      </c>
      <c r="H424">
        <v>58358.07</v>
      </c>
      <c r="I424" t="s">
        <v>168</v>
      </c>
      <c r="J424">
        <v>-2943985297</v>
      </c>
      <c r="K424" t="s">
        <v>41</v>
      </c>
      <c r="L424" t="b">
        <v>1</v>
      </c>
    </row>
    <row r="425" spans="1:12" x14ac:dyDescent="0.35">
      <c r="A425" t="s">
        <v>783</v>
      </c>
      <c r="B425" t="s">
        <v>25</v>
      </c>
      <c r="C425" t="s">
        <v>38</v>
      </c>
      <c r="D425">
        <v>30</v>
      </c>
      <c r="E425" t="s">
        <v>89</v>
      </c>
      <c r="F425" t="s">
        <v>16</v>
      </c>
      <c r="G425" s="1">
        <v>44565</v>
      </c>
      <c r="H425">
        <v>54824.85</v>
      </c>
      <c r="I425" t="s">
        <v>363</v>
      </c>
      <c r="J425">
        <v>-9406260786</v>
      </c>
      <c r="K425" t="s">
        <v>18</v>
      </c>
      <c r="L425" t="b">
        <v>0</v>
      </c>
    </row>
    <row r="426" spans="1:12" x14ac:dyDescent="0.35">
      <c r="A426" t="s">
        <v>784</v>
      </c>
      <c r="B426" t="s">
        <v>32</v>
      </c>
      <c r="C426" t="s">
        <v>43</v>
      </c>
      <c r="D426">
        <v>35</v>
      </c>
      <c r="E426" t="s">
        <v>139</v>
      </c>
      <c r="F426" t="s">
        <v>28</v>
      </c>
      <c r="G426" t="s">
        <v>331</v>
      </c>
      <c r="H426">
        <v>50557.84</v>
      </c>
      <c r="I426" t="s">
        <v>297</v>
      </c>
      <c r="J426">
        <v>-104159148</v>
      </c>
      <c r="K426" t="s">
        <v>18</v>
      </c>
      <c r="L426" t="b">
        <v>1</v>
      </c>
    </row>
    <row r="427" spans="1:12" x14ac:dyDescent="0.35">
      <c r="A427" t="s">
        <v>785</v>
      </c>
      <c r="B427" t="s">
        <v>32</v>
      </c>
      <c r="C427" t="s">
        <v>26</v>
      </c>
      <c r="E427" t="s">
        <v>205</v>
      </c>
      <c r="F427" t="s">
        <v>33</v>
      </c>
      <c r="G427" t="s">
        <v>786</v>
      </c>
      <c r="H427">
        <v>118030.04</v>
      </c>
      <c r="I427" t="s">
        <v>278</v>
      </c>
      <c r="J427">
        <v>-7501980381</v>
      </c>
      <c r="K427" t="s">
        <v>23</v>
      </c>
      <c r="L427" t="b">
        <v>1</v>
      </c>
    </row>
    <row r="428" spans="1:12" x14ac:dyDescent="0.35">
      <c r="A428" t="s">
        <v>787</v>
      </c>
      <c r="B428" t="s">
        <v>59</v>
      </c>
      <c r="C428" t="s">
        <v>122</v>
      </c>
      <c r="E428" t="s">
        <v>196</v>
      </c>
      <c r="F428" t="s">
        <v>16</v>
      </c>
      <c r="G428" t="s">
        <v>788</v>
      </c>
      <c r="H428">
        <v>51673.72</v>
      </c>
      <c r="I428" t="s">
        <v>341</v>
      </c>
      <c r="J428">
        <v>-8723244078</v>
      </c>
      <c r="K428" t="s">
        <v>41</v>
      </c>
      <c r="L428" t="b">
        <v>0</v>
      </c>
    </row>
    <row r="429" spans="1:12" x14ac:dyDescent="0.35">
      <c r="A429" t="s">
        <v>789</v>
      </c>
      <c r="B429" t="s">
        <v>25</v>
      </c>
      <c r="C429" t="s">
        <v>20</v>
      </c>
      <c r="D429">
        <v>35</v>
      </c>
      <c r="E429" t="s">
        <v>85</v>
      </c>
      <c r="F429" t="s">
        <v>33</v>
      </c>
      <c r="G429" s="1">
        <v>45392</v>
      </c>
      <c r="H429">
        <v>101665.79</v>
      </c>
      <c r="I429" t="s">
        <v>80</v>
      </c>
      <c r="J429">
        <v>-3110291812</v>
      </c>
      <c r="K429" t="s">
        <v>41</v>
      </c>
      <c r="L429" t="b">
        <v>1</v>
      </c>
    </row>
    <row r="430" spans="1:12" x14ac:dyDescent="0.35">
      <c r="A430" t="s">
        <v>790</v>
      </c>
      <c r="B430" t="s">
        <v>59</v>
      </c>
      <c r="C430" t="s">
        <v>122</v>
      </c>
      <c r="E430" t="s">
        <v>205</v>
      </c>
      <c r="F430" t="s">
        <v>33</v>
      </c>
      <c r="G430" s="1">
        <v>43866</v>
      </c>
      <c r="H430">
        <v>118079.15</v>
      </c>
      <c r="I430" t="s">
        <v>341</v>
      </c>
      <c r="J430">
        <v>-3170876013</v>
      </c>
      <c r="K430" t="s">
        <v>30</v>
      </c>
      <c r="L430" t="b">
        <v>1</v>
      </c>
    </row>
    <row r="431" spans="1:12" x14ac:dyDescent="0.35">
      <c r="A431" t="s">
        <v>791</v>
      </c>
      <c r="B431" t="s">
        <v>32</v>
      </c>
      <c r="C431" t="s">
        <v>20</v>
      </c>
      <c r="D431">
        <v>25</v>
      </c>
      <c r="E431" t="s">
        <v>60</v>
      </c>
      <c r="F431" t="s">
        <v>28</v>
      </c>
      <c r="G431" t="s">
        <v>557</v>
      </c>
      <c r="H431">
        <v>99059.28</v>
      </c>
      <c r="I431" t="s">
        <v>155</v>
      </c>
      <c r="J431">
        <v>-6723849790</v>
      </c>
      <c r="K431" t="s">
        <v>41</v>
      </c>
      <c r="L431" t="b">
        <v>0</v>
      </c>
    </row>
    <row r="432" spans="1:12" x14ac:dyDescent="0.35">
      <c r="A432" t="s">
        <v>792</v>
      </c>
      <c r="B432" t="s">
        <v>13</v>
      </c>
      <c r="C432" t="s">
        <v>122</v>
      </c>
      <c r="E432" t="s">
        <v>95</v>
      </c>
      <c r="F432" t="s">
        <v>16</v>
      </c>
      <c r="G432" t="s">
        <v>793</v>
      </c>
      <c r="H432">
        <v>107397.4</v>
      </c>
      <c r="I432" t="s">
        <v>123</v>
      </c>
      <c r="J432">
        <v>-6202232882</v>
      </c>
      <c r="K432" t="s">
        <v>41</v>
      </c>
      <c r="L432" t="b">
        <v>0</v>
      </c>
    </row>
    <row r="433" spans="1:12" x14ac:dyDescent="0.35">
      <c r="A433" t="s">
        <v>794</v>
      </c>
      <c r="B433" t="s">
        <v>25</v>
      </c>
      <c r="C433" t="s">
        <v>92</v>
      </c>
      <c r="D433">
        <v>40</v>
      </c>
      <c r="E433" t="s">
        <v>56</v>
      </c>
      <c r="F433" t="s">
        <v>16</v>
      </c>
      <c r="G433" t="s">
        <v>795</v>
      </c>
      <c r="H433">
        <v>68269.37</v>
      </c>
      <c r="I433" t="s">
        <v>166</v>
      </c>
      <c r="J433">
        <v>-7744197545</v>
      </c>
      <c r="K433" t="s">
        <v>23</v>
      </c>
      <c r="L433" t="b">
        <v>0</v>
      </c>
    </row>
    <row r="434" spans="1:12" x14ac:dyDescent="0.35">
      <c r="A434" t="s">
        <v>796</v>
      </c>
      <c r="B434" t="s">
        <v>69</v>
      </c>
      <c r="C434" t="s">
        <v>26</v>
      </c>
      <c r="D434">
        <v>35</v>
      </c>
      <c r="E434" t="s">
        <v>212</v>
      </c>
      <c r="F434" t="s">
        <v>33</v>
      </c>
      <c r="G434" t="s">
        <v>797</v>
      </c>
      <c r="H434">
        <v>55228.12</v>
      </c>
      <c r="I434" t="s">
        <v>76</v>
      </c>
      <c r="J434">
        <v>-6176620470</v>
      </c>
      <c r="K434" t="s">
        <v>41</v>
      </c>
      <c r="L434" t="b">
        <v>1</v>
      </c>
    </row>
    <row r="435" spans="1:12" x14ac:dyDescent="0.35">
      <c r="A435" t="s">
        <v>798</v>
      </c>
      <c r="B435" t="s">
        <v>13</v>
      </c>
      <c r="C435" t="s">
        <v>43</v>
      </c>
      <c r="D435">
        <v>30</v>
      </c>
      <c r="E435" t="s">
        <v>60</v>
      </c>
      <c r="F435" t="s">
        <v>33</v>
      </c>
      <c r="G435" s="1">
        <v>44903</v>
      </c>
      <c r="H435">
        <v>71982.33</v>
      </c>
      <c r="I435" t="s">
        <v>153</v>
      </c>
      <c r="J435">
        <v>-9609409704</v>
      </c>
      <c r="K435" t="s">
        <v>18</v>
      </c>
      <c r="L435" t="b">
        <v>0</v>
      </c>
    </row>
    <row r="436" spans="1:12" x14ac:dyDescent="0.35">
      <c r="A436" t="s">
        <v>799</v>
      </c>
      <c r="B436" t="s">
        <v>37</v>
      </c>
      <c r="C436" t="s">
        <v>20</v>
      </c>
      <c r="D436">
        <v>30</v>
      </c>
      <c r="E436" t="s">
        <v>70</v>
      </c>
      <c r="F436" t="s">
        <v>33</v>
      </c>
      <c r="G436" t="s">
        <v>800</v>
      </c>
      <c r="H436">
        <v>109673.75</v>
      </c>
      <c r="I436" t="s">
        <v>239</v>
      </c>
      <c r="J436">
        <v>-2774025882</v>
      </c>
      <c r="K436" t="s">
        <v>23</v>
      </c>
      <c r="L436" t="b">
        <v>0</v>
      </c>
    </row>
    <row r="437" spans="1:12" x14ac:dyDescent="0.35">
      <c r="A437" t="s">
        <v>801</v>
      </c>
      <c r="B437" t="s">
        <v>32</v>
      </c>
      <c r="C437" t="s">
        <v>43</v>
      </c>
      <c r="E437" t="s">
        <v>60</v>
      </c>
      <c r="F437" t="s">
        <v>33</v>
      </c>
      <c r="G437" t="s">
        <v>802</v>
      </c>
      <c r="H437">
        <v>56384.9</v>
      </c>
      <c r="I437" t="s">
        <v>297</v>
      </c>
      <c r="J437">
        <v>-5868122594</v>
      </c>
      <c r="K437" t="s">
        <v>23</v>
      </c>
      <c r="L437" t="b">
        <v>1</v>
      </c>
    </row>
    <row r="438" spans="1:12" x14ac:dyDescent="0.35">
      <c r="A438" t="s">
        <v>803</v>
      </c>
      <c r="B438" t="s">
        <v>37</v>
      </c>
      <c r="C438" t="s">
        <v>43</v>
      </c>
      <c r="D438">
        <v>40</v>
      </c>
      <c r="E438" t="s">
        <v>44</v>
      </c>
      <c r="F438" t="s">
        <v>28</v>
      </c>
      <c r="G438" s="1">
        <v>44295</v>
      </c>
      <c r="H438">
        <v>68211.679999999993</v>
      </c>
      <c r="I438" t="s">
        <v>180</v>
      </c>
      <c r="J438">
        <v>-7244617678</v>
      </c>
      <c r="K438" t="s">
        <v>30</v>
      </c>
      <c r="L438" t="b">
        <v>0</v>
      </c>
    </row>
    <row r="439" spans="1:12" x14ac:dyDescent="0.35">
      <c r="A439" t="s">
        <v>804</v>
      </c>
      <c r="B439" t="s">
        <v>25</v>
      </c>
      <c r="C439" t="s">
        <v>43</v>
      </c>
      <c r="D439">
        <v>40</v>
      </c>
      <c r="E439" t="s">
        <v>265</v>
      </c>
      <c r="F439" t="s">
        <v>28</v>
      </c>
      <c r="G439" t="s">
        <v>805</v>
      </c>
      <c r="H439">
        <v>67489.679999999993</v>
      </c>
      <c r="I439" t="s">
        <v>45</v>
      </c>
      <c r="J439">
        <v>-2988425994</v>
      </c>
      <c r="K439" t="s">
        <v>41</v>
      </c>
      <c r="L439" t="b">
        <v>0</v>
      </c>
    </row>
    <row r="440" spans="1:12" x14ac:dyDescent="0.35">
      <c r="A440" t="s">
        <v>806</v>
      </c>
      <c r="B440" t="s">
        <v>54</v>
      </c>
      <c r="C440" t="s">
        <v>14</v>
      </c>
      <c r="D440">
        <v>25</v>
      </c>
      <c r="E440" t="s">
        <v>159</v>
      </c>
      <c r="F440" t="s">
        <v>16</v>
      </c>
      <c r="G440" t="s">
        <v>807</v>
      </c>
      <c r="H440">
        <v>63869.31</v>
      </c>
      <c r="I440" t="s">
        <v>170</v>
      </c>
      <c r="J440">
        <v>-9961002310</v>
      </c>
      <c r="K440" t="s">
        <v>30</v>
      </c>
      <c r="L440" t="b">
        <v>0</v>
      </c>
    </row>
    <row r="441" spans="1:12" x14ac:dyDescent="0.35">
      <c r="A441" t="s">
        <v>808</v>
      </c>
      <c r="B441" t="s">
        <v>13</v>
      </c>
      <c r="C441" t="s">
        <v>38</v>
      </c>
      <c r="E441" t="s">
        <v>177</v>
      </c>
      <c r="F441" t="s">
        <v>16</v>
      </c>
      <c r="G441" t="s">
        <v>347</v>
      </c>
      <c r="H441">
        <v>119801.3</v>
      </c>
      <c r="I441" t="s">
        <v>144</v>
      </c>
      <c r="J441">
        <v>-7753312660</v>
      </c>
      <c r="K441" t="s">
        <v>18</v>
      </c>
      <c r="L441" t="b">
        <v>1</v>
      </c>
    </row>
    <row r="442" spans="1:12" x14ac:dyDescent="0.35">
      <c r="A442" t="s">
        <v>809</v>
      </c>
      <c r="B442" t="s">
        <v>65</v>
      </c>
      <c r="C442" t="s">
        <v>122</v>
      </c>
      <c r="D442">
        <v>30</v>
      </c>
      <c r="E442" t="s">
        <v>268</v>
      </c>
      <c r="F442" t="s">
        <v>16</v>
      </c>
      <c r="G442" t="s">
        <v>810</v>
      </c>
      <c r="H442">
        <v>115959.65</v>
      </c>
      <c r="I442" t="s">
        <v>367</v>
      </c>
      <c r="J442">
        <v>-941017589</v>
      </c>
      <c r="K442" t="s">
        <v>23</v>
      </c>
      <c r="L442" t="b">
        <v>1</v>
      </c>
    </row>
    <row r="443" spans="1:12" x14ac:dyDescent="0.35">
      <c r="A443" t="s">
        <v>811</v>
      </c>
      <c r="B443" t="s">
        <v>69</v>
      </c>
      <c r="C443" t="s">
        <v>43</v>
      </c>
      <c r="D443">
        <v>40</v>
      </c>
      <c r="E443" t="s">
        <v>21</v>
      </c>
      <c r="F443" t="s">
        <v>33</v>
      </c>
      <c r="G443" t="s">
        <v>812</v>
      </c>
      <c r="H443">
        <v>79866.48</v>
      </c>
      <c r="I443" t="s">
        <v>83</v>
      </c>
      <c r="J443">
        <v>-2517629832</v>
      </c>
      <c r="K443" t="s">
        <v>23</v>
      </c>
      <c r="L443" t="b">
        <v>1</v>
      </c>
    </row>
    <row r="444" spans="1:12" x14ac:dyDescent="0.35">
      <c r="A444" t="s">
        <v>813</v>
      </c>
      <c r="B444" t="s">
        <v>54</v>
      </c>
      <c r="C444" t="s">
        <v>122</v>
      </c>
      <c r="D444">
        <v>35</v>
      </c>
      <c r="E444" t="s">
        <v>212</v>
      </c>
      <c r="F444" t="s">
        <v>16</v>
      </c>
      <c r="G444" s="1">
        <v>44138</v>
      </c>
      <c r="H444">
        <v>92987.46</v>
      </c>
      <c r="I444" t="s">
        <v>194</v>
      </c>
      <c r="J444">
        <v>-4774332682</v>
      </c>
      <c r="K444" t="s">
        <v>23</v>
      </c>
      <c r="L444" t="b">
        <v>1</v>
      </c>
    </row>
    <row r="445" spans="1:12" x14ac:dyDescent="0.35">
      <c r="A445" t="s">
        <v>814</v>
      </c>
      <c r="B445" t="s">
        <v>32</v>
      </c>
      <c r="C445" t="s">
        <v>43</v>
      </c>
      <c r="D445">
        <v>40</v>
      </c>
      <c r="E445" t="s">
        <v>265</v>
      </c>
      <c r="F445" t="s">
        <v>33</v>
      </c>
      <c r="G445" s="1">
        <v>43926</v>
      </c>
      <c r="H445">
        <v>56140.51</v>
      </c>
      <c r="I445" t="s">
        <v>297</v>
      </c>
      <c r="J445">
        <v>-1901302055</v>
      </c>
      <c r="K445" t="s">
        <v>18</v>
      </c>
      <c r="L445" t="b">
        <v>0</v>
      </c>
    </row>
    <row r="446" spans="1:12" x14ac:dyDescent="0.35">
      <c r="A446" t="s">
        <v>815</v>
      </c>
      <c r="B446" t="s">
        <v>69</v>
      </c>
      <c r="C446" t="s">
        <v>20</v>
      </c>
      <c r="D446">
        <v>30</v>
      </c>
      <c r="E446" t="s">
        <v>78</v>
      </c>
      <c r="F446" t="s">
        <v>16</v>
      </c>
      <c r="G446" t="s">
        <v>816</v>
      </c>
      <c r="H446">
        <v>119586.11</v>
      </c>
      <c r="I446" t="s">
        <v>201</v>
      </c>
      <c r="J446">
        <v>-9815287338</v>
      </c>
      <c r="K446" t="s">
        <v>18</v>
      </c>
      <c r="L446" t="b">
        <v>1</v>
      </c>
    </row>
    <row r="447" spans="1:12" x14ac:dyDescent="0.35">
      <c r="A447" t="s">
        <v>817</v>
      </c>
      <c r="B447" t="s">
        <v>25</v>
      </c>
      <c r="C447" t="s">
        <v>38</v>
      </c>
      <c r="D447">
        <v>40</v>
      </c>
      <c r="E447" t="s">
        <v>15</v>
      </c>
      <c r="F447" t="s">
        <v>33</v>
      </c>
      <c r="G447" t="s">
        <v>373</v>
      </c>
      <c r="H447">
        <v>104700.46</v>
      </c>
      <c r="I447" t="s">
        <v>363</v>
      </c>
      <c r="J447">
        <v>-7855982175</v>
      </c>
      <c r="K447" t="s">
        <v>30</v>
      </c>
      <c r="L447" t="b">
        <v>1</v>
      </c>
    </row>
    <row r="448" spans="1:12" x14ac:dyDescent="0.35">
      <c r="A448" t="s">
        <v>818</v>
      </c>
      <c r="B448" t="s">
        <v>37</v>
      </c>
      <c r="C448" t="s">
        <v>38</v>
      </c>
      <c r="D448">
        <v>40</v>
      </c>
      <c r="E448" t="s">
        <v>66</v>
      </c>
      <c r="F448" t="s">
        <v>16</v>
      </c>
      <c r="G448" t="s">
        <v>684</v>
      </c>
      <c r="H448">
        <v>91798.14</v>
      </c>
      <c r="I448" t="s">
        <v>40</v>
      </c>
      <c r="J448">
        <v>-6191284116</v>
      </c>
      <c r="K448" t="s">
        <v>30</v>
      </c>
      <c r="L448" t="b">
        <v>0</v>
      </c>
    </row>
    <row r="449" spans="1:12" x14ac:dyDescent="0.35">
      <c r="A449" t="s">
        <v>819</v>
      </c>
      <c r="B449" t="s">
        <v>32</v>
      </c>
      <c r="C449" t="s">
        <v>92</v>
      </c>
      <c r="D449">
        <v>25</v>
      </c>
      <c r="E449" t="s">
        <v>265</v>
      </c>
      <c r="F449" t="s">
        <v>33</v>
      </c>
      <c r="G449" t="s">
        <v>820</v>
      </c>
      <c r="H449">
        <v>90879.22</v>
      </c>
      <c r="I449" t="s">
        <v>263</v>
      </c>
      <c r="J449">
        <v>-3098503445</v>
      </c>
      <c r="K449" t="s">
        <v>30</v>
      </c>
      <c r="L449" t="b">
        <v>0</v>
      </c>
    </row>
    <row r="450" spans="1:12" x14ac:dyDescent="0.35">
      <c r="A450" t="s">
        <v>821</v>
      </c>
      <c r="B450" t="s">
        <v>54</v>
      </c>
      <c r="C450" t="s">
        <v>14</v>
      </c>
      <c r="D450">
        <v>25</v>
      </c>
      <c r="E450" t="s">
        <v>27</v>
      </c>
      <c r="F450" t="s">
        <v>16</v>
      </c>
      <c r="G450" t="s">
        <v>822</v>
      </c>
      <c r="H450">
        <v>87358.27</v>
      </c>
      <c r="I450" t="s">
        <v>170</v>
      </c>
      <c r="J450">
        <v>-5124189388</v>
      </c>
      <c r="K450" t="s">
        <v>41</v>
      </c>
      <c r="L450" t="b">
        <v>0</v>
      </c>
    </row>
    <row r="451" spans="1:12" x14ac:dyDescent="0.35">
      <c r="A451" t="s">
        <v>823</v>
      </c>
      <c r="B451" t="s">
        <v>25</v>
      </c>
      <c r="C451" t="s">
        <v>92</v>
      </c>
      <c r="D451">
        <v>30</v>
      </c>
      <c r="E451" t="s">
        <v>74</v>
      </c>
      <c r="F451" t="s">
        <v>33</v>
      </c>
      <c r="G451" t="s">
        <v>824</v>
      </c>
      <c r="H451">
        <v>119407.93</v>
      </c>
      <c r="I451" t="s">
        <v>166</v>
      </c>
      <c r="J451">
        <v>-8469081973</v>
      </c>
      <c r="K451" t="s">
        <v>23</v>
      </c>
      <c r="L451" t="b">
        <v>1</v>
      </c>
    </row>
    <row r="452" spans="1:12" x14ac:dyDescent="0.35">
      <c r="A452" t="s">
        <v>825</v>
      </c>
      <c r="B452" t="s">
        <v>59</v>
      </c>
      <c r="C452" t="s">
        <v>92</v>
      </c>
      <c r="E452" t="s">
        <v>149</v>
      </c>
      <c r="F452" t="s">
        <v>28</v>
      </c>
      <c r="G452" s="1">
        <v>44652</v>
      </c>
      <c r="H452">
        <v>113978.6</v>
      </c>
      <c r="I452" t="s">
        <v>107</v>
      </c>
      <c r="J452">
        <v>-56435022</v>
      </c>
      <c r="K452" t="s">
        <v>23</v>
      </c>
      <c r="L452" t="b">
        <v>1</v>
      </c>
    </row>
    <row r="453" spans="1:12" x14ac:dyDescent="0.35">
      <c r="A453" t="s">
        <v>826</v>
      </c>
      <c r="B453" t="s">
        <v>37</v>
      </c>
      <c r="C453" t="s">
        <v>92</v>
      </c>
      <c r="E453" t="s">
        <v>109</v>
      </c>
      <c r="F453" t="s">
        <v>28</v>
      </c>
      <c r="G453" t="s">
        <v>827</v>
      </c>
      <c r="H453">
        <v>108568.78</v>
      </c>
      <c r="I453" t="s">
        <v>110</v>
      </c>
      <c r="J453">
        <v>-8503719904</v>
      </c>
      <c r="K453" t="s">
        <v>30</v>
      </c>
      <c r="L453" t="b">
        <v>1</v>
      </c>
    </row>
    <row r="454" spans="1:12" x14ac:dyDescent="0.35">
      <c r="A454" t="s">
        <v>828</v>
      </c>
      <c r="B454" t="s">
        <v>65</v>
      </c>
      <c r="C454" t="s">
        <v>92</v>
      </c>
      <c r="E454" t="s">
        <v>66</v>
      </c>
      <c r="F454" t="s">
        <v>33</v>
      </c>
      <c r="G454" t="s">
        <v>829</v>
      </c>
      <c r="H454">
        <v>56318.02</v>
      </c>
      <c r="I454" t="s">
        <v>130</v>
      </c>
      <c r="J454">
        <v>-1699187239</v>
      </c>
      <c r="K454" t="s">
        <v>23</v>
      </c>
      <c r="L454" t="b">
        <v>0</v>
      </c>
    </row>
    <row r="455" spans="1:12" x14ac:dyDescent="0.35">
      <c r="A455" t="s">
        <v>830</v>
      </c>
      <c r="B455" t="s">
        <v>59</v>
      </c>
      <c r="C455" t="s">
        <v>92</v>
      </c>
      <c r="D455">
        <v>25</v>
      </c>
      <c r="E455" t="s">
        <v>74</v>
      </c>
      <c r="F455" t="s">
        <v>16</v>
      </c>
      <c r="G455" s="1">
        <v>44480</v>
      </c>
      <c r="H455">
        <v>114252.73</v>
      </c>
      <c r="I455" t="s">
        <v>107</v>
      </c>
      <c r="J455">
        <v>-1078356742</v>
      </c>
      <c r="K455" t="s">
        <v>30</v>
      </c>
      <c r="L455" t="b">
        <v>0</v>
      </c>
    </row>
    <row r="456" spans="1:12" x14ac:dyDescent="0.35">
      <c r="A456" t="s">
        <v>831</v>
      </c>
      <c r="B456" t="s">
        <v>54</v>
      </c>
      <c r="C456" t="s">
        <v>26</v>
      </c>
      <c r="D456">
        <v>35</v>
      </c>
      <c r="E456" t="s">
        <v>56</v>
      </c>
      <c r="F456" t="s">
        <v>33</v>
      </c>
      <c r="G456" s="1">
        <v>43835</v>
      </c>
      <c r="H456">
        <v>51533.9</v>
      </c>
      <c r="I456" t="s">
        <v>120</v>
      </c>
      <c r="J456">
        <v>-3896086</v>
      </c>
      <c r="K456" t="s">
        <v>41</v>
      </c>
      <c r="L456" t="b">
        <v>1</v>
      </c>
    </row>
    <row r="457" spans="1:12" x14ac:dyDescent="0.35">
      <c r="A457" t="s">
        <v>832</v>
      </c>
      <c r="B457" t="s">
        <v>54</v>
      </c>
      <c r="C457" t="s">
        <v>38</v>
      </c>
      <c r="D457">
        <v>25</v>
      </c>
      <c r="E457" t="s">
        <v>177</v>
      </c>
      <c r="F457" t="s">
        <v>16</v>
      </c>
      <c r="G457" s="1">
        <v>44653</v>
      </c>
      <c r="H457">
        <v>99317.66</v>
      </c>
      <c r="I457" t="s">
        <v>90</v>
      </c>
      <c r="J457">
        <v>-662668216</v>
      </c>
      <c r="K457" t="s">
        <v>41</v>
      </c>
      <c r="L457" t="b">
        <v>0</v>
      </c>
    </row>
    <row r="458" spans="1:12" x14ac:dyDescent="0.35">
      <c r="A458" t="s">
        <v>833</v>
      </c>
      <c r="B458" t="s">
        <v>13</v>
      </c>
      <c r="C458" t="s">
        <v>92</v>
      </c>
      <c r="D458">
        <v>35</v>
      </c>
      <c r="E458" t="s">
        <v>146</v>
      </c>
      <c r="F458" t="s">
        <v>16</v>
      </c>
      <c r="G458" t="s">
        <v>834</v>
      </c>
      <c r="H458">
        <v>101264.64</v>
      </c>
      <c r="I458" t="s">
        <v>93</v>
      </c>
      <c r="J458">
        <v>-1955356032</v>
      </c>
      <c r="K458" t="s">
        <v>18</v>
      </c>
      <c r="L458" t="b">
        <v>0</v>
      </c>
    </row>
    <row r="459" spans="1:12" x14ac:dyDescent="0.35">
      <c r="A459" t="s">
        <v>835</v>
      </c>
      <c r="B459" t="s">
        <v>65</v>
      </c>
      <c r="C459" t="s">
        <v>43</v>
      </c>
      <c r="D459">
        <v>35</v>
      </c>
      <c r="E459" t="s">
        <v>27</v>
      </c>
      <c r="F459" t="s">
        <v>28</v>
      </c>
      <c r="G459" t="s">
        <v>836</v>
      </c>
      <c r="H459">
        <v>112272.02</v>
      </c>
      <c r="I459" t="s">
        <v>257</v>
      </c>
      <c r="J459">
        <v>-1903689002</v>
      </c>
      <c r="K459" t="s">
        <v>41</v>
      </c>
      <c r="L459" t="b">
        <v>0</v>
      </c>
    </row>
    <row r="460" spans="1:12" x14ac:dyDescent="0.35">
      <c r="A460" t="s">
        <v>837</v>
      </c>
      <c r="B460" t="s">
        <v>37</v>
      </c>
      <c r="C460" t="s">
        <v>38</v>
      </c>
      <c r="D460">
        <v>30</v>
      </c>
      <c r="E460" t="s">
        <v>78</v>
      </c>
      <c r="F460" t="s">
        <v>16</v>
      </c>
      <c r="G460" t="s">
        <v>838</v>
      </c>
      <c r="H460">
        <v>71477.63</v>
      </c>
      <c r="I460" t="s">
        <v>40</v>
      </c>
      <c r="J460">
        <v>-102724054</v>
      </c>
      <c r="K460" t="s">
        <v>30</v>
      </c>
      <c r="L460" t="b">
        <v>1</v>
      </c>
    </row>
    <row r="461" spans="1:12" x14ac:dyDescent="0.35">
      <c r="A461" t="s">
        <v>839</v>
      </c>
      <c r="B461" t="s">
        <v>54</v>
      </c>
      <c r="C461" t="s">
        <v>38</v>
      </c>
      <c r="D461">
        <v>30</v>
      </c>
      <c r="E461" t="s">
        <v>237</v>
      </c>
      <c r="F461" t="s">
        <v>28</v>
      </c>
      <c r="G461" t="s">
        <v>840</v>
      </c>
      <c r="H461">
        <v>77412.100000000006</v>
      </c>
      <c r="I461" t="s">
        <v>90</v>
      </c>
      <c r="J461">
        <v>-9342967110</v>
      </c>
      <c r="K461" t="s">
        <v>41</v>
      </c>
      <c r="L461" t="b">
        <v>0</v>
      </c>
    </row>
    <row r="462" spans="1:12" x14ac:dyDescent="0.35">
      <c r="A462" t="s">
        <v>841</v>
      </c>
      <c r="B462" t="s">
        <v>25</v>
      </c>
      <c r="C462" t="s">
        <v>55</v>
      </c>
      <c r="D462">
        <v>30</v>
      </c>
      <c r="E462" t="s">
        <v>177</v>
      </c>
      <c r="F462" t="s">
        <v>28</v>
      </c>
      <c r="G462" t="s">
        <v>842</v>
      </c>
      <c r="H462">
        <v>94775.27</v>
      </c>
      <c r="I462" t="s">
        <v>150</v>
      </c>
      <c r="J462">
        <v>-4837537457</v>
      </c>
      <c r="K462" t="s">
        <v>18</v>
      </c>
      <c r="L462" t="b">
        <v>0</v>
      </c>
    </row>
    <row r="463" spans="1:12" x14ac:dyDescent="0.35">
      <c r="A463" t="s">
        <v>843</v>
      </c>
      <c r="B463" t="s">
        <v>65</v>
      </c>
      <c r="C463" t="s">
        <v>26</v>
      </c>
      <c r="D463">
        <v>30</v>
      </c>
      <c r="E463" t="s">
        <v>149</v>
      </c>
      <c r="F463" t="s">
        <v>16</v>
      </c>
      <c r="G463" s="1">
        <v>44232</v>
      </c>
      <c r="H463">
        <v>74276.710000000006</v>
      </c>
      <c r="I463" t="s">
        <v>320</v>
      </c>
      <c r="J463">
        <v>-4384588104</v>
      </c>
      <c r="K463" t="s">
        <v>23</v>
      </c>
      <c r="L463" t="b">
        <v>1</v>
      </c>
    </row>
    <row r="464" spans="1:12" x14ac:dyDescent="0.35">
      <c r="A464" t="s">
        <v>844</v>
      </c>
      <c r="B464" t="s">
        <v>13</v>
      </c>
      <c r="C464" t="s">
        <v>92</v>
      </c>
      <c r="D464">
        <v>35</v>
      </c>
      <c r="E464" t="s">
        <v>21</v>
      </c>
      <c r="F464" t="s">
        <v>33</v>
      </c>
      <c r="G464" s="1">
        <v>44319</v>
      </c>
      <c r="H464">
        <v>67467.86</v>
      </c>
      <c r="I464" t="s">
        <v>93</v>
      </c>
      <c r="J464">
        <v>-6974132833</v>
      </c>
      <c r="K464" t="s">
        <v>30</v>
      </c>
      <c r="L464" t="b">
        <v>1</v>
      </c>
    </row>
    <row r="465" spans="1:12" x14ac:dyDescent="0.35">
      <c r="A465" t="s">
        <v>845</v>
      </c>
      <c r="B465" t="s">
        <v>32</v>
      </c>
      <c r="C465" t="s">
        <v>122</v>
      </c>
      <c r="D465">
        <v>25</v>
      </c>
      <c r="E465" t="s">
        <v>237</v>
      </c>
      <c r="F465" t="s">
        <v>16</v>
      </c>
      <c r="G465" s="1">
        <v>44564</v>
      </c>
      <c r="H465">
        <v>80675.41</v>
      </c>
      <c r="I465" t="s">
        <v>522</v>
      </c>
      <c r="J465">
        <v>-8315203770</v>
      </c>
      <c r="K465" t="s">
        <v>23</v>
      </c>
      <c r="L465" t="b">
        <v>0</v>
      </c>
    </row>
    <row r="466" spans="1:12" x14ac:dyDescent="0.35">
      <c r="A466" t="s">
        <v>846</v>
      </c>
      <c r="B466" t="s">
        <v>54</v>
      </c>
      <c r="C466" t="s">
        <v>20</v>
      </c>
      <c r="D466">
        <v>40</v>
      </c>
      <c r="E466" t="s">
        <v>112</v>
      </c>
      <c r="F466" t="s">
        <v>33</v>
      </c>
      <c r="G466" t="s">
        <v>847</v>
      </c>
      <c r="H466">
        <v>76274.33</v>
      </c>
      <c r="I466" t="s">
        <v>125</v>
      </c>
      <c r="J466">
        <v>-704496409</v>
      </c>
      <c r="K466" t="s">
        <v>18</v>
      </c>
      <c r="L466" t="b">
        <v>0</v>
      </c>
    </row>
    <row r="467" spans="1:12" x14ac:dyDescent="0.35">
      <c r="A467" t="s">
        <v>848</v>
      </c>
      <c r="B467" t="s">
        <v>59</v>
      </c>
      <c r="C467" t="s">
        <v>14</v>
      </c>
      <c r="D467">
        <v>30</v>
      </c>
      <c r="E467" t="s">
        <v>21</v>
      </c>
      <c r="F467" t="s">
        <v>16</v>
      </c>
      <c r="G467" t="s">
        <v>849</v>
      </c>
      <c r="H467">
        <v>51405.46</v>
      </c>
      <c r="I467" t="s">
        <v>63</v>
      </c>
      <c r="J467">
        <v>-4967066702</v>
      </c>
      <c r="K467" t="s">
        <v>18</v>
      </c>
      <c r="L467" t="b">
        <v>1</v>
      </c>
    </row>
    <row r="468" spans="1:12" x14ac:dyDescent="0.35">
      <c r="A468" t="s">
        <v>850</v>
      </c>
      <c r="B468" t="s">
        <v>13</v>
      </c>
      <c r="C468" t="s">
        <v>43</v>
      </c>
      <c r="D468">
        <v>25</v>
      </c>
      <c r="E468" t="s">
        <v>66</v>
      </c>
      <c r="F468" t="s">
        <v>33</v>
      </c>
      <c r="G468" t="s">
        <v>851</v>
      </c>
      <c r="H468">
        <v>101238.96</v>
      </c>
      <c r="I468" t="s">
        <v>153</v>
      </c>
      <c r="J468">
        <v>-3626804084</v>
      </c>
      <c r="K468" t="s">
        <v>18</v>
      </c>
      <c r="L468" t="b">
        <v>1</v>
      </c>
    </row>
    <row r="469" spans="1:12" x14ac:dyDescent="0.35">
      <c r="A469" t="s">
        <v>852</v>
      </c>
      <c r="B469" t="s">
        <v>13</v>
      </c>
      <c r="C469" t="s">
        <v>122</v>
      </c>
      <c r="D469">
        <v>35</v>
      </c>
      <c r="E469" t="s">
        <v>98</v>
      </c>
      <c r="F469" t="s">
        <v>33</v>
      </c>
      <c r="G469" t="s">
        <v>853</v>
      </c>
      <c r="H469">
        <v>52169.52</v>
      </c>
      <c r="I469" t="s">
        <v>123</v>
      </c>
      <c r="J469">
        <v>-954930595</v>
      </c>
      <c r="K469" t="s">
        <v>23</v>
      </c>
      <c r="L469" t="b">
        <v>0</v>
      </c>
    </row>
    <row r="470" spans="1:12" x14ac:dyDescent="0.35">
      <c r="A470" t="s">
        <v>854</v>
      </c>
      <c r="B470" t="s">
        <v>54</v>
      </c>
      <c r="C470" t="s">
        <v>26</v>
      </c>
      <c r="E470" t="s">
        <v>227</v>
      </c>
      <c r="F470" t="s">
        <v>16</v>
      </c>
      <c r="G470" t="s">
        <v>855</v>
      </c>
      <c r="H470">
        <v>73176.62</v>
      </c>
      <c r="I470" t="s">
        <v>120</v>
      </c>
      <c r="J470">
        <v>-6018648768</v>
      </c>
      <c r="K470" t="s">
        <v>23</v>
      </c>
      <c r="L470" t="b">
        <v>0</v>
      </c>
    </row>
    <row r="471" spans="1:12" x14ac:dyDescent="0.35">
      <c r="A471" t="s">
        <v>856</v>
      </c>
      <c r="B471" t="s">
        <v>69</v>
      </c>
      <c r="C471" t="s">
        <v>20</v>
      </c>
      <c r="E471" t="s">
        <v>329</v>
      </c>
      <c r="F471" t="s">
        <v>28</v>
      </c>
      <c r="G471" t="s">
        <v>143</v>
      </c>
      <c r="H471">
        <v>96241.85</v>
      </c>
      <c r="I471" t="s">
        <v>201</v>
      </c>
      <c r="J471">
        <v>-9842673203</v>
      </c>
      <c r="K471" t="s">
        <v>23</v>
      </c>
      <c r="L471" t="b">
        <v>0</v>
      </c>
    </row>
    <row r="472" spans="1:12" x14ac:dyDescent="0.35">
      <c r="A472" t="s">
        <v>857</v>
      </c>
      <c r="B472" t="s">
        <v>13</v>
      </c>
      <c r="C472" t="s">
        <v>26</v>
      </c>
      <c r="D472">
        <v>25</v>
      </c>
      <c r="E472" t="s">
        <v>265</v>
      </c>
      <c r="F472" t="s">
        <v>28</v>
      </c>
      <c r="G472" t="s">
        <v>210</v>
      </c>
      <c r="H472">
        <v>84366.38</v>
      </c>
      <c r="I472" t="s">
        <v>50</v>
      </c>
      <c r="J472">
        <v>-4138459608</v>
      </c>
      <c r="K472" t="s">
        <v>23</v>
      </c>
      <c r="L472" t="b">
        <v>0</v>
      </c>
    </row>
    <row r="473" spans="1:12" x14ac:dyDescent="0.35">
      <c r="A473" t="s">
        <v>858</v>
      </c>
      <c r="B473" t="s">
        <v>25</v>
      </c>
      <c r="C473" t="s">
        <v>43</v>
      </c>
      <c r="D473">
        <v>40</v>
      </c>
      <c r="E473" t="s">
        <v>268</v>
      </c>
      <c r="F473" t="s">
        <v>28</v>
      </c>
      <c r="G473" s="1">
        <v>45023</v>
      </c>
      <c r="H473">
        <v>92015.09</v>
      </c>
      <c r="I473" t="s">
        <v>45</v>
      </c>
      <c r="J473">
        <v>-4544901494</v>
      </c>
      <c r="K473" t="s">
        <v>18</v>
      </c>
      <c r="L473" t="b">
        <v>1</v>
      </c>
    </row>
    <row r="474" spans="1:12" x14ac:dyDescent="0.35">
      <c r="A474" t="s">
        <v>859</v>
      </c>
      <c r="B474" t="s">
        <v>25</v>
      </c>
      <c r="C474" t="s">
        <v>38</v>
      </c>
      <c r="D474">
        <v>30</v>
      </c>
      <c r="E474" t="s">
        <v>27</v>
      </c>
      <c r="F474" t="s">
        <v>33</v>
      </c>
      <c r="G474" t="s">
        <v>860</v>
      </c>
      <c r="H474">
        <v>83149.95</v>
      </c>
      <c r="I474" t="s">
        <v>363</v>
      </c>
      <c r="J474">
        <v>-4277070704</v>
      </c>
      <c r="K474" t="s">
        <v>18</v>
      </c>
      <c r="L474" t="b">
        <v>0</v>
      </c>
    </row>
    <row r="475" spans="1:12" x14ac:dyDescent="0.35">
      <c r="A475" t="s">
        <v>861</v>
      </c>
      <c r="B475" t="s">
        <v>69</v>
      </c>
      <c r="C475" t="s">
        <v>20</v>
      </c>
      <c r="D475">
        <v>40</v>
      </c>
      <c r="E475" t="s">
        <v>100</v>
      </c>
      <c r="F475" t="s">
        <v>33</v>
      </c>
      <c r="G475" s="1">
        <v>43958</v>
      </c>
      <c r="H475">
        <v>94930.65</v>
      </c>
      <c r="I475" t="s">
        <v>201</v>
      </c>
      <c r="J475">
        <v>-7836091497</v>
      </c>
      <c r="K475" t="s">
        <v>30</v>
      </c>
      <c r="L475" t="b">
        <v>0</v>
      </c>
    </row>
    <row r="476" spans="1:12" x14ac:dyDescent="0.35">
      <c r="A476" t="s">
        <v>862</v>
      </c>
      <c r="B476" t="s">
        <v>37</v>
      </c>
      <c r="C476" t="s">
        <v>38</v>
      </c>
      <c r="D476">
        <v>40</v>
      </c>
      <c r="E476" t="s">
        <v>66</v>
      </c>
      <c r="F476" t="s">
        <v>33</v>
      </c>
      <c r="G476" s="1">
        <v>43834</v>
      </c>
      <c r="H476">
        <v>68430.720000000001</v>
      </c>
      <c r="I476" t="s">
        <v>40</v>
      </c>
      <c r="J476">
        <v>-5172444722</v>
      </c>
      <c r="K476" t="s">
        <v>30</v>
      </c>
      <c r="L476" t="b">
        <v>1</v>
      </c>
    </row>
    <row r="477" spans="1:12" x14ac:dyDescent="0.35">
      <c r="A477" t="s">
        <v>863</v>
      </c>
      <c r="B477" t="s">
        <v>59</v>
      </c>
      <c r="C477" t="s">
        <v>43</v>
      </c>
      <c r="D477">
        <v>35</v>
      </c>
      <c r="E477" t="s">
        <v>44</v>
      </c>
      <c r="F477" t="s">
        <v>16</v>
      </c>
      <c r="G477" t="s">
        <v>864</v>
      </c>
      <c r="H477">
        <v>98752.97</v>
      </c>
      <c r="I477" t="s">
        <v>101</v>
      </c>
      <c r="J477">
        <v>-2290310286</v>
      </c>
      <c r="K477" t="s">
        <v>23</v>
      </c>
      <c r="L477" t="b">
        <v>0</v>
      </c>
    </row>
    <row r="478" spans="1:12" x14ac:dyDescent="0.35">
      <c r="A478" t="s">
        <v>865</v>
      </c>
      <c r="B478" t="s">
        <v>37</v>
      </c>
      <c r="C478" t="s">
        <v>122</v>
      </c>
      <c r="E478" t="s">
        <v>265</v>
      </c>
      <c r="F478" t="s">
        <v>16</v>
      </c>
      <c r="G478" s="1">
        <v>45109</v>
      </c>
      <c r="H478">
        <v>54268.86</v>
      </c>
      <c r="I478" t="s">
        <v>137</v>
      </c>
      <c r="J478">
        <v>-9508304404</v>
      </c>
      <c r="K478" t="s">
        <v>41</v>
      </c>
      <c r="L478" t="b">
        <v>1</v>
      </c>
    </row>
    <row r="479" spans="1:12" x14ac:dyDescent="0.35">
      <c r="A479" t="s">
        <v>866</v>
      </c>
      <c r="B479" t="s">
        <v>69</v>
      </c>
      <c r="C479" t="s">
        <v>43</v>
      </c>
      <c r="E479" t="s">
        <v>230</v>
      </c>
      <c r="F479" t="s">
        <v>28</v>
      </c>
      <c r="G479" s="1">
        <v>45577</v>
      </c>
      <c r="H479">
        <v>66494.94</v>
      </c>
      <c r="I479" t="s">
        <v>83</v>
      </c>
      <c r="J479">
        <v>-8093511870</v>
      </c>
      <c r="K479" t="s">
        <v>41</v>
      </c>
      <c r="L479" t="b">
        <v>0</v>
      </c>
    </row>
    <row r="480" spans="1:12" x14ac:dyDescent="0.35">
      <c r="A480" t="s">
        <v>867</v>
      </c>
      <c r="B480" t="s">
        <v>69</v>
      </c>
      <c r="C480" t="s">
        <v>122</v>
      </c>
      <c r="D480">
        <v>25</v>
      </c>
      <c r="E480" t="s">
        <v>98</v>
      </c>
      <c r="F480" t="s">
        <v>28</v>
      </c>
      <c r="G480" t="s">
        <v>868</v>
      </c>
      <c r="H480">
        <v>90003.98</v>
      </c>
      <c r="I480" t="s">
        <v>135</v>
      </c>
      <c r="J480">
        <v>-8133595615</v>
      </c>
      <c r="K480" t="s">
        <v>18</v>
      </c>
      <c r="L480" t="b">
        <v>0</v>
      </c>
    </row>
    <row r="481" spans="1:12" x14ac:dyDescent="0.35">
      <c r="A481" t="s">
        <v>869</v>
      </c>
      <c r="B481" t="s">
        <v>54</v>
      </c>
      <c r="C481" t="s">
        <v>20</v>
      </c>
      <c r="D481">
        <v>25</v>
      </c>
      <c r="E481" t="s">
        <v>227</v>
      </c>
      <c r="F481" t="s">
        <v>16</v>
      </c>
      <c r="G481" s="1">
        <v>44442</v>
      </c>
      <c r="H481">
        <v>106592.25</v>
      </c>
      <c r="I481" t="s">
        <v>125</v>
      </c>
      <c r="J481">
        <v>-4205955656</v>
      </c>
      <c r="K481" t="s">
        <v>18</v>
      </c>
      <c r="L481" t="b">
        <v>1</v>
      </c>
    </row>
    <row r="482" spans="1:12" x14ac:dyDescent="0.35">
      <c r="A482" t="s">
        <v>870</v>
      </c>
      <c r="B482" t="s">
        <v>69</v>
      </c>
      <c r="C482" t="s">
        <v>20</v>
      </c>
      <c r="D482">
        <v>25</v>
      </c>
      <c r="E482" t="s">
        <v>230</v>
      </c>
      <c r="F482" t="s">
        <v>16</v>
      </c>
      <c r="G482" s="1">
        <v>45604</v>
      </c>
      <c r="H482">
        <v>93905.83</v>
      </c>
      <c r="I482" t="s">
        <v>201</v>
      </c>
      <c r="J482">
        <v>-4902504289</v>
      </c>
      <c r="K482" t="s">
        <v>18</v>
      </c>
      <c r="L482" t="b">
        <v>1</v>
      </c>
    </row>
    <row r="483" spans="1:12" x14ac:dyDescent="0.35">
      <c r="A483" t="s">
        <v>871</v>
      </c>
      <c r="B483" t="s">
        <v>32</v>
      </c>
      <c r="C483" t="s">
        <v>92</v>
      </c>
      <c r="D483">
        <v>35</v>
      </c>
      <c r="E483" t="s">
        <v>237</v>
      </c>
      <c r="F483" t="s">
        <v>16</v>
      </c>
      <c r="G483" s="1">
        <v>44684</v>
      </c>
      <c r="H483">
        <v>88945.49</v>
      </c>
      <c r="I483" t="s">
        <v>263</v>
      </c>
      <c r="J483">
        <v>-1935889535</v>
      </c>
      <c r="K483" t="s">
        <v>30</v>
      </c>
      <c r="L483" t="b">
        <v>0</v>
      </c>
    </row>
    <row r="484" spans="1:12" x14ac:dyDescent="0.35">
      <c r="A484" t="s">
        <v>872</v>
      </c>
      <c r="B484" t="s">
        <v>32</v>
      </c>
      <c r="C484" t="s">
        <v>26</v>
      </c>
      <c r="E484" t="s">
        <v>21</v>
      </c>
      <c r="F484" t="s">
        <v>28</v>
      </c>
      <c r="G484" t="s">
        <v>333</v>
      </c>
      <c r="H484">
        <v>91130.33</v>
      </c>
      <c r="I484" t="s">
        <v>278</v>
      </c>
      <c r="J484">
        <v>-9026113988</v>
      </c>
      <c r="K484" t="s">
        <v>30</v>
      </c>
      <c r="L484" t="b">
        <v>0</v>
      </c>
    </row>
    <row r="485" spans="1:12" x14ac:dyDescent="0.35">
      <c r="A485" t="s">
        <v>873</v>
      </c>
      <c r="B485" t="s">
        <v>13</v>
      </c>
      <c r="C485" t="s">
        <v>92</v>
      </c>
      <c r="D485">
        <v>40</v>
      </c>
      <c r="E485" t="s">
        <v>196</v>
      </c>
      <c r="F485" t="s">
        <v>28</v>
      </c>
      <c r="G485" t="s">
        <v>874</v>
      </c>
      <c r="H485">
        <v>90787.4</v>
      </c>
      <c r="I485" t="s">
        <v>93</v>
      </c>
      <c r="J485">
        <v>-8681809787</v>
      </c>
      <c r="K485" t="s">
        <v>18</v>
      </c>
      <c r="L485" t="b">
        <v>0</v>
      </c>
    </row>
    <row r="486" spans="1:12" x14ac:dyDescent="0.35">
      <c r="A486" t="s">
        <v>875</v>
      </c>
      <c r="B486" t="s">
        <v>13</v>
      </c>
      <c r="C486" t="s">
        <v>26</v>
      </c>
      <c r="D486">
        <v>25</v>
      </c>
      <c r="E486" t="s">
        <v>44</v>
      </c>
      <c r="F486" t="s">
        <v>33</v>
      </c>
      <c r="G486" s="1">
        <v>45607</v>
      </c>
      <c r="H486">
        <v>87494.34</v>
      </c>
      <c r="I486" t="s">
        <v>50</v>
      </c>
      <c r="J486">
        <v>-7543943534</v>
      </c>
      <c r="K486" t="s">
        <v>18</v>
      </c>
      <c r="L486" t="b">
        <v>1</v>
      </c>
    </row>
    <row r="487" spans="1:12" x14ac:dyDescent="0.35">
      <c r="A487" t="s">
        <v>876</v>
      </c>
      <c r="B487" t="s">
        <v>69</v>
      </c>
      <c r="C487" t="s">
        <v>92</v>
      </c>
      <c r="D487">
        <v>35</v>
      </c>
      <c r="E487" t="s">
        <v>100</v>
      </c>
      <c r="F487" t="s">
        <v>33</v>
      </c>
      <c r="G487" t="s">
        <v>877</v>
      </c>
      <c r="H487">
        <v>92627.35</v>
      </c>
      <c r="I487" t="s">
        <v>168</v>
      </c>
      <c r="J487">
        <v>-3751376514</v>
      </c>
      <c r="K487" t="s">
        <v>18</v>
      </c>
      <c r="L487" t="b">
        <v>0</v>
      </c>
    </row>
    <row r="488" spans="1:12" x14ac:dyDescent="0.35">
      <c r="A488" t="s">
        <v>878</v>
      </c>
      <c r="B488" t="s">
        <v>32</v>
      </c>
      <c r="C488" t="s">
        <v>38</v>
      </c>
      <c r="D488">
        <v>40</v>
      </c>
      <c r="E488" t="s">
        <v>89</v>
      </c>
      <c r="F488" t="s">
        <v>28</v>
      </c>
      <c r="G488" t="s">
        <v>431</v>
      </c>
      <c r="H488">
        <v>98556.29</v>
      </c>
      <c r="I488" t="s">
        <v>141</v>
      </c>
      <c r="J488">
        <v>-8815793762</v>
      </c>
      <c r="K488" t="s">
        <v>41</v>
      </c>
      <c r="L488" t="b">
        <v>1</v>
      </c>
    </row>
    <row r="489" spans="1:12" x14ac:dyDescent="0.35">
      <c r="A489" t="s">
        <v>879</v>
      </c>
      <c r="B489" t="s">
        <v>37</v>
      </c>
      <c r="C489" t="s">
        <v>20</v>
      </c>
      <c r="D489">
        <v>30</v>
      </c>
      <c r="E489" t="s">
        <v>85</v>
      </c>
      <c r="F489" t="s">
        <v>33</v>
      </c>
      <c r="G489" s="1">
        <v>44293</v>
      </c>
      <c r="H489">
        <v>112792.2</v>
      </c>
      <c r="I489" t="s">
        <v>239</v>
      </c>
      <c r="J489">
        <v>-9283692943</v>
      </c>
      <c r="K489" t="s">
        <v>30</v>
      </c>
      <c r="L489" t="b">
        <v>1</v>
      </c>
    </row>
    <row r="490" spans="1:12" x14ac:dyDescent="0.35">
      <c r="A490" t="s">
        <v>880</v>
      </c>
      <c r="B490" t="s">
        <v>32</v>
      </c>
      <c r="C490" t="s">
        <v>122</v>
      </c>
      <c r="D490">
        <v>35</v>
      </c>
      <c r="E490" t="s">
        <v>212</v>
      </c>
      <c r="F490" t="s">
        <v>28</v>
      </c>
      <c r="G490" s="1">
        <v>44996</v>
      </c>
      <c r="H490">
        <v>56875.22</v>
      </c>
      <c r="I490" t="s">
        <v>522</v>
      </c>
      <c r="J490">
        <v>-5511668296</v>
      </c>
      <c r="K490" t="s">
        <v>41</v>
      </c>
      <c r="L490" t="b">
        <v>0</v>
      </c>
    </row>
    <row r="491" spans="1:12" x14ac:dyDescent="0.35">
      <c r="A491" t="s">
        <v>881</v>
      </c>
      <c r="B491" t="s">
        <v>54</v>
      </c>
      <c r="C491" t="s">
        <v>26</v>
      </c>
      <c r="D491">
        <v>35</v>
      </c>
      <c r="E491" t="s">
        <v>230</v>
      </c>
      <c r="F491" t="s">
        <v>33</v>
      </c>
      <c r="G491" s="1">
        <v>44323</v>
      </c>
      <c r="H491">
        <v>101015.96</v>
      </c>
      <c r="I491" t="s">
        <v>120</v>
      </c>
      <c r="J491">
        <v>-3270216486</v>
      </c>
      <c r="K491" t="s">
        <v>41</v>
      </c>
      <c r="L491" t="b">
        <v>1</v>
      </c>
    </row>
    <row r="492" spans="1:12" x14ac:dyDescent="0.35">
      <c r="A492" t="s">
        <v>882</v>
      </c>
      <c r="B492" t="s">
        <v>13</v>
      </c>
      <c r="C492" t="s">
        <v>43</v>
      </c>
      <c r="D492">
        <v>30</v>
      </c>
      <c r="E492" t="s">
        <v>227</v>
      </c>
      <c r="F492" t="s">
        <v>33</v>
      </c>
      <c r="G492" t="s">
        <v>883</v>
      </c>
      <c r="H492">
        <v>83912.22</v>
      </c>
      <c r="I492" t="s">
        <v>153</v>
      </c>
      <c r="J492">
        <v>-1206021287</v>
      </c>
      <c r="K492" t="s">
        <v>18</v>
      </c>
      <c r="L492" t="b">
        <v>0</v>
      </c>
    </row>
    <row r="493" spans="1:12" x14ac:dyDescent="0.35">
      <c r="A493" t="s">
        <v>884</v>
      </c>
      <c r="B493" t="s">
        <v>37</v>
      </c>
      <c r="C493" t="s">
        <v>26</v>
      </c>
      <c r="D493">
        <v>25</v>
      </c>
      <c r="E493" t="s">
        <v>109</v>
      </c>
      <c r="F493" t="s">
        <v>16</v>
      </c>
      <c r="G493" t="s">
        <v>885</v>
      </c>
      <c r="H493">
        <v>99669.86</v>
      </c>
      <c r="I493" t="s">
        <v>47</v>
      </c>
      <c r="J493">
        <v>-6652683414</v>
      </c>
      <c r="K493" t="s">
        <v>18</v>
      </c>
      <c r="L493" t="b">
        <v>0</v>
      </c>
    </row>
    <row r="494" spans="1:12" x14ac:dyDescent="0.35">
      <c r="A494" t="s">
        <v>886</v>
      </c>
      <c r="B494" t="s">
        <v>25</v>
      </c>
      <c r="C494" t="s">
        <v>122</v>
      </c>
      <c r="D494">
        <v>30</v>
      </c>
      <c r="E494" t="s">
        <v>196</v>
      </c>
      <c r="F494" t="s">
        <v>16</v>
      </c>
      <c r="G494" t="s">
        <v>887</v>
      </c>
      <c r="H494">
        <v>52314.97</v>
      </c>
      <c r="I494" t="s">
        <v>182</v>
      </c>
      <c r="J494">
        <v>-5999101575</v>
      </c>
      <c r="K494" t="s">
        <v>23</v>
      </c>
      <c r="L494" t="b">
        <v>0</v>
      </c>
    </row>
    <row r="495" spans="1:12" x14ac:dyDescent="0.35">
      <c r="A495" t="s">
        <v>888</v>
      </c>
      <c r="B495" t="s">
        <v>37</v>
      </c>
      <c r="C495" t="s">
        <v>92</v>
      </c>
      <c r="D495">
        <v>30</v>
      </c>
      <c r="E495" t="s">
        <v>146</v>
      </c>
      <c r="F495" t="s">
        <v>33</v>
      </c>
      <c r="G495" t="s">
        <v>889</v>
      </c>
      <c r="H495">
        <v>77785.960000000006</v>
      </c>
      <c r="I495" t="s">
        <v>110</v>
      </c>
      <c r="J495">
        <v>-7647229811</v>
      </c>
      <c r="K495" t="s">
        <v>23</v>
      </c>
      <c r="L495" t="b">
        <v>0</v>
      </c>
    </row>
    <row r="496" spans="1:12" x14ac:dyDescent="0.35">
      <c r="A496" t="s">
        <v>890</v>
      </c>
      <c r="B496" t="s">
        <v>25</v>
      </c>
      <c r="C496" t="s">
        <v>26</v>
      </c>
      <c r="D496">
        <v>30</v>
      </c>
      <c r="E496" t="s">
        <v>212</v>
      </c>
      <c r="F496" t="s">
        <v>28</v>
      </c>
      <c r="G496" s="1">
        <v>44599</v>
      </c>
      <c r="H496">
        <v>62430.86</v>
      </c>
      <c r="I496" t="s">
        <v>29</v>
      </c>
      <c r="J496">
        <v>-995765727</v>
      </c>
      <c r="K496" t="s">
        <v>41</v>
      </c>
      <c r="L496" t="b">
        <v>0</v>
      </c>
    </row>
    <row r="497" spans="1:12" x14ac:dyDescent="0.35">
      <c r="A497" t="s">
        <v>891</v>
      </c>
      <c r="B497" t="s">
        <v>37</v>
      </c>
      <c r="C497" t="s">
        <v>14</v>
      </c>
      <c r="D497">
        <v>35</v>
      </c>
      <c r="E497" t="s">
        <v>118</v>
      </c>
      <c r="F497" t="s">
        <v>28</v>
      </c>
      <c r="G497" t="s">
        <v>208</v>
      </c>
      <c r="H497">
        <v>98219.54</v>
      </c>
      <c r="I497" t="s">
        <v>52</v>
      </c>
      <c r="J497">
        <v>-9413475097</v>
      </c>
      <c r="K497" t="s">
        <v>30</v>
      </c>
      <c r="L497" t="b">
        <v>1</v>
      </c>
    </row>
    <row r="498" spans="1:12" x14ac:dyDescent="0.35">
      <c r="A498" t="s">
        <v>892</v>
      </c>
      <c r="B498" t="s">
        <v>69</v>
      </c>
      <c r="C498" t="s">
        <v>38</v>
      </c>
      <c r="D498">
        <v>25</v>
      </c>
      <c r="E498" t="s">
        <v>89</v>
      </c>
      <c r="F498" t="s">
        <v>16</v>
      </c>
      <c r="G498" t="s">
        <v>893</v>
      </c>
      <c r="H498">
        <v>65494.58</v>
      </c>
      <c r="I498" t="s">
        <v>71</v>
      </c>
      <c r="J498">
        <v>-8986456521</v>
      </c>
      <c r="K498" t="s">
        <v>18</v>
      </c>
      <c r="L498" t="b">
        <v>1</v>
      </c>
    </row>
    <row r="499" spans="1:12" x14ac:dyDescent="0.35">
      <c r="A499" t="s">
        <v>894</v>
      </c>
      <c r="B499" t="s">
        <v>59</v>
      </c>
      <c r="C499" t="s">
        <v>20</v>
      </c>
      <c r="D499">
        <v>35</v>
      </c>
      <c r="E499" t="s">
        <v>230</v>
      </c>
      <c r="F499" t="s">
        <v>28</v>
      </c>
      <c r="G499" s="1">
        <v>44137</v>
      </c>
      <c r="H499">
        <v>110524.1</v>
      </c>
      <c r="I499" t="s">
        <v>225</v>
      </c>
      <c r="J499">
        <v>-368499514</v>
      </c>
      <c r="K499" t="s">
        <v>18</v>
      </c>
      <c r="L499" t="b">
        <v>0</v>
      </c>
    </row>
    <row r="500" spans="1:12" x14ac:dyDescent="0.35">
      <c r="A500" t="s">
        <v>895</v>
      </c>
      <c r="B500" t="s">
        <v>25</v>
      </c>
      <c r="C500" t="s">
        <v>122</v>
      </c>
      <c r="D500">
        <v>40</v>
      </c>
      <c r="E500" t="s">
        <v>27</v>
      </c>
      <c r="F500" t="s">
        <v>16</v>
      </c>
      <c r="G500" t="s">
        <v>896</v>
      </c>
      <c r="H500">
        <v>106060.54</v>
      </c>
      <c r="I500" t="s">
        <v>182</v>
      </c>
      <c r="J500">
        <v>-4214477323</v>
      </c>
      <c r="K500" t="s">
        <v>41</v>
      </c>
      <c r="L500" t="b">
        <v>0</v>
      </c>
    </row>
    <row r="501" spans="1:12" x14ac:dyDescent="0.35">
      <c r="A501" t="s">
        <v>897</v>
      </c>
      <c r="B501" t="s">
        <v>32</v>
      </c>
      <c r="C501" t="s">
        <v>20</v>
      </c>
      <c r="D501">
        <v>35</v>
      </c>
      <c r="E501" t="s">
        <v>112</v>
      </c>
      <c r="F501" t="s">
        <v>33</v>
      </c>
      <c r="G501" t="s">
        <v>898</v>
      </c>
      <c r="H501">
        <v>67639.91</v>
      </c>
      <c r="I501" t="s">
        <v>155</v>
      </c>
      <c r="J501">
        <v>-4913421387</v>
      </c>
      <c r="K501" t="s">
        <v>23</v>
      </c>
      <c r="L501" t="b">
        <v>1</v>
      </c>
    </row>
    <row r="502" spans="1:12" x14ac:dyDescent="0.35">
      <c r="A502" t="s">
        <v>899</v>
      </c>
      <c r="B502" t="s">
        <v>69</v>
      </c>
      <c r="C502" t="s">
        <v>14</v>
      </c>
      <c r="E502" t="s">
        <v>159</v>
      </c>
      <c r="F502" t="s">
        <v>28</v>
      </c>
      <c r="G502" t="s">
        <v>900</v>
      </c>
      <c r="H502">
        <v>117653.98</v>
      </c>
      <c r="I502" t="s">
        <v>235</v>
      </c>
      <c r="J502">
        <v>-2090883069</v>
      </c>
      <c r="K502" t="s">
        <v>30</v>
      </c>
      <c r="L502" t="b">
        <v>1</v>
      </c>
    </row>
    <row r="503" spans="1:12" x14ac:dyDescent="0.35">
      <c r="A503" t="s">
        <v>901</v>
      </c>
      <c r="B503" t="s">
        <v>32</v>
      </c>
      <c r="C503" t="s">
        <v>26</v>
      </c>
      <c r="D503">
        <v>35</v>
      </c>
      <c r="E503" t="s">
        <v>237</v>
      </c>
      <c r="F503" t="s">
        <v>33</v>
      </c>
      <c r="G503" s="1">
        <v>44109</v>
      </c>
      <c r="H503">
        <v>73539.86</v>
      </c>
      <c r="I503" t="s">
        <v>278</v>
      </c>
      <c r="J503">
        <v>-5349678273</v>
      </c>
      <c r="K503" t="s">
        <v>23</v>
      </c>
      <c r="L503" t="b">
        <v>1</v>
      </c>
    </row>
    <row r="504" spans="1:12" x14ac:dyDescent="0.35">
      <c r="A504" t="s">
        <v>902</v>
      </c>
      <c r="B504" t="s">
        <v>37</v>
      </c>
      <c r="C504" t="s">
        <v>26</v>
      </c>
      <c r="D504">
        <v>35</v>
      </c>
      <c r="E504" t="s">
        <v>149</v>
      </c>
      <c r="F504" t="s">
        <v>28</v>
      </c>
      <c r="G504" t="s">
        <v>903</v>
      </c>
      <c r="H504">
        <v>70915.38</v>
      </c>
      <c r="I504" t="s">
        <v>47</v>
      </c>
      <c r="J504">
        <v>-1176741240</v>
      </c>
      <c r="K504" t="s">
        <v>23</v>
      </c>
      <c r="L504" t="b">
        <v>1</v>
      </c>
    </row>
    <row r="505" spans="1:12" x14ac:dyDescent="0.35">
      <c r="A505" t="s">
        <v>904</v>
      </c>
      <c r="B505" t="s">
        <v>59</v>
      </c>
      <c r="C505" t="s">
        <v>43</v>
      </c>
      <c r="D505">
        <v>25</v>
      </c>
      <c r="E505" t="s">
        <v>74</v>
      </c>
      <c r="F505" t="s">
        <v>28</v>
      </c>
      <c r="G505" t="s">
        <v>905</v>
      </c>
      <c r="H505">
        <v>97652.9</v>
      </c>
      <c r="I505" t="s">
        <v>101</v>
      </c>
      <c r="J505">
        <v>-5131528546</v>
      </c>
      <c r="K505" t="s">
        <v>23</v>
      </c>
      <c r="L505" t="b">
        <v>0</v>
      </c>
    </row>
    <row r="506" spans="1:12" x14ac:dyDescent="0.35">
      <c r="A506" t="s">
        <v>906</v>
      </c>
      <c r="B506" t="s">
        <v>65</v>
      </c>
      <c r="C506" t="s">
        <v>14</v>
      </c>
      <c r="D506">
        <v>35</v>
      </c>
      <c r="E506" t="s">
        <v>212</v>
      </c>
      <c r="F506" t="s">
        <v>33</v>
      </c>
      <c r="G506" s="1">
        <v>44715</v>
      </c>
      <c r="H506">
        <v>101571.25</v>
      </c>
      <c r="I506" t="s">
        <v>395</v>
      </c>
      <c r="J506">
        <v>-8150618537</v>
      </c>
      <c r="K506" t="s">
        <v>23</v>
      </c>
      <c r="L506" t="b">
        <v>0</v>
      </c>
    </row>
    <row r="507" spans="1:12" x14ac:dyDescent="0.35">
      <c r="A507" t="s">
        <v>907</v>
      </c>
      <c r="B507" t="s">
        <v>59</v>
      </c>
      <c r="C507" t="s">
        <v>122</v>
      </c>
      <c r="D507">
        <v>35</v>
      </c>
      <c r="E507" t="s">
        <v>329</v>
      </c>
      <c r="F507" t="s">
        <v>16</v>
      </c>
      <c r="G507" s="1">
        <v>45088</v>
      </c>
      <c r="H507">
        <v>87424.46</v>
      </c>
      <c r="I507" t="s">
        <v>341</v>
      </c>
      <c r="J507">
        <v>-32963346</v>
      </c>
      <c r="K507" t="s">
        <v>18</v>
      </c>
      <c r="L507" t="b">
        <v>1</v>
      </c>
    </row>
    <row r="508" spans="1:12" x14ac:dyDescent="0.35">
      <c r="A508" t="s">
        <v>908</v>
      </c>
      <c r="B508" t="s">
        <v>37</v>
      </c>
      <c r="C508" t="s">
        <v>43</v>
      </c>
      <c r="E508" t="s">
        <v>66</v>
      </c>
      <c r="F508" t="s">
        <v>28</v>
      </c>
      <c r="G508" t="s">
        <v>909</v>
      </c>
      <c r="H508">
        <v>89077.36</v>
      </c>
      <c r="I508" t="s">
        <v>180</v>
      </c>
      <c r="J508">
        <v>-2727423182</v>
      </c>
      <c r="K508" t="s">
        <v>18</v>
      </c>
      <c r="L508" t="b">
        <v>0</v>
      </c>
    </row>
    <row r="509" spans="1:12" x14ac:dyDescent="0.35">
      <c r="A509" t="s">
        <v>910</v>
      </c>
      <c r="B509" t="s">
        <v>65</v>
      </c>
      <c r="C509" t="s">
        <v>38</v>
      </c>
      <c r="D509">
        <v>30</v>
      </c>
      <c r="E509" t="s">
        <v>15</v>
      </c>
      <c r="F509" t="s">
        <v>28</v>
      </c>
      <c r="G509" t="s">
        <v>911</v>
      </c>
      <c r="H509">
        <v>89132.22</v>
      </c>
      <c r="I509" t="s">
        <v>67</v>
      </c>
      <c r="J509">
        <v>-617893205</v>
      </c>
      <c r="K509" t="s">
        <v>23</v>
      </c>
      <c r="L509" t="b">
        <v>1</v>
      </c>
    </row>
    <row r="510" spans="1:12" x14ac:dyDescent="0.35">
      <c r="A510" t="s">
        <v>912</v>
      </c>
      <c r="B510" t="s">
        <v>37</v>
      </c>
      <c r="C510" t="s">
        <v>43</v>
      </c>
      <c r="D510">
        <v>25</v>
      </c>
      <c r="E510" t="s">
        <v>118</v>
      </c>
      <c r="F510" t="s">
        <v>16</v>
      </c>
      <c r="G510" s="1">
        <v>45385</v>
      </c>
      <c r="H510">
        <v>111000.26</v>
      </c>
      <c r="I510" t="s">
        <v>180</v>
      </c>
      <c r="J510">
        <v>-4969357823</v>
      </c>
      <c r="K510" t="s">
        <v>30</v>
      </c>
      <c r="L510" t="b">
        <v>0</v>
      </c>
    </row>
    <row r="511" spans="1:12" x14ac:dyDescent="0.35">
      <c r="A511" t="s">
        <v>913</v>
      </c>
      <c r="B511" t="s">
        <v>37</v>
      </c>
      <c r="C511" t="s">
        <v>55</v>
      </c>
      <c r="D511">
        <v>35</v>
      </c>
      <c r="E511" t="s">
        <v>192</v>
      </c>
      <c r="F511" t="s">
        <v>33</v>
      </c>
      <c r="G511" s="1">
        <v>44750</v>
      </c>
      <c r="H511">
        <v>109584.97</v>
      </c>
      <c r="I511" t="s">
        <v>271</v>
      </c>
      <c r="J511">
        <v>-3477695873</v>
      </c>
      <c r="K511" t="s">
        <v>41</v>
      </c>
      <c r="L511" t="b">
        <v>1</v>
      </c>
    </row>
    <row r="512" spans="1:12" x14ac:dyDescent="0.35">
      <c r="A512" t="s">
        <v>914</v>
      </c>
      <c r="B512" t="s">
        <v>13</v>
      </c>
      <c r="C512" t="s">
        <v>122</v>
      </c>
      <c r="D512">
        <v>40</v>
      </c>
      <c r="E512" t="s">
        <v>89</v>
      </c>
      <c r="F512" t="s">
        <v>16</v>
      </c>
      <c r="G512" s="1">
        <v>45607</v>
      </c>
      <c r="H512">
        <v>97648.84</v>
      </c>
      <c r="I512" t="s">
        <v>123</v>
      </c>
      <c r="J512">
        <v>-1314675360</v>
      </c>
      <c r="K512" t="s">
        <v>30</v>
      </c>
      <c r="L512" t="b">
        <v>0</v>
      </c>
    </row>
    <row r="513" spans="1:12" x14ac:dyDescent="0.35">
      <c r="A513" t="s">
        <v>915</v>
      </c>
      <c r="B513" t="s">
        <v>69</v>
      </c>
      <c r="C513" t="s">
        <v>55</v>
      </c>
      <c r="D513">
        <v>25</v>
      </c>
      <c r="E513" t="s">
        <v>196</v>
      </c>
      <c r="F513" t="s">
        <v>16</v>
      </c>
      <c r="G513" s="1">
        <v>44239</v>
      </c>
      <c r="H513">
        <v>78643.429999999993</v>
      </c>
      <c r="I513" t="s">
        <v>127</v>
      </c>
      <c r="J513">
        <v>-2751562778</v>
      </c>
      <c r="K513" t="s">
        <v>30</v>
      </c>
      <c r="L513" t="b">
        <v>1</v>
      </c>
    </row>
    <row r="514" spans="1:12" x14ac:dyDescent="0.35">
      <c r="A514" t="s">
        <v>916</v>
      </c>
      <c r="B514" t="s">
        <v>65</v>
      </c>
      <c r="C514" t="s">
        <v>14</v>
      </c>
      <c r="D514">
        <v>30</v>
      </c>
      <c r="E514" t="s">
        <v>149</v>
      </c>
      <c r="F514" t="s">
        <v>16</v>
      </c>
      <c r="G514" t="s">
        <v>917</v>
      </c>
      <c r="H514">
        <v>55656.800000000003</v>
      </c>
      <c r="I514" t="s">
        <v>395</v>
      </c>
      <c r="J514">
        <v>-6304483607</v>
      </c>
      <c r="K514" t="s">
        <v>30</v>
      </c>
      <c r="L514" t="b">
        <v>1</v>
      </c>
    </row>
    <row r="515" spans="1:12" x14ac:dyDescent="0.35">
      <c r="A515" t="s">
        <v>918</v>
      </c>
      <c r="B515" t="s">
        <v>54</v>
      </c>
      <c r="C515" t="s">
        <v>92</v>
      </c>
      <c r="D515">
        <v>35</v>
      </c>
      <c r="E515" t="s">
        <v>237</v>
      </c>
      <c r="F515" t="s">
        <v>16</v>
      </c>
      <c r="G515" t="s">
        <v>919</v>
      </c>
      <c r="H515">
        <v>69146.95</v>
      </c>
      <c r="I515" t="s">
        <v>502</v>
      </c>
      <c r="J515">
        <v>-5456676639</v>
      </c>
      <c r="K515" t="s">
        <v>23</v>
      </c>
      <c r="L515" t="b">
        <v>0</v>
      </c>
    </row>
    <row r="516" spans="1:12" x14ac:dyDescent="0.35">
      <c r="A516" t="s">
        <v>920</v>
      </c>
      <c r="B516" t="s">
        <v>54</v>
      </c>
      <c r="C516" t="s">
        <v>55</v>
      </c>
      <c r="E516" t="s">
        <v>205</v>
      </c>
      <c r="F516" t="s">
        <v>16</v>
      </c>
      <c r="G516" t="s">
        <v>921</v>
      </c>
      <c r="H516">
        <v>93013.58</v>
      </c>
      <c r="I516" t="s">
        <v>57</v>
      </c>
      <c r="J516">
        <v>-4735047638</v>
      </c>
      <c r="K516" t="s">
        <v>18</v>
      </c>
      <c r="L516" t="b">
        <v>1</v>
      </c>
    </row>
    <row r="517" spans="1:12" x14ac:dyDescent="0.35">
      <c r="A517" t="s">
        <v>922</v>
      </c>
      <c r="B517" t="s">
        <v>69</v>
      </c>
      <c r="C517" t="s">
        <v>38</v>
      </c>
      <c r="D517">
        <v>40</v>
      </c>
      <c r="E517" t="s">
        <v>112</v>
      </c>
      <c r="F517" t="s">
        <v>16</v>
      </c>
      <c r="G517" t="s">
        <v>829</v>
      </c>
      <c r="H517">
        <v>87364.78</v>
      </c>
      <c r="I517" t="s">
        <v>71</v>
      </c>
      <c r="J517">
        <v>-2831995297</v>
      </c>
      <c r="K517" t="s">
        <v>30</v>
      </c>
      <c r="L517" t="b">
        <v>0</v>
      </c>
    </row>
    <row r="518" spans="1:12" x14ac:dyDescent="0.35">
      <c r="A518" t="s">
        <v>923</v>
      </c>
      <c r="B518" t="s">
        <v>25</v>
      </c>
      <c r="C518" t="s">
        <v>43</v>
      </c>
      <c r="D518">
        <v>35</v>
      </c>
      <c r="E518" t="s">
        <v>109</v>
      </c>
      <c r="F518" t="s">
        <v>16</v>
      </c>
      <c r="G518" t="s">
        <v>455</v>
      </c>
      <c r="H518">
        <v>50288.67</v>
      </c>
      <c r="I518" t="s">
        <v>45</v>
      </c>
      <c r="J518">
        <v>-61558107</v>
      </c>
      <c r="K518" t="s">
        <v>23</v>
      </c>
      <c r="L518" t="b">
        <v>0</v>
      </c>
    </row>
    <row r="519" spans="1:12" x14ac:dyDescent="0.35">
      <c r="A519" t="s">
        <v>924</v>
      </c>
      <c r="B519" t="s">
        <v>59</v>
      </c>
      <c r="C519" t="s">
        <v>92</v>
      </c>
      <c r="D519">
        <v>35</v>
      </c>
      <c r="E519" t="s">
        <v>66</v>
      </c>
      <c r="F519" t="s">
        <v>16</v>
      </c>
      <c r="G519" t="s">
        <v>925</v>
      </c>
      <c r="H519">
        <v>85233.55</v>
      </c>
      <c r="I519" t="s">
        <v>107</v>
      </c>
      <c r="J519">
        <v>-3583286341</v>
      </c>
      <c r="K519" t="s">
        <v>30</v>
      </c>
      <c r="L519" t="b">
        <v>1</v>
      </c>
    </row>
    <row r="520" spans="1:12" x14ac:dyDescent="0.35">
      <c r="A520" t="s">
        <v>926</v>
      </c>
      <c r="B520" t="s">
        <v>13</v>
      </c>
      <c r="C520" t="s">
        <v>43</v>
      </c>
      <c r="D520">
        <v>25</v>
      </c>
      <c r="E520" t="s">
        <v>146</v>
      </c>
      <c r="F520" t="s">
        <v>33</v>
      </c>
      <c r="G520" t="s">
        <v>927</v>
      </c>
      <c r="H520">
        <v>86420.19</v>
      </c>
      <c r="I520" t="s">
        <v>153</v>
      </c>
      <c r="J520">
        <v>-5563830007</v>
      </c>
      <c r="K520" t="s">
        <v>30</v>
      </c>
      <c r="L520" t="b">
        <v>0</v>
      </c>
    </row>
    <row r="521" spans="1:12" x14ac:dyDescent="0.35">
      <c r="A521" t="s">
        <v>928</v>
      </c>
      <c r="B521" t="s">
        <v>69</v>
      </c>
      <c r="C521" t="s">
        <v>55</v>
      </c>
      <c r="D521">
        <v>30</v>
      </c>
      <c r="E521" t="s">
        <v>212</v>
      </c>
      <c r="F521" t="s">
        <v>33</v>
      </c>
      <c r="G521" t="s">
        <v>929</v>
      </c>
      <c r="H521">
        <v>63189.82</v>
      </c>
      <c r="I521" t="s">
        <v>127</v>
      </c>
      <c r="J521">
        <v>-1867024402</v>
      </c>
      <c r="K521" t="s">
        <v>23</v>
      </c>
      <c r="L521" t="b">
        <v>0</v>
      </c>
    </row>
    <row r="522" spans="1:12" x14ac:dyDescent="0.35">
      <c r="A522" t="s">
        <v>930</v>
      </c>
      <c r="B522" t="s">
        <v>69</v>
      </c>
      <c r="C522" t="s">
        <v>43</v>
      </c>
      <c r="D522">
        <v>25</v>
      </c>
      <c r="E522" t="s">
        <v>196</v>
      </c>
      <c r="F522" t="s">
        <v>28</v>
      </c>
      <c r="G522" t="s">
        <v>931</v>
      </c>
      <c r="H522">
        <v>64783.32</v>
      </c>
      <c r="I522" t="s">
        <v>83</v>
      </c>
      <c r="J522">
        <v>-3041662410</v>
      </c>
      <c r="K522" t="s">
        <v>18</v>
      </c>
      <c r="L522" t="b">
        <v>0</v>
      </c>
    </row>
    <row r="523" spans="1:12" x14ac:dyDescent="0.35">
      <c r="A523" t="s">
        <v>932</v>
      </c>
      <c r="B523" t="s">
        <v>54</v>
      </c>
      <c r="C523" t="s">
        <v>14</v>
      </c>
      <c r="D523">
        <v>25</v>
      </c>
      <c r="E523" t="s">
        <v>149</v>
      </c>
      <c r="F523" t="s">
        <v>28</v>
      </c>
      <c r="G523" s="1">
        <v>45571</v>
      </c>
      <c r="H523">
        <v>52615.44</v>
      </c>
      <c r="I523" t="s">
        <v>170</v>
      </c>
      <c r="J523">
        <v>-1860089218</v>
      </c>
      <c r="K523" t="s">
        <v>18</v>
      </c>
      <c r="L523" t="b">
        <v>0</v>
      </c>
    </row>
    <row r="524" spans="1:12" x14ac:dyDescent="0.35">
      <c r="A524" t="s">
        <v>933</v>
      </c>
      <c r="B524" t="s">
        <v>32</v>
      </c>
      <c r="C524" t="s">
        <v>92</v>
      </c>
      <c r="E524" t="s">
        <v>44</v>
      </c>
      <c r="F524" t="s">
        <v>28</v>
      </c>
      <c r="G524" s="1">
        <v>44047</v>
      </c>
      <c r="H524">
        <v>96337.89</v>
      </c>
      <c r="I524" t="s">
        <v>263</v>
      </c>
      <c r="J524">
        <v>-6394568043</v>
      </c>
      <c r="K524" t="s">
        <v>41</v>
      </c>
      <c r="L524" t="b">
        <v>0</v>
      </c>
    </row>
    <row r="525" spans="1:12" x14ac:dyDescent="0.35">
      <c r="A525" t="s">
        <v>934</v>
      </c>
      <c r="B525" t="s">
        <v>25</v>
      </c>
      <c r="C525" t="s">
        <v>14</v>
      </c>
      <c r="D525">
        <v>25</v>
      </c>
      <c r="E525" t="s">
        <v>237</v>
      </c>
      <c r="F525" t="s">
        <v>33</v>
      </c>
      <c r="G525" t="s">
        <v>935</v>
      </c>
      <c r="H525">
        <v>76617.759999999995</v>
      </c>
      <c r="I525" t="s">
        <v>163</v>
      </c>
      <c r="J525">
        <v>-7314976460</v>
      </c>
      <c r="K525" t="s">
        <v>23</v>
      </c>
      <c r="L525" t="b">
        <v>1</v>
      </c>
    </row>
    <row r="526" spans="1:12" x14ac:dyDescent="0.35">
      <c r="A526" t="s">
        <v>936</v>
      </c>
      <c r="B526" t="s">
        <v>65</v>
      </c>
      <c r="C526" t="s">
        <v>55</v>
      </c>
      <c r="D526">
        <v>30</v>
      </c>
      <c r="E526" t="s">
        <v>27</v>
      </c>
      <c r="F526" t="s">
        <v>28</v>
      </c>
      <c r="G526" t="s">
        <v>937</v>
      </c>
      <c r="H526">
        <v>50651.32</v>
      </c>
      <c r="I526" t="s">
        <v>113</v>
      </c>
      <c r="J526">
        <v>-3684748835</v>
      </c>
      <c r="K526" t="s">
        <v>41</v>
      </c>
      <c r="L526" t="b">
        <v>0</v>
      </c>
    </row>
    <row r="527" spans="1:12" x14ac:dyDescent="0.35">
      <c r="A527" t="s">
        <v>938</v>
      </c>
      <c r="B527" t="s">
        <v>13</v>
      </c>
      <c r="C527" t="s">
        <v>14</v>
      </c>
      <c r="E527" t="s">
        <v>192</v>
      </c>
      <c r="F527" t="s">
        <v>28</v>
      </c>
      <c r="G527" s="1">
        <v>45089</v>
      </c>
      <c r="H527">
        <v>59601.45</v>
      </c>
      <c r="I527" t="s">
        <v>17</v>
      </c>
      <c r="J527">
        <v>-765817389</v>
      </c>
      <c r="K527" t="s">
        <v>41</v>
      </c>
      <c r="L527" t="b">
        <v>0</v>
      </c>
    </row>
    <row r="528" spans="1:12" x14ac:dyDescent="0.35">
      <c r="A528" t="s">
        <v>939</v>
      </c>
      <c r="B528" t="s">
        <v>13</v>
      </c>
      <c r="C528" t="s">
        <v>38</v>
      </c>
      <c r="E528" t="s">
        <v>78</v>
      </c>
      <c r="F528" t="s">
        <v>16</v>
      </c>
      <c r="G528" s="1">
        <v>44204</v>
      </c>
      <c r="H528">
        <v>57980.88</v>
      </c>
      <c r="I528" t="s">
        <v>144</v>
      </c>
      <c r="J528">
        <v>-6375791451</v>
      </c>
      <c r="K528" t="s">
        <v>41</v>
      </c>
      <c r="L528" t="b">
        <v>0</v>
      </c>
    </row>
    <row r="529" spans="1:12" x14ac:dyDescent="0.35">
      <c r="A529" t="s">
        <v>940</v>
      </c>
      <c r="B529" t="s">
        <v>59</v>
      </c>
      <c r="C529" t="s">
        <v>55</v>
      </c>
      <c r="E529" t="s">
        <v>118</v>
      </c>
      <c r="F529" t="s">
        <v>28</v>
      </c>
      <c r="G529" t="s">
        <v>941</v>
      </c>
      <c r="H529">
        <v>75054.53</v>
      </c>
      <c r="I529" t="s">
        <v>217</v>
      </c>
      <c r="J529">
        <v>-1182379311</v>
      </c>
      <c r="K529" t="s">
        <v>18</v>
      </c>
      <c r="L529" t="b">
        <v>0</v>
      </c>
    </row>
    <row r="530" spans="1:12" x14ac:dyDescent="0.35">
      <c r="A530" t="s">
        <v>942</v>
      </c>
      <c r="B530" t="s">
        <v>54</v>
      </c>
      <c r="C530" t="s">
        <v>55</v>
      </c>
      <c r="D530">
        <v>25</v>
      </c>
      <c r="E530" t="s">
        <v>74</v>
      </c>
      <c r="F530" t="s">
        <v>16</v>
      </c>
      <c r="G530" s="1">
        <v>45210</v>
      </c>
      <c r="H530">
        <v>115318.7</v>
      </c>
      <c r="I530" t="s">
        <v>57</v>
      </c>
      <c r="J530">
        <v>-6978930745</v>
      </c>
      <c r="K530" t="s">
        <v>23</v>
      </c>
      <c r="L530" t="b">
        <v>0</v>
      </c>
    </row>
    <row r="531" spans="1:12" x14ac:dyDescent="0.35">
      <c r="A531" t="s">
        <v>943</v>
      </c>
      <c r="B531" t="s">
        <v>25</v>
      </c>
      <c r="C531" t="s">
        <v>55</v>
      </c>
      <c r="D531">
        <v>25</v>
      </c>
      <c r="E531" t="s">
        <v>237</v>
      </c>
      <c r="F531" t="s">
        <v>16</v>
      </c>
      <c r="G531" s="1">
        <v>45452</v>
      </c>
      <c r="H531">
        <v>90190.69</v>
      </c>
      <c r="I531" t="s">
        <v>150</v>
      </c>
      <c r="J531">
        <v>-4520599603</v>
      </c>
      <c r="K531" t="s">
        <v>41</v>
      </c>
      <c r="L531" t="b">
        <v>1</v>
      </c>
    </row>
    <row r="532" spans="1:12" x14ac:dyDescent="0.35">
      <c r="A532" t="s">
        <v>944</v>
      </c>
      <c r="B532" t="s">
        <v>13</v>
      </c>
      <c r="C532" t="s">
        <v>122</v>
      </c>
      <c r="E532" t="s">
        <v>85</v>
      </c>
      <c r="F532" t="s">
        <v>28</v>
      </c>
      <c r="G532" t="s">
        <v>855</v>
      </c>
      <c r="H532">
        <v>113334.56</v>
      </c>
      <c r="I532" t="s">
        <v>123</v>
      </c>
      <c r="J532">
        <v>-3878753576</v>
      </c>
      <c r="K532" t="s">
        <v>23</v>
      </c>
      <c r="L532" t="b">
        <v>0</v>
      </c>
    </row>
    <row r="533" spans="1:12" x14ac:dyDescent="0.35">
      <c r="A533" t="s">
        <v>945</v>
      </c>
      <c r="B533" t="s">
        <v>65</v>
      </c>
      <c r="C533" t="s">
        <v>43</v>
      </c>
      <c r="D533">
        <v>35</v>
      </c>
      <c r="E533" t="s">
        <v>212</v>
      </c>
      <c r="F533" t="s">
        <v>16</v>
      </c>
      <c r="G533" t="s">
        <v>946</v>
      </c>
      <c r="H533">
        <v>106922.49</v>
      </c>
      <c r="I533" t="s">
        <v>257</v>
      </c>
      <c r="J533">
        <v>-8811616201</v>
      </c>
      <c r="K533" t="s">
        <v>23</v>
      </c>
      <c r="L533" t="b">
        <v>1</v>
      </c>
    </row>
    <row r="534" spans="1:12" x14ac:dyDescent="0.35">
      <c r="A534" t="s">
        <v>947</v>
      </c>
      <c r="B534" t="s">
        <v>32</v>
      </c>
      <c r="C534" t="s">
        <v>122</v>
      </c>
      <c r="D534">
        <v>35</v>
      </c>
      <c r="E534" t="s">
        <v>15</v>
      </c>
      <c r="F534" t="s">
        <v>33</v>
      </c>
      <c r="G534" t="s">
        <v>948</v>
      </c>
      <c r="H534">
        <v>58113.07</v>
      </c>
      <c r="I534" t="s">
        <v>522</v>
      </c>
      <c r="J534">
        <v>-8123710671</v>
      </c>
      <c r="K534" t="s">
        <v>18</v>
      </c>
      <c r="L534" t="b">
        <v>1</v>
      </c>
    </row>
    <row r="535" spans="1:12" x14ac:dyDescent="0.35">
      <c r="A535" t="s">
        <v>949</v>
      </c>
      <c r="B535" t="s">
        <v>25</v>
      </c>
      <c r="C535" t="s">
        <v>122</v>
      </c>
      <c r="D535">
        <v>25</v>
      </c>
      <c r="E535" t="s">
        <v>27</v>
      </c>
      <c r="F535" t="s">
        <v>28</v>
      </c>
      <c r="G535" t="s">
        <v>950</v>
      </c>
      <c r="H535">
        <v>73006.259999999995</v>
      </c>
      <c r="I535" t="s">
        <v>182</v>
      </c>
      <c r="J535">
        <v>-8728660415</v>
      </c>
      <c r="K535" t="s">
        <v>41</v>
      </c>
      <c r="L535" t="b">
        <v>1</v>
      </c>
    </row>
    <row r="536" spans="1:12" x14ac:dyDescent="0.35">
      <c r="A536" t="s">
        <v>951</v>
      </c>
      <c r="B536" t="s">
        <v>32</v>
      </c>
      <c r="C536" t="s">
        <v>38</v>
      </c>
      <c r="D536">
        <v>25</v>
      </c>
      <c r="E536" t="s">
        <v>146</v>
      </c>
      <c r="F536" t="s">
        <v>16</v>
      </c>
      <c r="G536" t="s">
        <v>413</v>
      </c>
      <c r="H536">
        <v>78054.429999999993</v>
      </c>
      <c r="I536" t="s">
        <v>141</v>
      </c>
      <c r="J536">
        <v>-4485959223</v>
      </c>
      <c r="K536" t="s">
        <v>41</v>
      </c>
      <c r="L536" t="b">
        <v>1</v>
      </c>
    </row>
    <row r="537" spans="1:12" x14ac:dyDescent="0.35">
      <c r="A537" t="s">
        <v>952</v>
      </c>
      <c r="B537" t="s">
        <v>32</v>
      </c>
      <c r="C537" t="s">
        <v>92</v>
      </c>
      <c r="D537">
        <v>40</v>
      </c>
      <c r="E537" t="s">
        <v>230</v>
      </c>
      <c r="F537" t="s">
        <v>33</v>
      </c>
      <c r="G537" t="s">
        <v>639</v>
      </c>
      <c r="H537">
        <v>112028.67</v>
      </c>
      <c r="I537" t="s">
        <v>263</v>
      </c>
      <c r="J537">
        <v>-8395894772</v>
      </c>
      <c r="K537" t="s">
        <v>23</v>
      </c>
      <c r="L537" t="b">
        <v>0</v>
      </c>
    </row>
    <row r="538" spans="1:12" x14ac:dyDescent="0.35">
      <c r="A538" t="s">
        <v>953</v>
      </c>
      <c r="B538" t="s">
        <v>54</v>
      </c>
      <c r="C538" t="s">
        <v>43</v>
      </c>
      <c r="D538">
        <v>25</v>
      </c>
      <c r="E538" t="s">
        <v>103</v>
      </c>
      <c r="F538" t="s">
        <v>33</v>
      </c>
      <c r="G538" t="s">
        <v>954</v>
      </c>
      <c r="H538">
        <v>83787.240000000005</v>
      </c>
      <c r="I538" t="s">
        <v>87</v>
      </c>
      <c r="J538">
        <v>-5228705621</v>
      </c>
      <c r="K538" t="s">
        <v>30</v>
      </c>
      <c r="L538" t="b">
        <v>1</v>
      </c>
    </row>
    <row r="539" spans="1:12" x14ac:dyDescent="0.35">
      <c r="A539" t="s">
        <v>955</v>
      </c>
      <c r="B539" t="s">
        <v>65</v>
      </c>
      <c r="C539" t="s">
        <v>14</v>
      </c>
      <c r="D539">
        <v>30</v>
      </c>
      <c r="E539" t="s">
        <v>74</v>
      </c>
      <c r="F539" t="s">
        <v>33</v>
      </c>
      <c r="G539" s="1">
        <v>45083</v>
      </c>
      <c r="H539">
        <v>52017.14</v>
      </c>
      <c r="I539" t="s">
        <v>395</v>
      </c>
      <c r="J539">
        <v>-7104331874</v>
      </c>
      <c r="K539" t="s">
        <v>18</v>
      </c>
      <c r="L539" t="b">
        <v>1</v>
      </c>
    </row>
    <row r="540" spans="1:12" x14ac:dyDescent="0.35">
      <c r="A540" t="s">
        <v>956</v>
      </c>
      <c r="B540" t="s">
        <v>54</v>
      </c>
      <c r="C540" t="s">
        <v>26</v>
      </c>
      <c r="D540">
        <v>40</v>
      </c>
      <c r="E540" t="s">
        <v>21</v>
      </c>
      <c r="F540" t="s">
        <v>33</v>
      </c>
      <c r="G540" t="s">
        <v>957</v>
      </c>
      <c r="H540">
        <v>53218.06</v>
      </c>
      <c r="I540" t="s">
        <v>120</v>
      </c>
      <c r="J540">
        <v>-1097921582</v>
      </c>
      <c r="K540" t="s">
        <v>18</v>
      </c>
      <c r="L540" t="b">
        <v>0</v>
      </c>
    </row>
    <row r="541" spans="1:12" x14ac:dyDescent="0.35">
      <c r="A541" t="s">
        <v>958</v>
      </c>
      <c r="B541" t="s">
        <v>37</v>
      </c>
      <c r="C541" t="s">
        <v>55</v>
      </c>
      <c r="D541">
        <v>25</v>
      </c>
      <c r="E541" t="s">
        <v>329</v>
      </c>
      <c r="F541" t="s">
        <v>28</v>
      </c>
      <c r="G541" t="s">
        <v>959</v>
      </c>
      <c r="H541">
        <v>102053.67</v>
      </c>
      <c r="I541" t="s">
        <v>271</v>
      </c>
      <c r="J541">
        <v>-5034469458</v>
      </c>
      <c r="K541" t="s">
        <v>18</v>
      </c>
      <c r="L541" t="b">
        <v>0</v>
      </c>
    </row>
    <row r="542" spans="1:12" x14ac:dyDescent="0.35">
      <c r="A542" t="s">
        <v>960</v>
      </c>
      <c r="B542" t="s">
        <v>59</v>
      </c>
      <c r="C542" t="s">
        <v>14</v>
      </c>
      <c r="D542">
        <v>35</v>
      </c>
      <c r="E542" t="s">
        <v>98</v>
      </c>
      <c r="F542" t="s">
        <v>28</v>
      </c>
      <c r="G542" s="1">
        <v>45058</v>
      </c>
      <c r="H542">
        <v>93276.73</v>
      </c>
      <c r="I542" t="s">
        <v>63</v>
      </c>
      <c r="J542">
        <v>-6488319212</v>
      </c>
      <c r="K542" t="s">
        <v>18</v>
      </c>
      <c r="L542" t="b">
        <v>0</v>
      </c>
    </row>
    <row r="543" spans="1:12" x14ac:dyDescent="0.35">
      <c r="A543" t="s">
        <v>961</v>
      </c>
      <c r="B543" t="s">
        <v>59</v>
      </c>
      <c r="C543" t="s">
        <v>55</v>
      </c>
      <c r="D543">
        <v>40</v>
      </c>
      <c r="E543" t="s">
        <v>149</v>
      </c>
      <c r="F543" t="s">
        <v>28</v>
      </c>
      <c r="G543" s="1">
        <v>45085</v>
      </c>
      <c r="H543">
        <v>76941.36</v>
      </c>
      <c r="I543" t="s">
        <v>217</v>
      </c>
      <c r="J543">
        <v>-4249128964</v>
      </c>
      <c r="K543" t="s">
        <v>41</v>
      </c>
      <c r="L543" t="b">
        <v>1</v>
      </c>
    </row>
    <row r="544" spans="1:12" x14ac:dyDescent="0.35">
      <c r="A544" t="s">
        <v>962</v>
      </c>
      <c r="B544" t="s">
        <v>25</v>
      </c>
      <c r="C544" t="s">
        <v>38</v>
      </c>
      <c r="D544">
        <v>25</v>
      </c>
      <c r="E544" t="s">
        <v>56</v>
      </c>
      <c r="F544" t="s">
        <v>28</v>
      </c>
      <c r="G544" s="1">
        <v>45392</v>
      </c>
      <c r="H544">
        <v>82850.23</v>
      </c>
      <c r="I544" t="s">
        <v>363</v>
      </c>
      <c r="J544">
        <v>-9994973202</v>
      </c>
      <c r="K544" t="s">
        <v>41</v>
      </c>
      <c r="L544" t="b">
        <v>0</v>
      </c>
    </row>
    <row r="545" spans="1:12" x14ac:dyDescent="0.35">
      <c r="A545" t="s">
        <v>963</v>
      </c>
      <c r="B545" t="s">
        <v>54</v>
      </c>
      <c r="C545" t="s">
        <v>55</v>
      </c>
      <c r="D545">
        <v>25</v>
      </c>
      <c r="E545" t="s">
        <v>70</v>
      </c>
      <c r="F545" t="s">
        <v>16</v>
      </c>
      <c r="G545" s="1">
        <v>44419</v>
      </c>
      <c r="H545">
        <v>117910.15</v>
      </c>
      <c r="I545" t="s">
        <v>57</v>
      </c>
      <c r="J545">
        <v>-3192227050</v>
      </c>
      <c r="K545" t="s">
        <v>30</v>
      </c>
      <c r="L545" t="b">
        <v>0</v>
      </c>
    </row>
    <row r="546" spans="1:12" x14ac:dyDescent="0.35">
      <c r="A546" t="s">
        <v>964</v>
      </c>
      <c r="B546" t="s">
        <v>59</v>
      </c>
      <c r="C546" t="s">
        <v>122</v>
      </c>
      <c r="E546" t="s">
        <v>230</v>
      </c>
      <c r="F546" t="s">
        <v>33</v>
      </c>
      <c r="G546" t="s">
        <v>965</v>
      </c>
      <c r="H546">
        <v>66450</v>
      </c>
      <c r="I546" t="s">
        <v>341</v>
      </c>
      <c r="J546">
        <v>-287675480</v>
      </c>
      <c r="K546" t="s">
        <v>18</v>
      </c>
      <c r="L546" t="b">
        <v>1</v>
      </c>
    </row>
    <row r="547" spans="1:12" x14ac:dyDescent="0.35">
      <c r="A547" t="s">
        <v>966</v>
      </c>
      <c r="B547" t="s">
        <v>65</v>
      </c>
      <c r="C547" t="s">
        <v>43</v>
      </c>
      <c r="D547">
        <v>25</v>
      </c>
      <c r="E547" t="s">
        <v>112</v>
      </c>
      <c r="F547" t="s">
        <v>33</v>
      </c>
      <c r="G547" t="s">
        <v>967</v>
      </c>
      <c r="H547">
        <v>118646.95</v>
      </c>
      <c r="I547" t="s">
        <v>257</v>
      </c>
      <c r="J547">
        <v>-3866675484</v>
      </c>
      <c r="K547" t="s">
        <v>18</v>
      </c>
      <c r="L547" t="b">
        <v>0</v>
      </c>
    </row>
    <row r="548" spans="1:12" x14ac:dyDescent="0.35">
      <c r="A548" t="s">
        <v>968</v>
      </c>
      <c r="B548" t="s">
        <v>25</v>
      </c>
      <c r="C548" t="s">
        <v>26</v>
      </c>
      <c r="D548">
        <v>25</v>
      </c>
      <c r="E548" t="s">
        <v>112</v>
      </c>
      <c r="F548" t="s">
        <v>16</v>
      </c>
      <c r="G548" t="s">
        <v>969</v>
      </c>
      <c r="H548">
        <v>88436.92</v>
      </c>
      <c r="I548" t="s">
        <v>29</v>
      </c>
      <c r="J548">
        <v>-8193242686</v>
      </c>
      <c r="K548" t="s">
        <v>23</v>
      </c>
      <c r="L548" t="b">
        <v>0</v>
      </c>
    </row>
    <row r="549" spans="1:12" x14ac:dyDescent="0.35">
      <c r="A549" t="s">
        <v>970</v>
      </c>
      <c r="B549" t="s">
        <v>32</v>
      </c>
      <c r="C549" t="s">
        <v>20</v>
      </c>
      <c r="E549" t="s">
        <v>109</v>
      </c>
      <c r="F549" t="s">
        <v>28</v>
      </c>
      <c r="G549" s="1">
        <v>45117</v>
      </c>
      <c r="H549">
        <v>81934.55</v>
      </c>
      <c r="I549" t="s">
        <v>155</v>
      </c>
      <c r="J549">
        <v>-7418652056</v>
      </c>
      <c r="K549" t="s">
        <v>41</v>
      </c>
      <c r="L549" t="b">
        <v>0</v>
      </c>
    </row>
    <row r="550" spans="1:12" x14ac:dyDescent="0.35">
      <c r="A550" t="s">
        <v>971</v>
      </c>
      <c r="B550" t="s">
        <v>25</v>
      </c>
      <c r="C550" t="s">
        <v>55</v>
      </c>
      <c r="D550">
        <v>30</v>
      </c>
      <c r="E550" t="s">
        <v>70</v>
      </c>
      <c r="F550" t="s">
        <v>28</v>
      </c>
      <c r="G550" t="s">
        <v>959</v>
      </c>
      <c r="H550">
        <v>93383.06</v>
      </c>
      <c r="I550" t="s">
        <v>150</v>
      </c>
      <c r="J550">
        <v>-5639836519</v>
      </c>
      <c r="K550" t="s">
        <v>18</v>
      </c>
      <c r="L550" t="b">
        <v>0</v>
      </c>
    </row>
    <row r="551" spans="1:12" x14ac:dyDescent="0.35">
      <c r="A551" t="s">
        <v>972</v>
      </c>
      <c r="B551" t="s">
        <v>37</v>
      </c>
      <c r="C551" t="s">
        <v>14</v>
      </c>
      <c r="D551">
        <v>40</v>
      </c>
      <c r="E551" t="s">
        <v>159</v>
      </c>
      <c r="F551" t="s">
        <v>28</v>
      </c>
      <c r="G551" t="s">
        <v>973</v>
      </c>
      <c r="H551">
        <v>50153.79</v>
      </c>
      <c r="I551" t="s">
        <v>52</v>
      </c>
      <c r="J551">
        <v>-3758309450</v>
      </c>
      <c r="K551" t="s">
        <v>30</v>
      </c>
      <c r="L551" t="b">
        <v>1</v>
      </c>
    </row>
    <row r="552" spans="1:12" x14ac:dyDescent="0.35">
      <c r="A552" t="s">
        <v>974</v>
      </c>
      <c r="B552" t="s">
        <v>32</v>
      </c>
      <c r="C552" t="s">
        <v>122</v>
      </c>
      <c r="E552" t="s">
        <v>177</v>
      </c>
      <c r="F552" t="s">
        <v>28</v>
      </c>
      <c r="G552" s="1">
        <v>43959</v>
      </c>
      <c r="H552">
        <v>53204.47</v>
      </c>
      <c r="I552" t="s">
        <v>522</v>
      </c>
      <c r="J552">
        <v>-5480940475</v>
      </c>
      <c r="K552" t="s">
        <v>30</v>
      </c>
      <c r="L552" t="b">
        <v>0</v>
      </c>
    </row>
    <row r="553" spans="1:12" x14ac:dyDescent="0.35">
      <c r="A553" t="s">
        <v>975</v>
      </c>
      <c r="B553" t="s">
        <v>54</v>
      </c>
      <c r="C553" t="s">
        <v>20</v>
      </c>
      <c r="D553">
        <v>40</v>
      </c>
      <c r="E553" t="s">
        <v>268</v>
      </c>
      <c r="F553" t="s">
        <v>28</v>
      </c>
      <c r="G553" s="1">
        <v>44318</v>
      </c>
      <c r="H553">
        <v>63128.04</v>
      </c>
      <c r="I553" t="s">
        <v>125</v>
      </c>
      <c r="J553">
        <v>-440907976</v>
      </c>
      <c r="K553" t="s">
        <v>41</v>
      </c>
      <c r="L553" t="b">
        <v>0</v>
      </c>
    </row>
    <row r="554" spans="1:12" x14ac:dyDescent="0.35">
      <c r="A554" t="s">
        <v>976</v>
      </c>
      <c r="B554" t="s">
        <v>69</v>
      </c>
      <c r="C554" t="s">
        <v>26</v>
      </c>
      <c r="D554">
        <v>30</v>
      </c>
      <c r="E554" t="s">
        <v>227</v>
      </c>
      <c r="F554" t="s">
        <v>28</v>
      </c>
      <c r="G554" t="s">
        <v>977</v>
      </c>
      <c r="H554">
        <v>57543.6</v>
      </c>
      <c r="I554" t="s">
        <v>76</v>
      </c>
      <c r="J554">
        <v>-2781050921</v>
      </c>
      <c r="K554" t="s">
        <v>30</v>
      </c>
      <c r="L554" t="b">
        <v>1</v>
      </c>
    </row>
    <row r="555" spans="1:12" x14ac:dyDescent="0.35">
      <c r="A555" t="s">
        <v>978</v>
      </c>
      <c r="B555" t="s">
        <v>13</v>
      </c>
      <c r="C555" t="s">
        <v>20</v>
      </c>
      <c r="D555">
        <v>40</v>
      </c>
      <c r="E555" t="s">
        <v>100</v>
      </c>
      <c r="F555" t="s">
        <v>28</v>
      </c>
      <c r="G555" t="s">
        <v>979</v>
      </c>
      <c r="H555">
        <v>59424.52</v>
      </c>
      <c r="I555" t="s">
        <v>22</v>
      </c>
      <c r="J555">
        <v>-2161070517</v>
      </c>
      <c r="K555" t="s">
        <v>30</v>
      </c>
      <c r="L555" t="b">
        <v>0</v>
      </c>
    </row>
    <row r="556" spans="1:12" x14ac:dyDescent="0.35">
      <c r="A556" t="s">
        <v>980</v>
      </c>
      <c r="B556" t="s">
        <v>25</v>
      </c>
      <c r="C556" t="s">
        <v>122</v>
      </c>
      <c r="E556" t="s">
        <v>265</v>
      </c>
      <c r="F556" t="s">
        <v>33</v>
      </c>
      <c r="G556" s="1">
        <v>44753</v>
      </c>
      <c r="H556">
        <v>104675.7</v>
      </c>
      <c r="I556" t="s">
        <v>182</v>
      </c>
      <c r="J556">
        <v>-4390552957</v>
      </c>
      <c r="K556" t="s">
        <v>41</v>
      </c>
      <c r="L556" t="b">
        <v>1</v>
      </c>
    </row>
    <row r="557" spans="1:12" x14ac:dyDescent="0.35">
      <c r="A557" t="s">
        <v>981</v>
      </c>
      <c r="B557" t="s">
        <v>54</v>
      </c>
      <c r="C557" t="s">
        <v>43</v>
      </c>
      <c r="D557">
        <v>30</v>
      </c>
      <c r="E557" t="s">
        <v>39</v>
      </c>
      <c r="F557" t="s">
        <v>28</v>
      </c>
      <c r="G557" t="s">
        <v>982</v>
      </c>
      <c r="H557">
        <v>92431.25</v>
      </c>
      <c r="I557" t="s">
        <v>87</v>
      </c>
      <c r="J557">
        <v>-660138240</v>
      </c>
      <c r="K557" t="s">
        <v>18</v>
      </c>
      <c r="L557" t="b">
        <v>0</v>
      </c>
    </row>
    <row r="558" spans="1:12" x14ac:dyDescent="0.35">
      <c r="A558" t="s">
        <v>983</v>
      </c>
      <c r="B558" t="s">
        <v>69</v>
      </c>
      <c r="C558" t="s">
        <v>43</v>
      </c>
      <c r="D558">
        <v>40</v>
      </c>
      <c r="E558" t="s">
        <v>219</v>
      </c>
      <c r="F558" t="s">
        <v>16</v>
      </c>
      <c r="G558" t="s">
        <v>984</v>
      </c>
      <c r="H558">
        <v>77850.899999999994</v>
      </c>
      <c r="I558" t="s">
        <v>83</v>
      </c>
      <c r="J558">
        <v>-2704938619</v>
      </c>
      <c r="K558" t="s">
        <v>18</v>
      </c>
      <c r="L558" t="b">
        <v>1</v>
      </c>
    </row>
    <row r="559" spans="1:12" x14ac:dyDescent="0.35">
      <c r="A559" t="s">
        <v>985</v>
      </c>
      <c r="B559" t="s">
        <v>32</v>
      </c>
      <c r="C559" t="s">
        <v>92</v>
      </c>
      <c r="D559">
        <v>40</v>
      </c>
      <c r="E559" t="s">
        <v>196</v>
      </c>
      <c r="F559" t="s">
        <v>33</v>
      </c>
      <c r="G559" t="s">
        <v>986</v>
      </c>
      <c r="H559">
        <v>99001</v>
      </c>
      <c r="I559" t="s">
        <v>263</v>
      </c>
      <c r="J559">
        <v>-4485157918</v>
      </c>
      <c r="K559" t="s">
        <v>30</v>
      </c>
      <c r="L559" t="b">
        <v>1</v>
      </c>
    </row>
    <row r="560" spans="1:12" x14ac:dyDescent="0.35">
      <c r="A560" t="s">
        <v>987</v>
      </c>
      <c r="B560" t="s">
        <v>32</v>
      </c>
      <c r="C560" t="s">
        <v>43</v>
      </c>
      <c r="E560" t="s">
        <v>149</v>
      </c>
      <c r="F560" t="s">
        <v>28</v>
      </c>
      <c r="G560" s="1">
        <v>45109</v>
      </c>
      <c r="H560">
        <v>94280.83</v>
      </c>
      <c r="I560" t="s">
        <v>297</v>
      </c>
      <c r="J560">
        <v>-7111212589</v>
      </c>
      <c r="K560" t="s">
        <v>30</v>
      </c>
      <c r="L560" t="b">
        <v>1</v>
      </c>
    </row>
    <row r="561" spans="1:12" x14ac:dyDescent="0.35">
      <c r="A561" t="s">
        <v>988</v>
      </c>
      <c r="B561" t="s">
        <v>32</v>
      </c>
      <c r="C561" t="s">
        <v>92</v>
      </c>
      <c r="D561">
        <v>35</v>
      </c>
      <c r="E561" t="s">
        <v>56</v>
      </c>
      <c r="F561" t="s">
        <v>28</v>
      </c>
      <c r="G561" t="s">
        <v>989</v>
      </c>
      <c r="H561">
        <v>118262.56</v>
      </c>
      <c r="I561" t="s">
        <v>263</v>
      </c>
      <c r="J561">
        <v>-2035713431</v>
      </c>
      <c r="K561" t="s">
        <v>18</v>
      </c>
      <c r="L561" t="b">
        <v>1</v>
      </c>
    </row>
    <row r="562" spans="1:12" x14ac:dyDescent="0.35">
      <c r="A562" t="s">
        <v>990</v>
      </c>
      <c r="B562" t="s">
        <v>37</v>
      </c>
      <c r="C562" t="s">
        <v>20</v>
      </c>
      <c r="D562">
        <v>25</v>
      </c>
      <c r="E562" t="s">
        <v>192</v>
      </c>
      <c r="F562" t="s">
        <v>33</v>
      </c>
      <c r="G562" s="1">
        <v>45142</v>
      </c>
      <c r="H562">
        <v>89944.67</v>
      </c>
      <c r="I562" t="s">
        <v>239</v>
      </c>
      <c r="J562">
        <v>-4064242955</v>
      </c>
      <c r="K562" t="s">
        <v>41</v>
      </c>
      <c r="L562" t="b">
        <v>0</v>
      </c>
    </row>
    <row r="563" spans="1:12" x14ac:dyDescent="0.35">
      <c r="A563" t="s">
        <v>991</v>
      </c>
      <c r="B563" t="s">
        <v>69</v>
      </c>
      <c r="C563" t="s">
        <v>38</v>
      </c>
      <c r="E563" t="s">
        <v>212</v>
      </c>
      <c r="F563" t="s">
        <v>16</v>
      </c>
      <c r="G563" s="1">
        <v>44724</v>
      </c>
      <c r="H563">
        <v>57452.93</v>
      </c>
      <c r="I563" t="s">
        <v>71</v>
      </c>
      <c r="J563">
        <v>-3343244740</v>
      </c>
      <c r="K563" t="s">
        <v>30</v>
      </c>
      <c r="L563" t="b">
        <v>1</v>
      </c>
    </row>
    <row r="564" spans="1:12" x14ac:dyDescent="0.35">
      <c r="A564" t="s">
        <v>992</v>
      </c>
      <c r="B564" t="s">
        <v>25</v>
      </c>
      <c r="C564" t="s">
        <v>14</v>
      </c>
      <c r="D564">
        <v>25</v>
      </c>
      <c r="E564" t="s">
        <v>118</v>
      </c>
      <c r="F564" t="s">
        <v>16</v>
      </c>
      <c r="G564" s="1">
        <v>44447</v>
      </c>
      <c r="H564">
        <v>97837.32</v>
      </c>
      <c r="I564" t="s">
        <v>163</v>
      </c>
      <c r="J564">
        <v>-7595587208</v>
      </c>
      <c r="K564" t="s">
        <v>23</v>
      </c>
      <c r="L564" t="b">
        <v>0</v>
      </c>
    </row>
    <row r="565" spans="1:12" x14ac:dyDescent="0.35">
      <c r="A565" t="s">
        <v>993</v>
      </c>
      <c r="B565" t="s">
        <v>25</v>
      </c>
      <c r="C565" t="s">
        <v>14</v>
      </c>
      <c r="D565">
        <v>35</v>
      </c>
      <c r="E565" t="s">
        <v>89</v>
      </c>
      <c r="F565" t="s">
        <v>16</v>
      </c>
      <c r="G565" s="1">
        <v>44652</v>
      </c>
      <c r="H565">
        <v>106981.84</v>
      </c>
      <c r="I565" t="s">
        <v>163</v>
      </c>
      <c r="J565">
        <v>-6289365434</v>
      </c>
      <c r="K565" t="s">
        <v>41</v>
      </c>
      <c r="L565" t="b">
        <v>1</v>
      </c>
    </row>
    <row r="566" spans="1:12" x14ac:dyDescent="0.35">
      <c r="A566" t="s">
        <v>994</v>
      </c>
      <c r="B566" t="s">
        <v>59</v>
      </c>
      <c r="C566" t="s">
        <v>20</v>
      </c>
      <c r="E566" t="s">
        <v>227</v>
      </c>
      <c r="F566" t="s">
        <v>28</v>
      </c>
      <c r="G566" t="s">
        <v>995</v>
      </c>
      <c r="H566">
        <v>105778.36</v>
      </c>
      <c r="I566" t="s">
        <v>225</v>
      </c>
      <c r="J566">
        <v>-8841834373</v>
      </c>
      <c r="K566" t="s">
        <v>30</v>
      </c>
      <c r="L566" t="b">
        <v>1</v>
      </c>
    </row>
    <row r="567" spans="1:12" x14ac:dyDescent="0.35">
      <c r="A567" t="s">
        <v>996</v>
      </c>
      <c r="B567" t="s">
        <v>25</v>
      </c>
      <c r="C567" t="s">
        <v>55</v>
      </c>
      <c r="D567">
        <v>40</v>
      </c>
      <c r="E567" t="s">
        <v>112</v>
      </c>
      <c r="F567" t="s">
        <v>28</v>
      </c>
      <c r="G567" s="1">
        <v>44237</v>
      </c>
      <c r="H567">
        <v>117608.32000000001</v>
      </c>
      <c r="I567" t="s">
        <v>150</v>
      </c>
      <c r="J567">
        <v>-182727954</v>
      </c>
      <c r="K567" t="s">
        <v>30</v>
      </c>
      <c r="L567" t="b">
        <v>1</v>
      </c>
    </row>
    <row r="568" spans="1:12" x14ac:dyDescent="0.35">
      <c r="A568" t="s">
        <v>997</v>
      </c>
      <c r="B568" t="s">
        <v>32</v>
      </c>
      <c r="C568" t="s">
        <v>55</v>
      </c>
      <c r="D568">
        <v>30</v>
      </c>
      <c r="E568" t="s">
        <v>74</v>
      </c>
      <c r="F568" t="s">
        <v>16</v>
      </c>
      <c r="G568" t="s">
        <v>998</v>
      </c>
      <c r="H568">
        <v>99324.03</v>
      </c>
      <c r="I568" t="s">
        <v>323</v>
      </c>
      <c r="J568">
        <v>-9690515025</v>
      </c>
      <c r="K568" t="s">
        <v>23</v>
      </c>
      <c r="L568" t="b">
        <v>0</v>
      </c>
    </row>
    <row r="569" spans="1:12" x14ac:dyDescent="0.35">
      <c r="A569" t="s">
        <v>999</v>
      </c>
      <c r="B569" t="s">
        <v>59</v>
      </c>
      <c r="C569" t="s">
        <v>43</v>
      </c>
      <c r="D569">
        <v>30</v>
      </c>
      <c r="E569" t="s">
        <v>212</v>
      </c>
      <c r="F569" t="s">
        <v>16</v>
      </c>
      <c r="G569" t="s">
        <v>1000</v>
      </c>
      <c r="H569">
        <v>55212.83</v>
      </c>
      <c r="I569" t="s">
        <v>101</v>
      </c>
      <c r="J569">
        <v>-7551254277</v>
      </c>
      <c r="K569" t="s">
        <v>23</v>
      </c>
      <c r="L569" t="b">
        <v>1</v>
      </c>
    </row>
    <row r="570" spans="1:12" x14ac:dyDescent="0.35">
      <c r="A570" t="s">
        <v>1001</v>
      </c>
      <c r="B570" t="s">
        <v>13</v>
      </c>
      <c r="C570" t="s">
        <v>14</v>
      </c>
      <c r="D570">
        <v>40</v>
      </c>
      <c r="E570" t="s">
        <v>39</v>
      </c>
      <c r="F570" t="s">
        <v>33</v>
      </c>
      <c r="G570" t="s">
        <v>1002</v>
      </c>
      <c r="H570">
        <v>68496.77</v>
      </c>
      <c r="I570" t="s">
        <v>17</v>
      </c>
      <c r="J570">
        <v>-2079799666</v>
      </c>
      <c r="K570" t="s">
        <v>18</v>
      </c>
      <c r="L570" t="b">
        <v>0</v>
      </c>
    </row>
    <row r="571" spans="1:12" x14ac:dyDescent="0.35">
      <c r="A571" t="s">
        <v>1003</v>
      </c>
      <c r="B571" t="s">
        <v>32</v>
      </c>
      <c r="C571" t="s">
        <v>14</v>
      </c>
      <c r="D571">
        <v>25</v>
      </c>
      <c r="E571" t="s">
        <v>212</v>
      </c>
      <c r="F571" t="s">
        <v>28</v>
      </c>
      <c r="G571" t="s">
        <v>614</v>
      </c>
      <c r="H571">
        <v>52795.839999999997</v>
      </c>
      <c r="I571" t="s">
        <v>35</v>
      </c>
      <c r="J571">
        <v>-3459576402</v>
      </c>
      <c r="K571" t="s">
        <v>41</v>
      </c>
      <c r="L571" t="b">
        <v>0</v>
      </c>
    </row>
    <row r="572" spans="1:12" x14ac:dyDescent="0.35">
      <c r="A572" t="s">
        <v>1004</v>
      </c>
      <c r="B572" t="s">
        <v>25</v>
      </c>
      <c r="C572" t="s">
        <v>92</v>
      </c>
      <c r="E572" t="s">
        <v>15</v>
      </c>
      <c r="F572" t="s">
        <v>33</v>
      </c>
      <c r="G572" s="1">
        <v>45418</v>
      </c>
      <c r="H572">
        <v>90087.39</v>
      </c>
      <c r="I572" t="s">
        <v>166</v>
      </c>
      <c r="J572">
        <v>-8166496901</v>
      </c>
      <c r="K572" t="s">
        <v>41</v>
      </c>
      <c r="L572" t="b">
        <v>0</v>
      </c>
    </row>
    <row r="573" spans="1:12" x14ac:dyDescent="0.35">
      <c r="A573" t="s">
        <v>1005</v>
      </c>
      <c r="B573" t="s">
        <v>37</v>
      </c>
      <c r="C573" t="s">
        <v>38</v>
      </c>
      <c r="E573" t="s">
        <v>196</v>
      </c>
      <c r="F573" t="s">
        <v>28</v>
      </c>
      <c r="G573" t="s">
        <v>1006</v>
      </c>
      <c r="H573">
        <v>105038.08</v>
      </c>
      <c r="I573" t="s">
        <v>40</v>
      </c>
      <c r="J573">
        <v>-8249839224</v>
      </c>
      <c r="K573" t="s">
        <v>18</v>
      </c>
      <c r="L573" t="b">
        <v>0</v>
      </c>
    </row>
    <row r="574" spans="1:12" x14ac:dyDescent="0.35">
      <c r="A574" t="s">
        <v>1007</v>
      </c>
      <c r="B574" t="s">
        <v>69</v>
      </c>
      <c r="C574" t="s">
        <v>122</v>
      </c>
      <c r="D574">
        <v>25</v>
      </c>
      <c r="E574" t="s">
        <v>66</v>
      </c>
      <c r="F574" t="s">
        <v>16</v>
      </c>
      <c r="G574" t="s">
        <v>1008</v>
      </c>
      <c r="H574">
        <v>73231.850000000006</v>
      </c>
      <c r="I574" t="s">
        <v>135</v>
      </c>
      <c r="J574">
        <v>-142576269</v>
      </c>
      <c r="K574" t="s">
        <v>41</v>
      </c>
      <c r="L574" t="b">
        <v>0</v>
      </c>
    </row>
    <row r="575" spans="1:12" x14ac:dyDescent="0.35">
      <c r="A575" t="s">
        <v>1009</v>
      </c>
      <c r="B575" t="s">
        <v>59</v>
      </c>
      <c r="C575" t="s">
        <v>55</v>
      </c>
      <c r="E575" t="s">
        <v>74</v>
      </c>
      <c r="F575" t="s">
        <v>28</v>
      </c>
      <c r="G575" t="s">
        <v>1010</v>
      </c>
      <c r="H575">
        <v>102649.36</v>
      </c>
      <c r="I575" t="s">
        <v>217</v>
      </c>
      <c r="J575">
        <v>-2324412335</v>
      </c>
      <c r="K575" t="s">
        <v>41</v>
      </c>
      <c r="L575" t="b">
        <v>0</v>
      </c>
    </row>
    <row r="576" spans="1:12" x14ac:dyDescent="0.35">
      <c r="A576" t="s">
        <v>1011</v>
      </c>
      <c r="B576" t="s">
        <v>13</v>
      </c>
      <c r="C576" t="s">
        <v>14</v>
      </c>
      <c r="D576">
        <v>35</v>
      </c>
      <c r="E576" t="s">
        <v>227</v>
      </c>
      <c r="F576" t="s">
        <v>28</v>
      </c>
      <c r="G576" s="1">
        <v>45205</v>
      </c>
      <c r="H576">
        <v>114302.51</v>
      </c>
      <c r="I576" t="s">
        <v>17</v>
      </c>
      <c r="J576">
        <v>-1328507250</v>
      </c>
      <c r="K576" t="s">
        <v>41</v>
      </c>
      <c r="L576" t="b">
        <v>0</v>
      </c>
    </row>
    <row r="577" spans="1:12" x14ac:dyDescent="0.35">
      <c r="A577" t="s">
        <v>1012</v>
      </c>
      <c r="B577" t="s">
        <v>25</v>
      </c>
      <c r="C577" t="s">
        <v>92</v>
      </c>
      <c r="D577">
        <v>35</v>
      </c>
      <c r="E577" t="s">
        <v>21</v>
      </c>
      <c r="F577" t="s">
        <v>33</v>
      </c>
      <c r="G577" s="1">
        <v>44445</v>
      </c>
      <c r="H577">
        <v>87816.61</v>
      </c>
      <c r="I577" t="s">
        <v>166</v>
      </c>
      <c r="J577">
        <v>-7863767315</v>
      </c>
      <c r="K577" t="s">
        <v>41</v>
      </c>
      <c r="L577" t="b">
        <v>0</v>
      </c>
    </row>
    <row r="578" spans="1:12" x14ac:dyDescent="0.35">
      <c r="A578" t="s">
        <v>1013</v>
      </c>
      <c r="B578" t="s">
        <v>37</v>
      </c>
      <c r="C578" t="s">
        <v>26</v>
      </c>
      <c r="E578" t="s">
        <v>74</v>
      </c>
      <c r="F578" t="s">
        <v>33</v>
      </c>
      <c r="G578" t="s">
        <v>327</v>
      </c>
      <c r="H578">
        <v>70750.38</v>
      </c>
      <c r="I578" t="s">
        <v>47</v>
      </c>
      <c r="J578">
        <v>-2526546967</v>
      </c>
      <c r="K578" t="s">
        <v>41</v>
      </c>
      <c r="L578" t="b">
        <v>0</v>
      </c>
    </row>
    <row r="579" spans="1:12" x14ac:dyDescent="0.35">
      <c r="A579" t="s">
        <v>1014</v>
      </c>
      <c r="B579" t="s">
        <v>37</v>
      </c>
      <c r="C579" t="s">
        <v>92</v>
      </c>
      <c r="E579" t="s">
        <v>159</v>
      </c>
      <c r="F579" t="s">
        <v>16</v>
      </c>
      <c r="G579" s="1">
        <v>45327</v>
      </c>
      <c r="H579" t="s">
        <v>277</v>
      </c>
      <c r="I579" t="s">
        <v>110</v>
      </c>
      <c r="J579">
        <v>-1579039234</v>
      </c>
      <c r="K579" t="s">
        <v>23</v>
      </c>
      <c r="L579" t="b">
        <v>1</v>
      </c>
    </row>
    <row r="580" spans="1:12" x14ac:dyDescent="0.35">
      <c r="A580" t="s">
        <v>1015</v>
      </c>
      <c r="B580" t="s">
        <v>13</v>
      </c>
      <c r="C580" t="s">
        <v>55</v>
      </c>
      <c r="D580">
        <v>30</v>
      </c>
      <c r="E580" t="s">
        <v>329</v>
      </c>
      <c r="F580" t="s">
        <v>16</v>
      </c>
      <c r="G580" s="1">
        <v>45454</v>
      </c>
      <c r="H580">
        <v>97978.36</v>
      </c>
      <c r="I580" t="s">
        <v>199</v>
      </c>
      <c r="J580">
        <v>-5580996131</v>
      </c>
      <c r="K580" t="s">
        <v>41</v>
      </c>
      <c r="L580" t="b">
        <v>1</v>
      </c>
    </row>
    <row r="581" spans="1:12" x14ac:dyDescent="0.35">
      <c r="A581" t="s">
        <v>1016</v>
      </c>
      <c r="B581" t="s">
        <v>59</v>
      </c>
      <c r="C581" t="s">
        <v>55</v>
      </c>
      <c r="E581" t="s">
        <v>329</v>
      </c>
      <c r="F581" t="s">
        <v>33</v>
      </c>
      <c r="G581" t="s">
        <v>1017</v>
      </c>
      <c r="H581">
        <v>107172.8</v>
      </c>
      <c r="I581" t="s">
        <v>217</v>
      </c>
      <c r="J581">
        <v>-7303461561</v>
      </c>
      <c r="K581" t="s">
        <v>23</v>
      </c>
      <c r="L581" t="b">
        <v>1</v>
      </c>
    </row>
    <row r="582" spans="1:12" x14ac:dyDescent="0.35">
      <c r="A582" t="s">
        <v>1018</v>
      </c>
      <c r="B582" t="s">
        <v>54</v>
      </c>
      <c r="C582" t="s">
        <v>92</v>
      </c>
      <c r="D582">
        <v>25</v>
      </c>
      <c r="E582" t="s">
        <v>100</v>
      </c>
      <c r="F582" t="s">
        <v>33</v>
      </c>
      <c r="G582" t="s">
        <v>829</v>
      </c>
      <c r="H582">
        <v>56126.46</v>
      </c>
      <c r="I582" t="s">
        <v>502</v>
      </c>
      <c r="J582">
        <v>-6244670461</v>
      </c>
      <c r="K582" t="s">
        <v>41</v>
      </c>
      <c r="L582" t="b">
        <v>1</v>
      </c>
    </row>
    <row r="583" spans="1:12" x14ac:dyDescent="0.35">
      <c r="A583" t="s">
        <v>1019</v>
      </c>
      <c r="B583" t="s">
        <v>32</v>
      </c>
      <c r="C583" t="s">
        <v>122</v>
      </c>
      <c r="E583" t="s">
        <v>95</v>
      </c>
      <c r="F583" t="s">
        <v>16</v>
      </c>
      <c r="G583" t="s">
        <v>1020</v>
      </c>
      <c r="H583">
        <v>78534.289999999994</v>
      </c>
      <c r="I583" t="s">
        <v>522</v>
      </c>
      <c r="J583">
        <v>-2681715159</v>
      </c>
      <c r="K583" t="s">
        <v>18</v>
      </c>
      <c r="L583" t="b">
        <v>1</v>
      </c>
    </row>
    <row r="584" spans="1:12" x14ac:dyDescent="0.35">
      <c r="A584" t="s">
        <v>1021</v>
      </c>
      <c r="B584" t="s">
        <v>69</v>
      </c>
      <c r="C584" t="s">
        <v>20</v>
      </c>
      <c r="D584">
        <v>40</v>
      </c>
      <c r="E584" t="s">
        <v>139</v>
      </c>
      <c r="F584" t="s">
        <v>33</v>
      </c>
      <c r="G584" s="1">
        <v>45209</v>
      </c>
      <c r="H584" t="s">
        <v>277</v>
      </c>
      <c r="I584" t="s">
        <v>201</v>
      </c>
      <c r="J584">
        <v>-2529867075</v>
      </c>
      <c r="K584" t="s">
        <v>30</v>
      </c>
      <c r="L584" t="b">
        <v>0</v>
      </c>
    </row>
    <row r="585" spans="1:12" x14ac:dyDescent="0.35">
      <c r="A585" t="s">
        <v>1022</v>
      </c>
      <c r="B585" t="s">
        <v>13</v>
      </c>
      <c r="C585" t="s">
        <v>55</v>
      </c>
      <c r="E585" t="s">
        <v>85</v>
      </c>
      <c r="F585" t="s">
        <v>16</v>
      </c>
      <c r="G585" s="1">
        <v>44593</v>
      </c>
      <c r="H585">
        <v>114963.34</v>
      </c>
      <c r="I585" t="s">
        <v>199</v>
      </c>
      <c r="J585">
        <v>-6046419784</v>
      </c>
      <c r="K585" t="s">
        <v>23</v>
      </c>
      <c r="L585" t="b">
        <v>0</v>
      </c>
    </row>
    <row r="586" spans="1:12" x14ac:dyDescent="0.35">
      <c r="A586" t="s">
        <v>1023</v>
      </c>
      <c r="B586" t="s">
        <v>32</v>
      </c>
      <c r="C586" t="s">
        <v>92</v>
      </c>
      <c r="E586" t="s">
        <v>268</v>
      </c>
      <c r="F586" t="s">
        <v>33</v>
      </c>
      <c r="G586" t="s">
        <v>1024</v>
      </c>
      <c r="H586">
        <v>77657.929999999993</v>
      </c>
      <c r="I586" t="s">
        <v>263</v>
      </c>
      <c r="J586">
        <v>-7585126860</v>
      </c>
      <c r="K586" t="s">
        <v>41</v>
      </c>
      <c r="L586" t="b">
        <v>0</v>
      </c>
    </row>
    <row r="587" spans="1:12" x14ac:dyDescent="0.35">
      <c r="A587" t="s">
        <v>1025</v>
      </c>
      <c r="B587" t="s">
        <v>65</v>
      </c>
      <c r="C587" t="s">
        <v>14</v>
      </c>
      <c r="D587">
        <v>30</v>
      </c>
      <c r="E587" t="s">
        <v>109</v>
      </c>
      <c r="F587" t="s">
        <v>16</v>
      </c>
      <c r="G587" s="1">
        <v>45538</v>
      </c>
      <c r="H587">
        <v>77369.48</v>
      </c>
      <c r="I587" t="s">
        <v>395</v>
      </c>
      <c r="J587">
        <v>-2059438975</v>
      </c>
      <c r="K587" t="s">
        <v>18</v>
      </c>
      <c r="L587" t="b">
        <v>0</v>
      </c>
    </row>
    <row r="588" spans="1:12" x14ac:dyDescent="0.35">
      <c r="A588" t="s">
        <v>1026</v>
      </c>
      <c r="B588" t="s">
        <v>32</v>
      </c>
      <c r="C588" t="s">
        <v>92</v>
      </c>
      <c r="D588">
        <v>30</v>
      </c>
      <c r="E588" t="s">
        <v>149</v>
      </c>
      <c r="F588" t="s">
        <v>28</v>
      </c>
      <c r="G588" t="s">
        <v>1027</v>
      </c>
      <c r="H588">
        <v>76119.14</v>
      </c>
      <c r="I588" t="s">
        <v>263</v>
      </c>
      <c r="J588">
        <v>-740177508</v>
      </c>
      <c r="K588" t="s">
        <v>30</v>
      </c>
      <c r="L588" t="b">
        <v>0</v>
      </c>
    </row>
    <row r="589" spans="1:12" x14ac:dyDescent="0.35">
      <c r="A589" t="s">
        <v>1028</v>
      </c>
      <c r="B589" t="s">
        <v>54</v>
      </c>
      <c r="C589" t="s">
        <v>38</v>
      </c>
      <c r="D589">
        <v>25</v>
      </c>
      <c r="E589" t="s">
        <v>159</v>
      </c>
      <c r="F589" t="s">
        <v>28</v>
      </c>
      <c r="G589" s="1">
        <v>45082</v>
      </c>
      <c r="H589">
        <v>77585.72</v>
      </c>
      <c r="I589" t="s">
        <v>90</v>
      </c>
      <c r="J589">
        <v>-5465408423</v>
      </c>
      <c r="K589" t="s">
        <v>23</v>
      </c>
      <c r="L589" t="b">
        <v>0</v>
      </c>
    </row>
    <row r="590" spans="1:12" x14ac:dyDescent="0.35">
      <c r="A590" t="s">
        <v>1029</v>
      </c>
      <c r="B590" t="s">
        <v>13</v>
      </c>
      <c r="C590" t="s">
        <v>20</v>
      </c>
      <c r="D590">
        <v>35</v>
      </c>
      <c r="E590" t="s">
        <v>27</v>
      </c>
      <c r="F590" t="s">
        <v>28</v>
      </c>
      <c r="G590" t="s">
        <v>1030</v>
      </c>
      <c r="H590">
        <v>74069.62</v>
      </c>
      <c r="I590" t="s">
        <v>22</v>
      </c>
      <c r="J590">
        <v>-5607540914</v>
      </c>
      <c r="K590" t="s">
        <v>30</v>
      </c>
      <c r="L590" t="b">
        <v>0</v>
      </c>
    </row>
    <row r="591" spans="1:12" x14ac:dyDescent="0.35">
      <c r="A591" t="s">
        <v>1031</v>
      </c>
      <c r="B591" t="s">
        <v>54</v>
      </c>
      <c r="C591" t="s">
        <v>26</v>
      </c>
      <c r="D591">
        <v>30</v>
      </c>
      <c r="E591" t="s">
        <v>196</v>
      </c>
      <c r="F591" t="s">
        <v>28</v>
      </c>
      <c r="G591" s="1">
        <v>45421</v>
      </c>
      <c r="H591">
        <v>67691.92</v>
      </c>
      <c r="I591" t="s">
        <v>120</v>
      </c>
      <c r="J591">
        <v>-863218121</v>
      </c>
      <c r="K591" t="s">
        <v>18</v>
      </c>
      <c r="L591" t="b">
        <v>1</v>
      </c>
    </row>
    <row r="592" spans="1:12" x14ac:dyDescent="0.35">
      <c r="A592" t="s">
        <v>1032</v>
      </c>
      <c r="B592" t="s">
        <v>25</v>
      </c>
      <c r="C592" t="s">
        <v>122</v>
      </c>
      <c r="E592" t="s">
        <v>100</v>
      </c>
      <c r="F592" t="s">
        <v>28</v>
      </c>
      <c r="G592" t="s">
        <v>1033</v>
      </c>
      <c r="H592">
        <v>70345.69</v>
      </c>
      <c r="I592" t="s">
        <v>182</v>
      </c>
      <c r="J592">
        <v>-7645793896</v>
      </c>
      <c r="K592" t="s">
        <v>23</v>
      </c>
      <c r="L592" t="b">
        <v>1</v>
      </c>
    </row>
    <row r="593" spans="1:12" x14ac:dyDescent="0.35">
      <c r="A593" t="s">
        <v>1034</v>
      </c>
      <c r="B593" t="s">
        <v>13</v>
      </c>
      <c r="C593" t="s">
        <v>43</v>
      </c>
      <c r="D593">
        <v>30</v>
      </c>
      <c r="E593" t="s">
        <v>78</v>
      </c>
      <c r="F593" t="s">
        <v>33</v>
      </c>
      <c r="G593" s="1">
        <v>44419</v>
      </c>
      <c r="H593">
        <v>74999.69</v>
      </c>
      <c r="I593" t="s">
        <v>153</v>
      </c>
      <c r="J593">
        <v>-155029167</v>
      </c>
      <c r="K593" t="s">
        <v>30</v>
      </c>
      <c r="L593" t="b">
        <v>1</v>
      </c>
    </row>
    <row r="594" spans="1:12" x14ac:dyDescent="0.35">
      <c r="A594" t="s">
        <v>1035</v>
      </c>
      <c r="B594" t="s">
        <v>59</v>
      </c>
      <c r="C594" t="s">
        <v>26</v>
      </c>
      <c r="D594">
        <v>25</v>
      </c>
      <c r="E594" t="s">
        <v>192</v>
      </c>
      <c r="F594" t="s">
        <v>16</v>
      </c>
      <c r="G594" t="s">
        <v>1036</v>
      </c>
      <c r="H594">
        <v>72245.02</v>
      </c>
      <c r="I594" t="s">
        <v>242</v>
      </c>
      <c r="J594">
        <v>-1546602415</v>
      </c>
      <c r="K594" t="s">
        <v>41</v>
      </c>
      <c r="L594" t="b">
        <v>1</v>
      </c>
    </row>
    <row r="595" spans="1:12" x14ac:dyDescent="0.35">
      <c r="A595" t="s">
        <v>1037</v>
      </c>
      <c r="B595" t="s">
        <v>32</v>
      </c>
      <c r="C595" t="s">
        <v>20</v>
      </c>
      <c r="E595" t="s">
        <v>89</v>
      </c>
      <c r="F595" t="s">
        <v>28</v>
      </c>
      <c r="G595" t="s">
        <v>1038</v>
      </c>
      <c r="H595">
        <v>106538.98</v>
      </c>
      <c r="I595" t="s">
        <v>155</v>
      </c>
      <c r="J595">
        <v>-1394498829</v>
      </c>
      <c r="K595" t="s">
        <v>23</v>
      </c>
      <c r="L595" t="b">
        <v>0</v>
      </c>
    </row>
    <row r="596" spans="1:12" x14ac:dyDescent="0.35">
      <c r="A596" t="s">
        <v>1039</v>
      </c>
      <c r="B596" t="s">
        <v>54</v>
      </c>
      <c r="C596" t="s">
        <v>20</v>
      </c>
      <c r="D596">
        <v>25</v>
      </c>
      <c r="E596" t="s">
        <v>66</v>
      </c>
      <c r="F596" t="s">
        <v>16</v>
      </c>
      <c r="G596" t="s">
        <v>388</v>
      </c>
      <c r="H596">
        <v>101787.14</v>
      </c>
      <c r="I596" t="s">
        <v>125</v>
      </c>
      <c r="J596">
        <v>-5973642479</v>
      </c>
      <c r="K596" t="s">
        <v>30</v>
      </c>
      <c r="L596" t="b">
        <v>0</v>
      </c>
    </row>
    <row r="597" spans="1:12" x14ac:dyDescent="0.35">
      <c r="A597" t="s">
        <v>1040</v>
      </c>
      <c r="B597" t="s">
        <v>37</v>
      </c>
      <c r="C597" t="s">
        <v>20</v>
      </c>
      <c r="D597">
        <v>30</v>
      </c>
      <c r="E597" t="s">
        <v>329</v>
      </c>
      <c r="F597" t="s">
        <v>33</v>
      </c>
      <c r="G597" s="1">
        <v>45334</v>
      </c>
      <c r="H597">
        <v>83596.78</v>
      </c>
      <c r="I597" t="s">
        <v>239</v>
      </c>
      <c r="J597">
        <v>-9624406305</v>
      </c>
      <c r="K597" t="s">
        <v>18</v>
      </c>
      <c r="L597" t="b">
        <v>0</v>
      </c>
    </row>
    <row r="598" spans="1:12" x14ac:dyDescent="0.35">
      <c r="A598" t="s">
        <v>1041</v>
      </c>
      <c r="B598" t="s">
        <v>32</v>
      </c>
      <c r="C598" t="s">
        <v>26</v>
      </c>
      <c r="D598">
        <v>40</v>
      </c>
      <c r="E598" t="s">
        <v>44</v>
      </c>
      <c r="F598" t="s">
        <v>16</v>
      </c>
      <c r="G598" t="s">
        <v>575</v>
      </c>
      <c r="H598">
        <v>92463.94</v>
      </c>
      <c r="I598" t="s">
        <v>278</v>
      </c>
      <c r="J598">
        <v>-2447951329</v>
      </c>
      <c r="K598" t="s">
        <v>18</v>
      </c>
      <c r="L598" t="b">
        <v>1</v>
      </c>
    </row>
    <row r="599" spans="1:12" x14ac:dyDescent="0.35">
      <c r="A599" t="s">
        <v>1042</v>
      </c>
      <c r="B599" t="s">
        <v>54</v>
      </c>
      <c r="C599" t="s">
        <v>14</v>
      </c>
      <c r="E599" t="s">
        <v>118</v>
      </c>
      <c r="F599" t="s">
        <v>28</v>
      </c>
      <c r="G599" t="s">
        <v>1043</v>
      </c>
      <c r="H599">
        <v>93863.32</v>
      </c>
      <c r="I599" t="s">
        <v>170</v>
      </c>
      <c r="J599">
        <v>-5319497968</v>
      </c>
      <c r="K599" t="s">
        <v>23</v>
      </c>
      <c r="L599" t="b">
        <v>0</v>
      </c>
    </row>
    <row r="600" spans="1:12" x14ac:dyDescent="0.35">
      <c r="A600" t="s">
        <v>1044</v>
      </c>
      <c r="B600" t="s">
        <v>25</v>
      </c>
      <c r="C600" t="s">
        <v>20</v>
      </c>
      <c r="E600" t="s">
        <v>237</v>
      </c>
      <c r="F600" t="s">
        <v>28</v>
      </c>
      <c r="G600" t="s">
        <v>1045</v>
      </c>
      <c r="H600">
        <v>78359.41</v>
      </c>
      <c r="I600" t="s">
        <v>80</v>
      </c>
      <c r="J600">
        <v>-5867805554</v>
      </c>
      <c r="K600" t="s">
        <v>30</v>
      </c>
      <c r="L600" t="b">
        <v>0</v>
      </c>
    </row>
    <row r="601" spans="1:12" x14ac:dyDescent="0.35">
      <c r="A601" t="s">
        <v>1046</v>
      </c>
      <c r="B601" t="s">
        <v>25</v>
      </c>
      <c r="C601" t="s">
        <v>92</v>
      </c>
      <c r="E601" t="s">
        <v>192</v>
      </c>
      <c r="F601" t="s">
        <v>28</v>
      </c>
      <c r="G601" t="s">
        <v>780</v>
      </c>
      <c r="H601">
        <v>95773.57</v>
      </c>
      <c r="I601" t="s">
        <v>166</v>
      </c>
      <c r="J601">
        <v>-7277382645</v>
      </c>
      <c r="K601" t="s">
        <v>23</v>
      </c>
      <c r="L601" t="b">
        <v>0</v>
      </c>
    </row>
    <row r="602" spans="1:12" x14ac:dyDescent="0.35">
      <c r="A602" t="s">
        <v>1047</v>
      </c>
      <c r="B602" t="s">
        <v>69</v>
      </c>
      <c r="C602" t="s">
        <v>26</v>
      </c>
      <c r="D602">
        <v>30</v>
      </c>
      <c r="E602" t="s">
        <v>219</v>
      </c>
      <c r="F602" t="s">
        <v>33</v>
      </c>
      <c r="G602" s="1">
        <v>43840</v>
      </c>
      <c r="H602">
        <v>82529.08</v>
      </c>
      <c r="I602" t="s">
        <v>76</v>
      </c>
      <c r="J602">
        <v>-917851384</v>
      </c>
      <c r="K602" t="s">
        <v>23</v>
      </c>
      <c r="L602" t="b">
        <v>1</v>
      </c>
    </row>
    <row r="603" spans="1:12" x14ac:dyDescent="0.35">
      <c r="A603" t="s">
        <v>1048</v>
      </c>
      <c r="B603" t="s">
        <v>69</v>
      </c>
      <c r="C603" t="s">
        <v>43</v>
      </c>
      <c r="D603">
        <v>35</v>
      </c>
      <c r="E603" t="s">
        <v>44</v>
      </c>
      <c r="F603" t="s">
        <v>28</v>
      </c>
      <c r="G603" s="1">
        <v>44291</v>
      </c>
      <c r="H603">
        <v>109358.73</v>
      </c>
      <c r="I603" t="s">
        <v>83</v>
      </c>
      <c r="J603">
        <v>-4457702991</v>
      </c>
      <c r="K603" t="s">
        <v>30</v>
      </c>
      <c r="L603" t="b">
        <v>0</v>
      </c>
    </row>
    <row r="604" spans="1:12" x14ac:dyDescent="0.35">
      <c r="A604" t="s">
        <v>1049</v>
      </c>
      <c r="B604" t="s">
        <v>54</v>
      </c>
      <c r="C604" t="s">
        <v>20</v>
      </c>
      <c r="E604" t="s">
        <v>205</v>
      </c>
      <c r="F604" t="s">
        <v>16</v>
      </c>
      <c r="G604" s="1">
        <v>44197</v>
      </c>
      <c r="H604">
        <v>89645.01</v>
      </c>
      <c r="I604" t="s">
        <v>125</v>
      </c>
      <c r="J604">
        <v>-9596604872</v>
      </c>
      <c r="K604" t="s">
        <v>30</v>
      </c>
      <c r="L604" t="b">
        <v>1</v>
      </c>
    </row>
    <row r="605" spans="1:12" x14ac:dyDescent="0.35">
      <c r="A605" t="s">
        <v>1050</v>
      </c>
      <c r="B605" t="s">
        <v>54</v>
      </c>
      <c r="C605" t="s">
        <v>92</v>
      </c>
      <c r="D605">
        <v>40</v>
      </c>
      <c r="E605" t="s">
        <v>139</v>
      </c>
      <c r="F605" t="s">
        <v>16</v>
      </c>
      <c r="G605" s="1">
        <v>45508</v>
      </c>
      <c r="H605">
        <v>84134.95</v>
      </c>
      <c r="I605" t="s">
        <v>502</v>
      </c>
      <c r="J605">
        <v>-6826911632</v>
      </c>
      <c r="K605" t="s">
        <v>41</v>
      </c>
      <c r="L605" t="b">
        <v>1</v>
      </c>
    </row>
    <row r="606" spans="1:12" x14ac:dyDescent="0.35">
      <c r="A606" t="s">
        <v>1051</v>
      </c>
      <c r="B606" t="s">
        <v>37</v>
      </c>
      <c r="C606" t="s">
        <v>14</v>
      </c>
      <c r="D606">
        <v>30</v>
      </c>
      <c r="E606" t="s">
        <v>85</v>
      </c>
      <c r="F606" t="s">
        <v>16</v>
      </c>
      <c r="G606" t="s">
        <v>203</v>
      </c>
      <c r="H606">
        <v>113540.83</v>
      </c>
      <c r="I606" t="s">
        <v>52</v>
      </c>
      <c r="J606">
        <v>-1942268652</v>
      </c>
      <c r="K606" t="s">
        <v>30</v>
      </c>
      <c r="L606" t="b">
        <v>1</v>
      </c>
    </row>
    <row r="607" spans="1:12" x14ac:dyDescent="0.35">
      <c r="A607" t="s">
        <v>1052</v>
      </c>
      <c r="B607" t="s">
        <v>65</v>
      </c>
      <c r="C607" t="s">
        <v>38</v>
      </c>
      <c r="D607">
        <v>40</v>
      </c>
      <c r="E607" t="s">
        <v>159</v>
      </c>
      <c r="F607" t="s">
        <v>28</v>
      </c>
      <c r="G607" t="s">
        <v>1053</v>
      </c>
      <c r="H607">
        <v>57225.75</v>
      </c>
      <c r="I607" t="s">
        <v>67</v>
      </c>
      <c r="J607">
        <v>-6945515887</v>
      </c>
      <c r="K607" t="s">
        <v>18</v>
      </c>
      <c r="L607" t="b">
        <v>1</v>
      </c>
    </row>
    <row r="608" spans="1:12" x14ac:dyDescent="0.35">
      <c r="A608" t="s">
        <v>1054</v>
      </c>
      <c r="B608" t="s">
        <v>32</v>
      </c>
      <c r="C608" t="s">
        <v>14</v>
      </c>
      <c r="D608">
        <v>35</v>
      </c>
      <c r="E608" t="s">
        <v>98</v>
      </c>
      <c r="F608" t="s">
        <v>28</v>
      </c>
      <c r="G608" t="s">
        <v>1055</v>
      </c>
      <c r="H608">
        <v>76366.17</v>
      </c>
      <c r="I608" t="s">
        <v>35</v>
      </c>
      <c r="J608">
        <v>-6367747225</v>
      </c>
      <c r="K608" t="s">
        <v>23</v>
      </c>
      <c r="L608" t="b">
        <v>0</v>
      </c>
    </row>
    <row r="609" spans="1:12" x14ac:dyDescent="0.35">
      <c r="A609" t="s">
        <v>1056</v>
      </c>
      <c r="B609" t="s">
        <v>13</v>
      </c>
      <c r="C609" t="s">
        <v>43</v>
      </c>
      <c r="E609" t="s">
        <v>212</v>
      </c>
      <c r="F609" t="s">
        <v>16</v>
      </c>
      <c r="G609" t="s">
        <v>1057</v>
      </c>
      <c r="H609">
        <v>78408.95</v>
      </c>
      <c r="I609" t="s">
        <v>153</v>
      </c>
      <c r="J609">
        <v>-4085721695</v>
      </c>
      <c r="K609" t="s">
        <v>23</v>
      </c>
      <c r="L609" t="b">
        <v>1</v>
      </c>
    </row>
    <row r="610" spans="1:12" x14ac:dyDescent="0.35">
      <c r="A610" t="s">
        <v>1058</v>
      </c>
      <c r="B610" t="s">
        <v>37</v>
      </c>
      <c r="C610" t="s">
        <v>20</v>
      </c>
      <c r="D610">
        <v>40</v>
      </c>
      <c r="E610" t="s">
        <v>265</v>
      </c>
      <c r="F610" t="s">
        <v>16</v>
      </c>
      <c r="G610" t="s">
        <v>1059</v>
      </c>
      <c r="H610">
        <v>111742.39999999999</v>
      </c>
      <c r="I610" t="s">
        <v>239</v>
      </c>
      <c r="J610">
        <v>-6630932997</v>
      </c>
      <c r="K610" t="s">
        <v>18</v>
      </c>
      <c r="L610" t="b">
        <v>1</v>
      </c>
    </row>
    <row r="611" spans="1:12" x14ac:dyDescent="0.35">
      <c r="A611" t="s">
        <v>1060</v>
      </c>
      <c r="B611" t="s">
        <v>59</v>
      </c>
      <c r="C611" t="s">
        <v>43</v>
      </c>
      <c r="D611">
        <v>25</v>
      </c>
      <c r="E611" t="s">
        <v>219</v>
      </c>
      <c r="F611" t="s">
        <v>33</v>
      </c>
      <c r="G611" s="1">
        <v>44442</v>
      </c>
      <c r="H611">
        <v>60516.83</v>
      </c>
      <c r="I611" t="s">
        <v>101</v>
      </c>
      <c r="J611">
        <v>-1996059328</v>
      </c>
      <c r="K611" t="s">
        <v>30</v>
      </c>
      <c r="L611" t="b">
        <v>0</v>
      </c>
    </row>
    <row r="612" spans="1:12" x14ac:dyDescent="0.35">
      <c r="A612" t="s">
        <v>1061</v>
      </c>
      <c r="B612" t="s">
        <v>13</v>
      </c>
      <c r="C612" t="s">
        <v>26</v>
      </c>
      <c r="D612">
        <v>30</v>
      </c>
      <c r="E612" t="s">
        <v>70</v>
      </c>
      <c r="F612" t="s">
        <v>28</v>
      </c>
      <c r="G612" t="s">
        <v>1062</v>
      </c>
      <c r="H612">
        <v>83706.17</v>
      </c>
      <c r="I612" t="s">
        <v>50</v>
      </c>
      <c r="J612">
        <v>-7150968831</v>
      </c>
      <c r="K612" t="s">
        <v>18</v>
      </c>
      <c r="L612" t="b">
        <v>0</v>
      </c>
    </row>
    <row r="613" spans="1:12" x14ac:dyDescent="0.35">
      <c r="A613" t="s">
        <v>1063</v>
      </c>
      <c r="B613" t="s">
        <v>59</v>
      </c>
      <c r="C613" t="s">
        <v>55</v>
      </c>
      <c r="E613" t="s">
        <v>27</v>
      </c>
      <c r="F613" t="s">
        <v>33</v>
      </c>
      <c r="G613" t="s">
        <v>1064</v>
      </c>
      <c r="H613">
        <v>67056.92</v>
      </c>
      <c r="I613" t="s">
        <v>217</v>
      </c>
      <c r="J613">
        <v>-7532735240</v>
      </c>
      <c r="K613" t="s">
        <v>18</v>
      </c>
      <c r="L613" t="b">
        <v>1</v>
      </c>
    </row>
    <row r="614" spans="1:12" x14ac:dyDescent="0.35">
      <c r="A614" t="s">
        <v>1065</v>
      </c>
      <c r="B614" t="s">
        <v>54</v>
      </c>
      <c r="C614" t="s">
        <v>20</v>
      </c>
      <c r="D614">
        <v>30</v>
      </c>
      <c r="E614" t="s">
        <v>78</v>
      </c>
      <c r="F614" t="s">
        <v>16</v>
      </c>
      <c r="G614" t="s">
        <v>1066</v>
      </c>
      <c r="H614">
        <v>90058.85</v>
      </c>
      <c r="I614" t="s">
        <v>125</v>
      </c>
      <c r="J614">
        <v>-397739731</v>
      </c>
      <c r="K614" t="s">
        <v>41</v>
      </c>
      <c r="L614" t="b">
        <v>0</v>
      </c>
    </row>
    <row r="615" spans="1:12" x14ac:dyDescent="0.35">
      <c r="A615" t="s">
        <v>1067</v>
      </c>
      <c r="B615" t="s">
        <v>32</v>
      </c>
      <c r="C615" t="s">
        <v>55</v>
      </c>
      <c r="D615">
        <v>30</v>
      </c>
      <c r="E615" t="s">
        <v>74</v>
      </c>
      <c r="F615" t="s">
        <v>28</v>
      </c>
      <c r="G615" t="s">
        <v>1068</v>
      </c>
      <c r="H615">
        <v>94633.59</v>
      </c>
      <c r="I615" t="s">
        <v>323</v>
      </c>
      <c r="J615">
        <v>-7819523709</v>
      </c>
      <c r="K615" t="s">
        <v>18</v>
      </c>
      <c r="L615" t="b">
        <v>1</v>
      </c>
    </row>
    <row r="616" spans="1:12" x14ac:dyDescent="0.35">
      <c r="A616" t="s">
        <v>1069</v>
      </c>
      <c r="B616" t="s">
        <v>32</v>
      </c>
      <c r="C616" t="s">
        <v>92</v>
      </c>
      <c r="D616">
        <v>25</v>
      </c>
      <c r="E616" t="s">
        <v>205</v>
      </c>
      <c r="F616" t="s">
        <v>28</v>
      </c>
      <c r="G616" t="s">
        <v>1070</v>
      </c>
      <c r="H616">
        <v>110711.17</v>
      </c>
      <c r="I616" t="s">
        <v>263</v>
      </c>
      <c r="J616">
        <v>-687616480</v>
      </c>
      <c r="K616" t="s">
        <v>23</v>
      </c>
      <c r="L616" t="b">
        <v>1</v>
      </c>
    </row>
    <row r="617" spans="1:12" x14ac:dyDescent="0.35">
      <c r="A617" t="s">
        <v>1071</v>
      </c>
      <c r="B617" t="s">
        <v>69</v>
      </c>
      <c r="C617" t="s">
        <v>38</v>
      </c>
      <c r="E617" t="s">
        <v>89</v>
      </c>
      <c r="F617" t="s">
        <v>16</v>
      </c>
      <c r="G617" t="s">
        <v>333</v>
      </c>
      <c r="H617">
        <v>96175.41</v>
      </c>
      <c r="I617" t="s">
        <v>71</v>
      </c>
      <c r="J617">
        <v>-9807704604</v>
      </c>
      <c r="K617" t="s">
        <v>18</v>
      </c>
      <c r="L617" t="b">
        <v>1</v>
      </c>
    </row>
    <row r="618" spans="1:12" x14ac:dyDescent="0.35">
      <c r="A618" t="s">
        <v>1072</v>
      </c>
      <c r="B618" t="s">
        <v>37</v>
      </c>
      <c r="C618" t="s">
        <v>122</v>
      </c>
      <c r="D618">
        <v>40</v>
      </c>
      <c r="E618" t="s">
        <v>98</v>
      </c>
      <c r="F618" t="s">
        <v>16</v>
      </c>
      <c r="G618" t="s">
        <v>1073</v>
      </c>
      <c r="H618">
        <v>76474.789999999994</v>
      </c>
      <c r="I618" t="s">
        <v>137</v>
      </c>
      <c r="J618">
        <v>-6876112490</v>
      </c>
      <c r="K618" t="s">
        <v>23</v>
      </c>
      <c r="L618" t="b">
        <v>1</v>
      </c>
    </row>
    <row r="619" spans="1:12" x14ac:dyDescent="0.35">
      <c r="A619" t="s">
        <v>1074</v>
      </c>
      <c r="B619" t="s">
        <v>25</v>
      </c>
      <c r="C619" t="s">
        <v>43</v>
      </c>
      <c r="D619">
        <v>30</v>
      </c>
      <c r="E619" t="s">
        <v>98</v>
      </c>
      <c r="F619" t="s">
        <v>28</v>
      </c>
      <c r="G619" s="1">
        <v>44809</v>
      </c>
      <c r="H619">
        <v>107855.99</v>
      </c>
      <c r="I619" t="s">
        <v>45</v>
      </c>
      <c r="J619">
        <v>-2565237340</v>
      </c>
      <c r="K619" t="s">
        <v>23</v>
      </c>
      <c r="L619" t="b">
        <v>0</v>
      </c>
    </row>
    <row r="620" spans="1:12" x14ac:dyDescent="0.35">
      <c r="A620" t="s">
        <v>1075</v>
      </c>
      <c r="B620" t="s">
        <v>54</v>
      </c>
      <c r="C620" t="s">
        <v>14</v>
      </c>
      <c r="D620">
        <v>40</v>
      </c>
      <c r="E620" t="s">
        <v>98</v>
      </c>
      <c r="F620" t="s">
        <v>16</v>
      </c>
      <c r="G620" s="1">
        <v>45334</v>
      </c>
      <c r="H620">
        <v>104870.78</v>
      </c>
      <c r="I620" t="s">
        <v>170</v>
      </c>
      <c r="J620">
        <v>-5177345474</v>
      </c>
      <c r="K620" t="s">
        <v>23</v>
      </c>
      <c r="L620" t="b">
        <v>1</v>
      </c>
    </row>
    <row r="621" spans="1:12" x14ac:dyDescent="0.35">
      <c r="A621" t="s">
        <v>1076</v>
      </c>
      <c r="B621" t="s">
        <v>13</v>
      </c>
      <c r="C621" t="s">
        <v>38</v>
      </c>
      <c r="D621">
        <v>25</v>
      </c>
      <c r="E621" t="s">
        <v>100</v>
      </c>
      <c r="F621" t="s">
        <v>16</v>
      </c>
      <c r="G621" t="s">
        <v>1077</v>
      </c>
      <c r="H621" t="s">
        <v>277</v>
      </c>
      <c r="I621" t="s">
        <v>144</v>
      </c>
      <c r="J621">
        <v>-7494902283</v>
      </c>
      <c r="K621" t="s">
        <v>30</v>
      </c>
      <c r="L621" t="b">
        <v>0</v>
      </c>
    </row>
    <row r="622" spans="1:12" x14ac:dyDescent="0.35">
      <c r="A622" t="s">
        <v>1078</v>
      </c>
      <c r="B622" t="s">
        <v>69</v>
      </c>
      <c r="C622" t="s">
        <v>20</v>
      </c>
      <c r="E622" t="s">
        <v>70</v>
      </c>
      <c r="F622" t="s">
        <v>16</v>
      </c>
      <c r="G622" t="s">
        <v>1079</v>
      </c>
      <c r="H622">
        <v>87087.16</v>
      </c>
      <c r="I622" t="s">
        <v>201</v>
      </c>
      <c r="J622">
        <v>-359544293</v>
      </c>
      <c r="K622" t="s">
        <v>41</v>
      </c>
      <c r="L622" t="b">
        <v>0</v>
      </c>
    </row>
    <row r="623" spans="1:12" x14ac:dyDescent="0.35">
      <c r="A623" t="s">
        <v>1080</v>
      </c>
      <c r="B623" t="s">
        <v>65</v>
      </c>
      <c r="C623" t="s">
        <v>55</v>
      </c>
      <c r="D623">
        <v>40</v>
      </c>
      <c r="E623" t="s">
        <v>192</v>
      </c>
      <c r="F623" t="s">
        <v>28</v>
      </c>
      <c r="G623" s="1">
        <v>45508</v>
      </c>
      <c r="H623">
        <v>108603.34</v>
      </c>
      <c r="I623" t="s">
        <v>113</v>
      </c>
      <c r="J623">
        <v>-7742229463</v>
      </c>
      <c r="K623" t="s">
        <v>23</v>
      </c>
      <c r="L623" t="b">
        <v>0</v>
      </c>
    </row>
    <row r="624" spans="1:12" x14ac:dyDescent="0.35">
      <c r="A624" t="s">
        <v>1081</v>
      </c>
      <c r="B624" t="s">
        <v>69</v>
      </c>
      <c r="C624" t="s">
        <v>14</v>
      </c>
      <c r="D624">
        <v>30</v>
      </c>
      <c r="E624" t="s">
        <v>212</v>
      </c>
      <c r="F624" t="s">
        <v>16</v>
      </c>
      <c r="G624" t="s">
        <v>1082</v>
      </c>
      <c r="H624">
        <v>55867.23</v>
      </c>
      <c r="I624" t="s">
        <v>235</v>
      </c>
      <c r="J624">
        <v>-3039429044</v>
      </c>
      <c r="K624" t="s">
        <v>23</v>
      </c>
      <c r="L624" t="b">
        <v>0</v>
      </c>
    </row>
    <row r="625" spans="1:12" x14ac:dyDescent="0.35">
      <c r="A625" t="s">
        <v>1083</v>
      </c>
      <c r="B625" t="s">
        <v>69</v>
      </c>
      <c r="C625" t="s">
        <v>55</v>
      </c>
      <c r="D625">
        <v>35</v>
      </c>
      <c r="E625" t="s">
        <v>103</v>
      </c>
      <c r="F625" t="s">
        <v>28</v>
      </c>
      <c r="G625" s="1">
        <v>45325</v>
      </c>
      <c r="H625">
        <v>105259.57</v>
      </c>
      <c r="I625" t="s">
        <v>127</v>
      </c>
      <c r="J625">
        <v>-8867925297</v>
      </c>
      <c r="K625" t="s">
        <v>30</v>
      </c>
      <c r="L625" t="b">
        <v>1</v>
      </c>
    </row>
    <row r="626" spans="1:12" x14ac:dyDescent="0.35">
      <c r="A626" t="s">
        <v>1084</v>
      </c>
      <c r="B626" t="s">
        <v>13</v>
      </c>
      <c r="C626" t="s">
        <v>26</v>
      </c>
      <c r="E626" t="s">
        <v>39</v>
      </c>
      <c r="F626" t="s">
        <v>28</v>
      </c>
      <c r="G626" t="s">
        <v>1085</v>
      </c>
      <c r="H626">
        <v>98143.67</v>
      </c>
      <c r="I626" t="s">
        <v>50</v>
      </c>
      <c r="J626">
        <v>-5856728726</v>
      </c>
      <c r="K626" t="s">
        <v>23</v>
      </c>
      <c r="L626" t="b">
        <v>0</v>
      </c>
    </row>
    <row r="627" spans="1:12" x14ac:dyDescent="0.35">
      <c r="A627" t="s">
        <v>1086</v>
      </c>
      <c r="B627" t="s">
        <v>37</v>
      </c>
      <c r="C627" t="s">
        <v>55</v>
      </c>
      <c r="D627">
        <v>25</v>
      </c>
      <c r="E627" t="s">
        <v>205</v>
      </c>
      <c r="F627" t="s">
        <v>28</v>
      </c>
      <c r="G627" t="s">
        <v>1087</v>
      </c>
      <c r="H627">
        <v>67754.289999999994</v>
      </c>
      <c r="I627" t="s">
        <v>271</v>
      </c>
      <c r="J627">
        <v>-6015343323</v>
      </c>
      <c r="K627" t="s">
        <v>18</v>
      </c>
      <c r="L627" t="b">
        <v>1</v>
      </c>
    </row>
    <row r="628" spans="1:12" x14ac:dyDescent="0.35">
      <c r="A628" t="s">
        <v>1088</v>
      </c>
      <c r="B628" t="s">
        <v>69</v>
      </c>
      <c r="C628" t="s">
        <v>26</v>
      </c>
      <c r="E628" t="s">
        <v>192</v>
      </c>
      <c r="F628" t="s">
        <v>33</v>
      </c>
      <c r="G628" t="s">
        <v>600</v>
      </c>
      <c r="H628">
        <v>77821.789999999994</v>
      </c>
      <c r="I628" t="s">
        <v>76</v>
      </c>
      <c r="J628">
        <v>-9135779082</v>
      </c>
      <c r="K628" t="s">
        <v>18</v>
      </c>
      <c r="L628" t="b">
        <v>0</v>
      </c>
    </row>
    <row r="629" spans="1:12" x14ac:dyDescent="0.35">
      <c r="A629" t="s">
        <v>1089</v>
      </c>
      <c r="B629" t="s">
        <v>65</v>
      </c>
      <c r="C629" t="s">
        <v>92</v>
      </c>
      <c r="D629">
        <v>30</v>
      </c>
      <c r="E629" t="s">
        <v>192</v>
      </c>
      <c r="F629" t="s">
        <v>28</v>
      </c>
      <c r="G629" t="s">
        <v>1090</v>
      </c>
      <c r="H629">
        <v>67764.44</v>
      </c>
      <c r="I629" t="s">
        <v>130</v>
      </c>
      <c r="J629">
        <v>-3506158147</v>
      </c>
      <c r="K629" t="s">
        <v>41</v>
      </c>
      <c r="L629" t="b">
        <v>0</v>
      </c>
    </row>
    <row r="630" spans="1:12" x14ac:dyDescent="0.35">
      <c r="A630" t="s">
        <v>1091</v>
      </c>
      <c r="B630" t="s">
        <v>37</v>
      </c>
      <c r="C630" t="s">
        <v>14</v>
      </c>
      <c r="D630">
        <v>40</v>
      </c>
      <c r="E630" t="s">
        <v>56</v>
      </c>
      <c r="F630" t="s">
        <v>28</v>
      </c>
      <c r="G630" t="s">
        <v>967</v>
      </c>
      <c r="H630">
        <v>102346.99</v>
      </c>
      <c r="I630" t="s">
        <v>52</v>
      </c>
      <c r="J630">
        <v>-8810798333</v>
      </c>
      <c r="K630" t="s">
        <v>23</v>
      </c>
      <c r="L630" t="b">
        <v>1</v>
      </c>
    </row>
    <row r="631" spans="1:12" x14ac:dyDescent="0.35">
      <c r="A631" t="s">
        <v>1092</v>
      </c>
      <c r="B631" t="s">
        <v>54</v>
      </c>
      <c r="C631" t="s">
        <v>14</v>
      </c>
      <c r="D631">
        <v>25</v>
      </c>
      <c r="E631" t="s">
        <v>89</v>
      </c>
      <c r="F631" t="s">
        <v>33</v>
      </c>
      <c r="G631" t="s">
        <v>625</v>
      </c>
      <c r="H631">
        <v>73690.649999999994</v>
      </c>
      <c r="I631" t="s">
        <v>170</v>
      </c>
      <c r="J631">
        <v>-2337209483</v>
      </c>
      <c r="K631" t="s">
        <v>30</v>
      </c>
      <c r="L631" t="b">
        <v>1</v>
      </c>
    </row>
    <row r="632" spans="1:12" x14ac:dyDescent="0.35">
      <c r="A632" t="s">
        <v>1093</v>
      </c>
      <c r="B632" t="s">
        <v>25</v>
      </c>
      <c r="C632" t="s">
        <v>122</v>
      </c>
      <c r="D632">
        <v>30</v>
      </c>
      <c r="E632" t="s">
        <v>100</v>
      </c>
      <c r="F632" t="s">
        <v>16</v>
      </c>
      <c r="G632" s="1">
        <v>45419</v>
      </c>
      <c r="H632">
        <v>56376.2</v>
      </c>
      <c r="I632" t="s">
        <v>182</v>
      </c>
      <c r="J632">
        <v>-1312840332</v>
      </c>
      <c r="K632" t="s">
        <v>18</v>
      </c>
      <c r="L632" t="b">
        <v>1</v>
      </c>
    </row>
    <row r="633" spans="1:12" x14ac:dyDescent="0.35">
      <c r="A633" t="s">
        <v>1094</v>
      </c>
      <c r="B633" t="s">
        <v>69</v>
      </c>
      <c r="C633" t="s">
        <v>20</v>
      </c>
      <c r="D633">
        <v>25</v>
      </c>
      <c r="E633" t="s">
        <v>268</v>
      </c>
      <c r="F633" t="s">
        <v>16</v>
      </c>
      <c r="G633" t="s">
        <v>499</v>
      </c>
      <c r="H633">
        <v>55602.78</v>
      </c>
      <c r="I633" t="s">
        <v>201</v>
      </c>
      <c r="J633">
        <v>-9977180512</v>
      </c>
      <c r="K633" t="s">
        <v>30</v>
      </c>
      <c r="L633" t="b">
        <v>0</v>
      </c>
    </row>
    <row r="634" spans="1:12" x14ac:dyDescent="0.35">
      <c r="A634" t="s">
        <v>1095</v>
      </c>
      <c r="B634" t="s">
        <v>69</v>
      </c>
      <c r="C634" t="s">
        <v>26</v>
      </c>
      <c r="D634">
        <v>40</v>
      </c>
      <c r="E634" t="s">
        <v>219</v>
      </c>
      <c r="F634" t="s">
        <v>28</v>
      </c>
      <c r="G634" s="1">
        <v>44447</v>
      </c>
      <c r="H634">
        <v>99812.41</v>
      </c>
      <c r="I634" t="s">
        <v>76</v>
      </c>
      <c r="J634">
        <v>-7171731892</v>
      </c>
      <c r="K634" t="s">
        <v>30</v>
      </c>
      <c r="L634" t="b">
        <v>0</v>
      </c>
    </row>
    <row r="635" spans="1:12" x14ac:dyDescent="0.35">
      <c r="A635" t="s">
        <v>1096</v>
      </c>
      <c r="B635" t="s">
        <v>54</v>
      </c>
      <c r="C635" t="s">
        <v>122</v>
      </c>
      <c r="D635">
        <v>40</v>
      </c>
      <c r="E635" t="s">
        <v>21</v>
      </c>
      <c r="F635" t="s">
        <v>16</v>
      </c>
      <c r="G635" s="1">
        <v>45483</v>
      </c>
      <c r="H635">
        <v>95981.9</v>
      </c>
      <c r="I635" t="s">
        <v>194</v>
      </c>
      <c r="J635">
        <v>-9749096172</v>
      </c>
      <c r="K635" t="s">
        <v>18</v>
      </c>
      <c r="L635" t="b">
        <v>1</v>
      </c>
    </row>
    <row r="636" spans="1:12" x14ac:dyDescent="0.35">
      <c r="A636" t="s">
        <v>1097</v>
      </c>
      <c r="B636" t="s">
        <v>32</v>
      </c>
      <c r="C636" t="s">
        <v>55</v>
      </c>
      <c r="D636">
        <v>30</v>
      </c>
      <c r="E636" t="s">
        <v>95</v>
      </c>
      <c r="F636" t="s">
        <v>28</v>
      </c>
      <c r="G636" t="s">
        <v>1098</v>
      </c>
      <c r="H636">
        <v>98891.48</v>
      </c>
      <c r="I636" t="s">
        <v>323</v>
      </c>
      <c r="J636">
        <v>-9970469471</v>
      </c>
      <c r="K636" t="s">
        <v>30</v>
      </c>
      <c r="L636" t="b">
        <v>1</v>
      </c>
    </row>
    <row r="637" spans="1:12" x14ac:dyDescent="0.35">
      <c r="A637" t="s">
        <v>1099</v>
      </c>
      <c r="B637" t="s">
        <v>25</v>
      </c>
      <c r="C637" t="s">
        <v>55</v>
      </c>
      <c r="D637">
        <v>35</v>
      </c>
      <c r="E637" t="s">
        <v>27</v>
      </c>
      <c r="F637" t="s">
        <v>16</v>
      </c>
      <c r="G637" t="s">
        <v>834</v>
      </c>
      <c r="H637">
        <v>56079</v>
      </c>
      <c r="I637" t="s">
        <v>150</v>
      </c>
      <c r="J637">
        <v>-5878444834</v>
      </c>
      <c r="K637" t="s">
        <v>18</v>
      </c>
      <c r="L637" t="b">
        <v>1</v>
      </c>
    </row>
    <row r="638" spans="1:12" x14ac:dyDescent="0.35">
      <c r="A638" t="s">
        <v>1100</v>
      </c>
      <c r="B638" t="s">
        <v>69</v>
      </c>
      <c r="C638" t="s">
        <v>122</v>
      </c>
      <c r="D638">
        <v>35</v>
      </c>
      <c r="E638" t="s">
        <v>230</v>
      </c>
      <c r="F638" t="s">
        <v>33</v>
      </c>
      <c r="G638" t="s">
        <v>1101</v>
      </c>
      <c r="H638" t="s">
        <v>277</v>
      </c>
      <c r="I638" t="s">
        <v>135</v>
      </c>
      <c r="J638">
        <v>-4884712704</v>
      </c>
      <c r="K638" t="s">
        <v>30</v>
      </c>
      <c r="L638" t="b">
        <v>1</v>
      </c>
    </row>
    <row r="639" spans="1:12" x14ac:dyDescent="0.35">
      <c r="A639" t="s">
        <v>1102</v>
      </c>
      <c r="B639" t="s">
        <v>13</v>
      </c>
      <c r="C639" t="s">
        <v>14</v>
      </c>
      <c r="D639">
        <v>25</v>
      </c>
      <c r="E639" t="s">
        <v>177</v>
      </c>
      <c r="F639" t="s">
        <v>28</v>
      </c>
      <c r="G639" t="s">
        <v>467</v>
      </c>
      <c r="H639">
        <v>89137.97</v>
      </c>
      <c r="I639" t="s">
        <v>17</v>
      </c>
      <c r="J639">
        <v>-8772216416</v>
      </c>
      <c r="K639" t="s">
        <v>18</v>
      </c>
      <c r="L639" t="b">
        <v>0</v>
      </c>
    </row>
    <row r="640" spans="1:12" x14ac:dyDescent="0.35">
      <c r="A640" t="s">
        <v>1103</v>
      </c>
      <c r="B640" t="s">
        <v>37</v>
      </c>
      <c r="C640" t="s">
        <v>55</v>
      </c>
      <c r="D640">
        <v>35</v>
      </c>
      <c r="E640" t="s">
        <v>89</v>
      </c>
      <c r="F640" t="s">
        <v>16</v>
      </c>
      <c r="G640" t="s">
        <v>1104</v>
      </c>
      <c r="H640">
        <v>115079.97</v>
      </c>
      <c r="I640" t="s">
        <v>271</v>
      </c>
      <c r="J640">
        <v>-5823133483</v>
      </c>
      <c r="K640" t="s">
        <v>23</v>
      </c>
      <c r="L640" t="b">
        <v>1</v>
      </c>
    </row>
    <row r="641" spans="1:12" x14ac:dyDescent="0.35">
      <c r="A641" t="s">
        <v>1105</v>
      </c>
      <c r="B641" t="s">
        <v>32</v>
      </c>
      <c r="C641" t="s">
        <v>43</v>
      </c>
      <c r="D641">
        <v>30</v>
      </c>
      <c r="E641" t="s">
        <v>265</v>
      </c>
      <c r="F641" t="s">
        <v>16</v>
      </c>
      <c r="G641" t="s">
        <v>1106</v>
      </c>
      <c r="H641">
        <v>55067.02</v>
      </c>
      <c r="I641" t="s">
        <v>297</v>
      </c>
      <c r="J641">
        <v>-5871493924</v>
      </c>
      <c r="K641" t="s">
        <v>41</v>
      </c>
      <c r="L641" t="b">
        <v>1</v>
      </c>
    </row>
    <row r="642" spans="1:12" x14ac:dyDescent="0.35">
      <c r="A642" t="s">
        <v>1107</v>
      </c>
      <c r="B642" t="s">
        <v>13</v>
      </c>
      <c r="C642" t="s">
        <v>92</v>
      </c>
      <c r="E642" t="s">
        <v>192</v>
      </c>
      <c r="F642" t="s">
        <v>28</v>
      </c>
      <c r="G642" t="s">
        <v>1108</v>
      </c>
      <c r="H642">
        <v>98593.43</v>
      </c>
      <c r="I642" t="s">
        <v>93</v>
      </c>
      <c r="J642">
        <v>-2362292586</v>
      </c>
      <c r="K642" t="s">
        <v>18</v>
      </c>
      <c r="L642" t="b">
        <v>1</v>
      </c>
    </row>
    <row r="643" spans="1:12" x14ac:dyDescent="0.35">
      <c r="A643" t="s">
        <v>1109</v>
      </c>
      <c r="B643" t="s">
        <v>65</v>
      </c>
      <c r="C643" t="s">
        <v>92</v>
      </c>
      <c r="D643">
        <v>30</v>
      </c>
      <c r="E643" t="s">
        <v>212</v>
      </c>
      <c r="F643" t="s">
        <v>28</v>
      </c>
      <c r="G643" s="1">
        <v>44569</v>
      </c>
      <c r="H643">
        <v>112756.67</v>
      </c>
      <c r="I643" t="s">
        <v>130</v>
      </c>
      <c r="J643">
        <v>-9643474523</v>
      </c>
      <c r="K643" t="s">
        <v>18</v>
      </c>
      <c r="L643" t="b">
        <v>1</v>
      </c>
    </row>
    <row r="644" spans="1:12" x14ac:dyDescent="0.35">
      <c r="A644" t="s">
        <v>1110</v>
      </c>
      <c r="B644" t="s">
        <v>65</v>
      </c>
      <c r="C644" t="s">
        <v>43</v>
      </c>
      <c r="D644">
        <v>25</v>
      </c>
      <c r="E644" t="s">
        <v>139</v>
      </c>
      <c r="F644" t="s">
        <v>33</v>
      </c>
      <c r="G644" t="s">
        <v>998</v>
      </c>
      <c r="H644">
        <v>105205.92</v>
      </c>
      <c r="I644" t="s">
        <v>257</v>
      </c>
      <c r="J644">
        <v>-5557469659</v>
      </c>
      <c r="K644" t="s">
        <v>41</v>
      </c>
      <c r="L644" t="b">
        <v>0</v>
      </c>
    </row>
    <row r="645" spans="1:12" x14ac:dyDescent="0.35">
      <c r="A645" t="s">
        <v>1111</v>
      </c>
      <c r="B645" t="s">
        <v>59</v>
      </c>
      <c r="C645" t="s">
        <v>122</v>
      </c>
      <c r="D645">
        <v>35</v>
      </c>
      <c r="E645" t="s">
        <v>70</v>
      </c>
      <c r="F645" t="s">
        <v>28</v>
      </c>
      <c r="G645" s="1">
        <v>44958</v>
      </c>
      <c r="H645">
        <v>50680.62</v>
      </c>
      <c r="I645" t="s">
        <v>341</v>
      </c>
      <c r="J645">
        <v>-6065274032</v>
      </c>
      <c r="K645" t="s">
        <v>18</v>
      </c>
      <c r="L645" t="b">
        <v>1</v>
      </c>
    </row>
    <row r="646" spans="1:12" x14ac:dyDescent="0.35">
      <c r="A646" t="s">
        <v>1112</v>
      </c>
      <c r="B646" t="s">
        <v>59</v>
      </c>
      <c r="C646" t="s">
        <v>43</v>
      </c>
      <c r="D646">
        <v>35</v>
      </c>
      <c r="E646" t="s">
        <v>39</v>
      </c>
      <c r="F646" t="s">
        <v>28</v>
      </c>
      <c r="G646" t="s">
        <v>1113</v>
      </c>
      <c r="H646">
        <v>107475.23</v>
      </c>
      <c r="I646" t="s">
        <v>101</v>
      </c>
      <c r="J646">
        <v>-4450566587</v>
      </c>
      <c r="K646" t="s">
        <v>18</v>
      </c>
      <c r="L646" t="b">
        <v>0</v>
      </c>
    </row>
    <row r="647" spans="1:12" x14ac:dyDescent="0.35">
      <c r="A647" t="s">
        <v>1114</v>
      </c>
      <c r="B647" t="s">
        <v>54</v>
      </c>
      <c r="C647" t="s">
        <v>26</v>
      </c>
      <c r="D647">
        <v>40</v>
      </c>
      <c r="E647" t="s">
        <v>146</v>
      </c>
      <c r="F647" t="s">
        <v>16</v>
      </c>
      <c r="G647" t="s">
        <v>1115</v>
      </c>
      <c r="H647">
        <v>68835.3</v>
      </c>
      <c r="I647" t="s">
        <v>120</v>
      </c>
      <c r="J647">
        <v>-3398741131</v>
      </c>
      <c r="K647" t="s">
        <v>30</v>
      </c>
      <c r="L647" t="b">
        <v>1</v>
      </c>
    </row>
    <row r="648" spans="1:12" x14ac:dyDescent="0.35">
      <c r="A648" t="s">
        <v>1116</v>
      </c>
      <c r="B648" t="s">
        <v>59</v>
      </c>
      <c r="C648" t="s">
        <v>26</v>
      </c>
      <c r="D648">
        <v>40</v>
      </c>
      <c r="E648" t="s">
        <v>56</v>
      </c>
      <c r="F648" t="s">
        <v>16</v>
      </c>
      <c r="G648" t="s">
        <v>1117</v>
      </c>
      <c r="H648">
        <v>66943.960000000006</v>
      </c>
      <c r="I648" t="s">
        <v>242</v>
      </c>
      <c r="J648">
        <v>-5797067348</v>
      </c>
      <c r="K648" t="s">
        <v>41</v>
      </c>
      <c r="L648" t="b">
        <v>1</v>
      </c>
    </row>
    <row r="649" spans="1:12" x14ac:dyDescent="0.35">
      <c r="A649" t="s">
        <v>1118</v>
      </c>
      <c r="B649" t="s">
        <v>59</v>
      </c>
      <c r="C649" t="s">
        <v>122</v>
      </c>
      <c r="D649">
        <v>30</v>
      </c>
      <c r="E649" t="s">
        <v>89</v>
      </c>
      <c r="F649" t="s">
        <v>33</v>
      </c>
      <c r="G649" t="s">
        <v>1119</v>
      </c>
      <c r="H649">
        <v>104525.69</v>
      </c>
      <c r="I649" t="s">
        <v>341</v>
      </c>
      <c r="J649">
        <v>-9601054856</v>
      </c>
      <c r="K649" t="s">
        <v>23</v>
      </c>
      <c r="L649" t="b">
        <v>0</v>
      </c>
    </row>
    <row r="650" spans="1:12" x14ac:dyDescent="0.35">
      <c r="A650" t="s">
        <v>1120</v>
      </c>
      <c r="B650" t="s">
        <v>13</v>
      </c>
      <c r="C650" t="s">
        <v>43</v>
      </c>
      <c r="D650">
        <v>40</v>
      </c>
      <c r="E650" t="s">
        <v>44</v>
      </c>
      <c r="F650" t="s">
        <v>28</v>
      </c>
      <c r="G650" t="s">
        <v>1121</v>
      </c>
      <c r="H650">
        <v>109360.74</v>
      </c>
      <c r="I650" t="s">
        <v>153</v>
      </c>
      <c r="J650">
        <v>-4172156228</v>
      </c>
      <c r="K650" t="s">
        <v>18</v>
      </c>
      <c r="L650" t="b">
        <v>1</v>
      </c>
    </row>
    <row r="651" spans="1:12" x14ac:dyDescent="0.35">
      <c r="A651" t="s">
        <v>1122</v>
      </c>
      <c r="B651" t="s">
        <v>37</v>
      </c>
      <c r="C651" t="s">
        <v>26</v>
      </c>
      <c r="D651">
        <v>40</v>
      </c>
      <c r="E651" t="s">
        <v>177</v>
      </c>
      <c r="F651" t="s">
        <v>33</v>
      </c>
      <c r="G651" s="1">
        <v>44440</v>
      </c>
      <c r="H651">
        <v>118907.63</v>
      </c>
      <c r="I651" t="s">
        <v>47</v>
      </c>
      <c r="J651">
        <v>-4938173597</v>
      </c>
      <c r="K651" t="s">
        <v>41</v>
      </c>
      <c r="L651" t="b">
        <v>0</v>
      </c>
    </row>
    <row r="652" spans="1:12" x14ac:dyDescent="0.35">
      <c r="A652" t="s">
        <v>1123</v>
      </c>
      <c r="B652" t="s">
        <v>32</v>
      </c>
      <c r="C652" t="s">
        <v>14</v>
      </c>
      <c r="D652">
        <v>40</v>
      </c>
      <c r="E652" t="s">
        <v>89</v>
      </c>
      <c r="F652" t="s">
        <v>16</v>
      </c>
      <c r="G652" t="s">
        <v>1124</v>
      </c>
      <c r="H652">
        <v>86801.48</v>
      </c>
      <c r="I652" t="s">
        <v>35</v>
      </c>
      <c r="J652">
        <v>-4884021556</v>
      </c>
      <c r="K652" t="s">
        <v>30</v>
      </c>
      <c r="L652" t="b">
        <v>0</v>
      </c>
    </row>
    <row r="653" spans="1:12" x14ac:dyDescent="0.35">
      <c r="A653" t="s">
        <v>1125</v>
      </c>
      <c r="B653" t="s">
        <v>25</v>
      </c>
      <c r="C653" t="s">
        <v>43</v>
      </c>
      <c r="E653" t="s">
        <v>212</v>
      </c>
      <c r="F653" t="s">
        <v>28</v>
      </c>
      <c r="G653" s="1">
        <v>45509</v>
      </c>
      <c r="H653">
        <v>62236.03</v>
      </c>
      <c r="I653" t="s">
        <v>45</v>
      </c>
      <c r="J653">
        <v>-3257375533</v>
      </c>
      <c r="K653" t="s">
        <v>23</v>
      </c>
      <c r="L653" t="b">
        <v>1</v>
      </c>
    </row>
    <row r="654" spans="1:12" x14ac:dyDescent="0.35">
      <c r="A654" t="s">
        <v>1126</v>
      </c>
      <c r="B654" t="s">
        <v>65</v>
      </c>
      <c r="C654" t="s">
        <v>14</v>
      </c>
      <c r="D654">
        <v>35</v>
      </c>
      <c r="E654" t="s">
        <v>237</v>
      </c>
      <c r="F654" t="s">
        <v>16</v>
      </c>
      <c r="G654" s="1">
        <v>45270</v>
      </c>
      <c r="H654">
        <v>64752.67</v>
      </c>
      <c r="I654" t="s">
        <v>395</v>
      </c>
      <c r="J654">
        <v>-4902166669</v>
      </c>
      <c r="K654" t="s">
        <v>41</v>
      </c>
      <c r="L654" t="b">
        <v>0</v>
      </c>
    </row>
    <row r="655" spans="1:12" x14ac:dyDescent="0.35">
      <c r="A655" t="s">
        <v>1127</v>
      </c>
      <c r="B655" t="s">
        <v>37</v>
      </c>
      <c r="C655" t="s">
        <v>26</v>
      </c>
      <c r="D655">
        <v>35</v>
      </c>
      <c r="E655" t="s">
        <v>177</v>
      </c>
      <c r="F655" t="s">
        <v>16</v>
      </c>
      <c r="G655" t="s">
        <v>1128</v>
      </c>
      <c r="H655">
        <v>68399.429999999993</v>
      </c>
      <c r="I655" t="s">
        <v>47</v>
      </c>
      <c r="J655">
        <v>-8085096084</v>
      </c>
      <c r="K655" t="s">
        <v>23</v>
      </c>
      <c r="L655" t="b">
        <v>0</v>
      </c>
    </row>
    <row r="656" spans="1:12" x14ac:dyDescent="0.35">
      <c r="A656" t="s">
        <v>1129</v>
      </c>
      <c r="B656" t="s">
        <v>37</v>
      </c>
      <c r="C656" t="s">
        <v>92</v>
      </c>
      <c r="D656">
        <v>35</v>
      </c>
      <c r="E656" t="s">
        <v>205</v>
      </c>
      <c r="F656" t="s">
        <v>33</v>
      </c>
      <c r="G656" s="1">
        <v>44380</v>
      </c>
      <c r="H656">
        <v>79336.509999999995</v>
      </c>
      <c r="I656" t="s">
        <v>110</v>
      </c>
      <c r="J656">
        <v>-8749511917</v>
      </c>
      <c r="K656" t="s">
        <v>23</v>
      </c>
      <c r="L656" t="b">
        <v>0</v>
      </c>
    </row>
    <row r="657" spans="1:12" x14ac:dyDescent="0.35">
      <c r="A657" t="s">
        <v>1130</v>
      </c>
      <c r="B657" t="s">
        <v>37</v>
      </c>
      <c r="C657" t="s">
        <v>26</v>
      </c>
      <c r="D657">
        <v>40</v>
      </c>
      <c r="E657" t="s">
        <v>212</v>
      </c>
      <c r="F657" t="s">
        <v>16</v>
      </c>
      <c r="G657" t="s">
        <v>1131</v>
      </c>
      <c r="H657">
        <v>59179.74</v>
      </c>
      <c r="I657" t="s">
        <v>47</v>
      </c>
      <c r="J657">
        <v>-1828197930</v>
      </c>
      <c r="K657" t="s">
        <v>23</v>
      </c>
      <c r="L657" t="b">
        <v>0</v>
      </c>
    </row>
    <row r="658" spans="1:12" x14ac:dyDescent="0.35">
      <c r="A658" t="s">
        <v>1132</v>
      </c>
      <c r="B658" t="s">
        <v>59</v>
      </c>
      <c r="C658" t="s">
        <v>14</v>
      </c>
      <c r="D658">
        <v>25</v>
      </c>
      <c r="E658" t="s">
        <v>15</v>
      </c>
      <c r="F658" t="s">
        <v>16</v>
      </c>
      <c r="G658" s="1">
        <v>45232</v>
      </c>
      <c r="H658">
        <v>80255.31</v>
      </c>
      <c r="I658" t="s">
        <v>63</v>
      </c>
      <c r="J658">
        <v>-6477251294</v>
      </c>
      <c r="K658" t="s">
        <v>18</v>
      </c>
      <c r="L658" t="b">
        <v>0</v>
      </c>
    </row>
    <row r="659" spans="1:12" x14ac:dyDescent="0.35">
      <c r="A659" t="s">
        <v>1133</v>
      </c>
      <c r="B659" t="s">
        <v>54</v>
      </c>
      <c r="C659" t="s">
        <v>38</v>
      </c>
      <c r="D659">
        <v>30</v>
      </c>
      <c r="E659" t="s">
        <v>21</v>
      </c>
      <c r="F659" t="s">
        <v>16</v>
      </c>
      <c r="G659" t="s">
        <v>1134</v>
      </c>
      <c r="H659">
        <v>84971.85</v>
      </c>
      <c r="I659" t="s">
        <v>90</v>
      </c>
      <c r="J659">
        <v>-7860694095</v>
      </c>
      <c r="K659" t="s">
        <v>18</v>
      </c>
      <c r="L659" t="b">
        <v>0</v>
      </c>
    </row>
    <row r="660" spans="1:12" x14ac:dyDescent="0.35">
      <c r="A660" t="s">
        <v>1135</v>
      </c>
      <c r="B660" t="s">
        <v>37</v>
      </c>
      <c r="C660" t="s">
        <v>20</v>
      </c>
      <c r="D660">
        <v>40</v>
      </c>
      <c r="E660" t="s">
        <v>146</v>
      </c>
      <c r="F660" t="s">
        <v>28</v>
      </c>
      <c r="G660" t="s">
        <v>1136</v>
      </c>
      <c r="H660">
        <v>89748.42</v>
      </c>
      <c r="I660" t="s">
        <v>239</v>
      </c>
      <c r="J660">
        <v>-35624394</v>
      </c>
      <c r="K660" t="s">
        <v>30</v>
      </c>
      <c r="L660" t="b">
        <v>0</v>
      </c>
    </row>
    <row r="661" spans="1:12" x14ac:dyDescent="0.35">
      <c r="A661" t="s">
        <v>1137</v>
      </c>
      <c r="B661" t="s">
        <v>54</v>
      </c>
      <c r="C661" t="s">
        <v>55</v>
      </c>
      <c r="D661">
        <v>25</v>
      </c>
      <c r="E661" t="s">
        <v>118</v>
      </c>
      <c r="F661" t="s">
        <v>33</v>
      </c>
      <c r="G661" t="s">
        <v>824</v>
      </c>
      <c r="H661">
        <v>94090.35</v>
      </c>
      <c r="I661" t="s">
        <v>57</v>
      </c>
      <c r="J661">
        <v>-8739592322</v>
      </c>
      <c r="K661" t="s">
        <v>30</v>
      </c>
      <c r="L661" t="b">
        <v>0</v>
      </c>
    </row>
    <row r="662" spans="1:12" x14ac:dyDescent="0.35">
      <c r="A662" t="s">
        <v>1138</v>
      </c>
      <c r="B662" t="s">
        <v>37</v>
      </c>
      <c r="C662" t="s">
        <v>43</v>
      </c>
      <c r="D662">
        <v>35</v>
      </c>
      <c r="E662" t="s">
        <v>146</v>
      </c>
      <c r="F662" t="s">
        <v>28</v>
      </c>
      <c r="G662" t="s">
        <v>969</v>
      </c>
      <c r="H662">
        <v>115229.12</v>
      </c>
      <c r="I662" t="s">
        <v>180</v>
      </c>
      <c r="J662">
        <v>-4210890284</v>
      </c>
      <c r="K662" t="s">
        <v>41</v>
      </c>
      <c r="L662" t="b">
        <v>1</v>
      </c>
    </row>
    <row r="663" spans="1:12" x14ac:dyDescent="0.35">
      <c r="A663" t="s">
        <v>1139</v>
      </c>
      <c r="B663" t="s">
        <v>25</v>
      </c>
      <c r="C663" t="s">
        <v>38</v>
      </c>
      <c r="D663">
        <v>40</v>
      </c>
      <c r="E663" t="s">
        <v>268</v>
      </c>
      <c r="F663" t="s">
        <v>28</v>
      </c>
      <c r="G663" t="s">
        <v>1140</v>
      </c>
      <c r="H663">
        <v>63927.07</v>
      </c>
      <c r="I663" t="s">
        <v>363</v>
      </c>
      <c r="J663">
        <v>-1553334263</v>
      </c>
      <c r="K663" t="s">
        <v>30</v>
      </c>
      <c r="L663" t="b">
        <v>1</v>
      </c>
    </row>
    <row r="664" spans="1:12" x14ac:dyDescent="0.35">
      <c r="A664" t="s">
        <v>1141</v>
      </c>
      <c r="B664" t="s">
        <v>54</v>
      </c>
      <c r="C664" t="s">
        <v>26</v>
      </c>
      <c r="D664">
        <v>35</v>
      </c>
      <c r="E664" t="s">
        <v>146</v>
      </c>
      <c r="F664" t="s">
        <v>28</v>
      </c>
      <c r="G664" s="1">
        <v>44876</v>
      </c>
      <c r="H664">
        <v>84124.56</v>
      </c>
      <c r="I664" t="s">
        <v>120</v>
      </c>
      <c r="J664">
        <v>-3350271606</v>
      </c>
      <c r="K664" t="s">
        <v>23</v>
      </c>
      <c r="L664" t="b">
        <v>0</v>
      </c>
    </row>
    <row r="665" spans="1:12" x14ac:dyDescent="0.35">
      <c r="A665" t="s">
        <v>1142</v>
      </c>
      <c r="B665" t="s">
        <v>13</v>
      </c>
      <c r="C665" t="s">
        <v>92</v>
      </c>
      <c r="D665">
        <v>40</v>
      </c>
      <c r="E665" t="s">
        <v>177</v>
      </c>
      <c r="F665" t="s">
        <v>33</v>
      </c>
      <c r="G665" t="s">
        <v>1143</v>
      </c>
      <c r="H665">
        <v>116961.61</v>
      </c>
      <c r="I665" t="s">
        <v>93</v>
      </c>
      <c r="J665">
        <v>-3607763368</v>
      </c>
      <c r="K665" t="s">
        <v>23</v>
      </c>
      <c r="L665" t="b">
        <v>1</v>
      </c>
    </row>
    <row r="666" spans="1:12" x14ac:dyDescent="0.35">
      <c r="A666" t="s">
        <v>1144</v>
      </c>
      <c r="B666" t="s">
        <v>37</v>
      </c>
      <c r="C666" t="s">
        <v>122</v>
      </c>
      <c r="D666">
        <v>40</v>
      </c>
      <c r="E666" t="s">
        <v>78</v>
      </c>
      <c r="F666" t="s">
        <v>28</v>
      </c>
      <c r="G666" s="1">
        <v>44777</v>
      </c>
      <c r="H666">
        <v>109423.05</v>
      </c>
      <c r="I666" t="s">
        <v>137</v>
      </c>
      <c r="J666">
        <v>-1128981230</v>
      </c>
      <c r="K666" t="s">
        <v>18</v>
      </c>
      <c r="L666" t="b">
        <v>0</v>
      </c>
    </row>
    <row r="667" spans="1:12" x14ac:dyDescent="0.35">
      <c r="A667" t="s">
        <v>1145</v>
      </c>
      <c r="B667" t="s">
        <v>54</v>
      </c>
      <c r="C667" t="s">
        <v>26</v>
      </c>
      <c r="D667">
        <v>35</v>
      </c>
      <c r="E667" t="s">
        <v>118</v>
      </c>
      <c r="F667" t="s">
        <v>33</v>
      </c>
      <c r="G667" t="s">
        <v>573</v>
      </c>
      <c r="H667">
        <v>70394.94</v>
      </c>
      <c r="I667" t="s">
        <v>120</v>
      </c>
      <c r="J667">
        <v>-7955633184</v>
      </c>
      <c r="K667" t="s">
        <v>23</v>
      </c>
      <c r="L667" t="b">
        <v>0</v>
      </c>
    </row>
    <row r="668" spans="1:12" x14ac:dyDescent="0.35">
      <c r="A668" t="s">
        <v>1146</v>
      </c>
      <c r="B668" t="s">
        <v>69</v>
      </c>
      <c r="C668" t="s">
        <v>92</v>
      </c>
      <c r="D668">
        <v>35</v>
      </c>
      <c r="E668" t="s">
        <v>70</v>
      </c>
      <c r="F668" t="s">
        <v>28</v>
      </c>
      <c r="G668" t="s">
        <v>1147</v>
      </c>
      <c r="H668">
        <v>86465.5</v>
      </c>
      <c r="I668" t="s">
        <v>168</v>
      </c>
      <c r="J668">
        <v>-7481700665</v>
      </c>
      <c r="K668" t="s">
        <v>41</v>
      </c>
      <c r="L668" t="b">
        <v>1</v>
      </c>
    </row>
    <row r="669" spans="1:12" x14ac:dyDescent="0.35">
      <c r="A669" t="s">
        <v>1148</v>
      </c>
      <c r="B669" t="s">
        <v>54</v>
      </c>
      <c r="C669" t="s">
        <v>20</v>
      </c>
      <c r="D669">
        <v>30</v>
      </c>
      <c r="E669" t="s">
        <v>60</v>
      </c>
      <c r="F669" t="s">
        <v>28</v>
      </c>
      <c r="G669" t="s">
        <v>1149</v>
      </c>
      <c r="H669">
        <v>96341.58</v>
      </c>
      <c r="I669" t="s">
        <v>125</v>
      </c>
      <c r="J669">
        <v>-1554164315</v>
      </c>
      <c r="K669" t="s">
        <v>23</v>
      </c>
      <c r="L669" t="b">
        <v>0</v>
      </c>
    </row>
    <row r="670" spans="1:12" x14ac:dyDescent="0.35">
      <c r="A670" t="s">
        <v>1150</v>
      </c>
      <c r="B670" t="s">
        <v>13</v>
      </c>
      <c r="C670" t="s">
        <v>26</v>
      </c>
      <c r="D670">
        <v>30</v>
      </c>
      <c r="E670" t="s">
        <v>205</v>
      </c>
      <c r="F670" t="s">
        <v>16</v>
      </c>
      <c r="G670" t="s">
        <v>1151</v>
      </c>
      <c r="H670">
        <v>54465.47</v>
      </c>
      <c r="I670" t="s">
        <v>50</v>
      </c>
      <c r="J670">
        <v>-7045023289</v>
      </c>
      <c r="K670" t="s">
        <v>23</v>
      </c>
      <c r="L670" t="b">
        <v>0</v>
      </c>
    </row>
    <row r="671" spans="1:12" x14ac:dyDescent="0.35">
      <c r="A671" t="s">
        <v>1152</v>
      </c>
      <c r="B671" t="s">
        <v>25</v>
      </c>
      <c r="C671" t="s">
        <v>14</v>
      </c>
      <c r="D671">
        <v>25</v>
      </c>
      <c r="E671" t="s">
        <v>265</v>
      </c>
      <c r="F671" t="s">
        <v>16</v>
      </c>
      <c r="G671" t="s">
        <v>1153</v>
      </c>
      <c r="H671">
        <v>68371.66</v>
      </c>
      <c r="I671" t="s">
        <v>163</v>
      </c>
      <c r="J671">
        <v>-2822700933</v>
      </c>
      <c r="K671" t="s">
        <v>41</v>
      </c>
      <c r="L671" t="b">
        <v>0</v>
      </c>
    </row>
    <row r="672" spans="1:12" x14ac:dyDescent="0.35">
      <c r="A672" t="s">
        <v>1154</v>
      </c>
      <c r="B672" t="s">
        <v>69</v>
      </c>
      <c r="C672" t="s">
        <v>122</v>
      </c>
      <c r="D672">
        <v>35</v>
      </c>
      <c r="E672" t="s">
        <v>196</v>
      </c>
      <c r="F672" t="s">
        <v>28</v>
      </c>
      <c r="G672" s="1">
        <v>44294</v>
      </c>
      <c r="H672">
        <v>81021.23</v>
      </c>
      <c r="I672" t="s">
        <v>135</v>
      </c>
      <c r="J672">
        <v>-5962622821</v>
      </c>
      <c r="K672" t="s">
        <v>30</v>
      </c>
      <c r="L672" t="b">
        <v>0</v>
      </c>
    </row>
    <row r="673" spans="1:12" x14ac:dyDescent="0.35">
      <c r="A673" t="s">
        <v>1155</v>
      </c>
      <c r="B673" t="s">
        <v>54</v>
      </c>
      <c r="C673" t="s">
        <v>92</v>
      </c>
      <c r="D673">
        <v>25</v>
      </c>
      <c r="E673" t="s">
        <v>85</v>
      </c>
      <c r="F673" t="s">
        <v>33</v>
      </c>
      <c r="G673" t="s">
        <v>1156</v>
      </c>
      <c r="H673">
        <v>114069.07</v>
      </c>
      <c r="I673" t="s">
        <v>502</v>
      </c>
      <c r="J673">
        <v>-5120734653</v>
      </c>
      <c r="K673" t="s">
        <v>30</v>
      </c>
      <c r="L673" t="b">
        <v>1</v>
      </c>
    </row>
    <row r="674" spans="1:12" x14ac:dyDescent="0.35">
      <c r="A674" t="s">
        <v>1157</v>
      </c>
      <c r="B674" t="s">
        <v>65</v>
      </c>
      <c r="C674" t="s">
        <v>92</v>
      </c>
      <c r="E674" t="s">
        <v>192</v>
      </c>
      <c r="F674" t="s">
        <v>33</v>
      </c>
      <c r="G674" s="1">
        <v>43900</v>
      </c>
      <c r="H674">
        <v>117867.96</v>
      </c>
      <c r="I674" t="s">
        <v>130</v>
      </c>
      <c r="J674">
        <v>-9500507025</v>
      </c>
      <c r="K674" t="s">
        <v>41</v>
      </c>
      <c r="L674" t="b">
        <v>0</v>
      </c>
    </row>
    <row r="675" spans="1:12" x14ac:dyDescent="0.35">
      <c r="A675" t="s">
        <v>1158</v>
      </c>
      <c r="B675" t="s">
        <v>54</v>
      </c>
      <c r="C675" t="s">
        <v>92</v>
      </c>
      <c r="E675" t="s">
        <v>74</v>
      </c>
      <c r="F675" t="s">
        <v>28</v>
      </c>
      <c r="G675" t="s">
        <v>1113</v>
      </c>
      <c r="H675">
        <v>94509.58</v>
      </c>
      <c r="I675" t="s">
        <v>502</v>
      </c>
      <c r="J675">
        <v>-869822104</v>
      </c>
      <c r="K675" t="s">
        <v>18</v>
      </c>
      <c r="L675" t="b">
        <v>0</v>
      </c>
    </row>
    <row r="676" spans="1:12" x14ac:dyDescent="0.35">
      <c r="A676" t="s">
        <v>1159</v>
      </c>
      <c r="B676" t="s">
        <v>32</v>
      </c>
      <c r="C676" t="s">
        <v>20</v>
      </c>
      <c r="D676">
        <v>35</v>
      </c>
      <c r="E676" t="s">
        <v>265</v>
      </c>
      <c r="F676" t="s">
        <v>16</v>
      </c>
      <c r="G676" s="1">
        <v>45450</v>
      </c>
      <c r="H676">
        <v>56268.78</v>
      </c>
      <c r="I676" t="s">
        <v>155</v>
      </c>
      <c r="J676">
        <v>-3161177686</v>
      </c>
      <c r="K676" t="s">
        <v>23</v>
      </c>
      <c r="L676" t="b">
        <v>0</v>
      </c>
    </row>
    <row r="677" spans="1:12" x14ac:dyDescent="0.35">
      <c r="A677" t="s">
        <v>1160</v>
      </c>
      <c r="B677" t="s">
        <v>69</v>
      </c>
      <c r="C677" t="s">
        <v>26</v>
      </c>
      <c r="D677">
        <v>35</v>
      </c>
      <c r="E677" t="s">
        <v>118</v>
      </c>
      <c r="F677" t="s">
        <v>16</v>
      </c>
      <c r="G677" s="1">
        <v>43831</v>
      </c>
      <c r="H677">
        <v>86632.14</v>
      </c>
      <c r="I677" t="s">
        <v>76</v>
      </c>
      <c r="J677">
        <v>-2904774257</v>
      </c>
      <c r="K677" t="s">
        <v>41</v>
      </c>
      <c r="L677" t="b">
        <v>1</v>
      </c>
    </row>
    <row r="678" spans="1:12" x14ac:dyDescent="0.35">
      <c r="A678" t="s">
        <v>1161</v>
      </c>
      <c r="B678" t="s">
        <v>54</v>
      </c>
      <c r="C678" t="s">
        <v>20</v>
      </c>
      <c r="D678">
        <v>35</v>
      </c>
      <c r="E678" t="s">
        <v>212</v>
      </c>
      <c r="F678" t="s">
        <v>28</v>
      </c>
      <c r="G678" t="s">
        <v>752</v>
      </c>
      <c r="H678">
        <v>98143.9</v>
      </c>
      <c r="I678" t="s">
        <v>125</v>
      </c>
      <c r="J678">
        <v>-5917793237</v>
      </c>
      <c r="K678" t="s">
        <v>23</v>
      </c>
      <c r="L678" t="b">
        <v>0</v>
      </c>
    </row>
    <row r="679" spans="1:12" x14ac:dyDescent="0.35">
      <c r="A679" t="s">
        <v>1162</v>
      </c>
      <c r="B679" t="s">
        <v>65</v>
      </c>
      <c r="C679" t="s">
        <v>43</v>
      </c>
      <c r="D679">
        <v>35</v>
      </c>
      <c r="E679" t="s">
        <v>39</v>
      </c>
      <c r="F679" t="s">
        <v>33</v>
      </c>
      <c r="G679" s="1">
        <v>45112</v>
      </c>
      <c r="H679" t="s">
        <v>277</v>
      </c>
      <c r="I679" t="s">
        <v>257</v>
      </c>
      <c r="J679">
        <v>-2231164912</v>
      </c>
      <c r="K679" t="s">
        <v>18</v>
      </c>
      <c r="L679" t="b">
        <v>1</v>
      </c>
    </row>
    <row r="680" spans="1:12" x14ac:dyDescent="0.35">
      <c r="A680" t="s">
        <v>1163</v>
      </c>
      <c r="B680" t="s">
        <v>37</v>
      </c>
      <c r="C680" t="s">
        <v>55</v>
      </c>
      <c r="D680">
        <v>30</v>
      </c>
      <c r="E680" t="s">
        <v>265</v>
      </c>
      <c r="F680" t="s">
        <v>33</v>
      </c>
      <c r="G680" t="s">
        <v>1164</v>
      </c>
      <c r="H680">
        <v>67492.73</v>
      </c>
      <c r="I680" t="s">
        <v>271</v>
      </c>
      <c r="J680">
        <v>-3424579888</v>
      </c>
      <c r="K680" t="s">
        <v>23</v>
      </c>
      <c r="L680" t="b">
        <v>1</v>
      </c>
    </row>
    <row r="681" spans="1:12" x14ac:dyDescent="0.35">
      <c r="A681" t="s">
        <v>1165</v>
      </c>
      <c r="B681" t="s">
        <v>69</v>
      </c>
      <c r="C681" t="s">
        <v>55</v>
      </c>
      <c r="D681">
        <v>40</v>
      </c>
      <c r="E681" t="s">
        <v>118</v>
      </c>
      <c r="F681" t="s">
        <v>16</v>
      </c>
      <c r="G681" t="s">
        <v>1166</v>
      </c>
      <c r="H681">
        <v>93772.61</v>
      </c>
      <c r="I681" t="s">
        <v>127</v>
      </c>
      <c r="J681">
        <v>-4256529059</v>
      </c>
      <c r="K681" t="s">
        <v>41</v>
      </c>
      <c r="L681" t="b">
        <v>0</v>
      </c>
    </row>
    <row r="682" spans="1:12" x14ac:dyDescent="0.35">
      <c r="A682" t="s">
        <v>1167</v>
      </c>
      <c r="B682" t="s">
        <v>32</v>
      </c>
      <c r="C682" t="s">
        <v>43</v>
      </c>
      <c r="D682">
        <v>35</v>
      </c>
      <c r="E682" t="s">
        <v>329</v>
      </c>
      <c r="F682" t="s">
        <v>28</v>
      </c>
      <c r="G682" t="s">
        <v>1168</v>
      </c>
      <c r="H682">
        <v>68817.539999999994</v>
      </c>
      <c r="I682" t="s">
        <v>297</v>
      </c>
      <c r="J682">
        <v>-3202032649</v>
      </c>
      <c r="K682" t="s">
        <v>23</v>
      </c>
      <c r="L682" t="b">
        <v>0</v>
      </c>
    </row>
    <row r="683" spans="1:12" x14ac:dyDescent="0.35">
      <c r="A683" t="s">
        <v>1169</v>
      </c>
      <c r="B683" t="s">
        <v>13</v>
      </c>
      <c r="C683" t="s">
        <v>26</v>
      </c>
      <c r="D683">
        <v>30</v>
      </c>
      <c r="E683" t="s">
        <v>118</v>
      </c>
      <c r="F683" t="s">
        <v>16</v>
      </c>
      <c r="G683" t="s">
        <v>1170</v>
      </c>
      <c r="H683">
        <v>81874.009999999995</v>
      </c>
      <c r="I683" t="s">
        <v>50</v>
      </c>
      <c r="J683">
        <v>-9775396736</v>
      </c>
      <c r="K683" t="s">
        <v>30</v>
      </c>
      <c r="L683" t="b">
        <v>1</v>
      </c>
    </row>
    <row r="684" spans="1:12" x14ac:dyDescent="0.35">
      <c r="A684" t="s">
        <v>1171</v>
      </c>
      <c r="B684" t="s">
        <v>65</v>
      </c>
      <c r="C684" t="s">
        <v>14</v>
      </c>
      <c r="D684">
        <v>30</v>
      </c>
      <c r="E684" t="s">
        <v>139</v>
      </c>
      <c r="F684" t="s">
        <v>16</v>
      </c>
      <c r="G684" s="1">
        <v>44139</v>
      </c>
      <c r="H684">
        <v>117880.14</v>
      </c>
      <c r="I684" t="s">
        <v>395</v>
      </c>
      <c r="J684">
        <v>-9487148551</v>
      </c>
      <c r="K684" t="s">
        <v>18</v>
      </c>
      <c r="L684" t="b">
        <v>0</v>
      </c>
    </row>
    <row r="685" spans="1:12" x14ac:dyDescent="0.35">
      <c r="A685" t="s">
        <v>1172</v>
      </c>
      <c r="B685" t="s">
        <v>13</v>
      </c>
      <c r="C685" t="s">
        <v>20</v>
      </c>
      <c r="D685">
        <v>35</v>
      </c>
      <c r="E685" t="s">
        <v>66</v>
      </c>
      <c r="F685" t="s">
        <v>28</v>
      </c>
      <c r="G685" t="s">
        <v>147</v>
      </c>
      <c r="H685">
        <v>100897.49</v>
      </c>
      <c r="I685" t="s">
        <v>22</v>
      </c>
      <c r="J685">
        <v>-4578715840</v>
      </c>
      <c r="K685" t="s">
        <v>18</v>
      </c>
      <c r="L685" t="b">
        <v>1</v>
      </c>
    </row>
    <row r="686" spans="1:12" x14ac:dyDescent="0.35">
      <c r="A686" t="s">
        <v>1173</v>
      </c>
      <c r="B686" t="s">
        <v>54</v>
      </c>
      <c r="C686" t="s">
        <v>122</v>
      </c>
      <c r="D686">
        <v>25</v>
      </c>
      <c r="E686" t="s">
        <v>227</v>
      </c>
      <c r="F686" t="s">
        <v>33</v>
      </c>
      <c r="G686" s="1">
        <v>44839</v>
      </c>
      <c r="H686">
        <v>71810.37</v>
      </c>
      <c r="I686" t="s">
        <v>194</v>
      </c>
      <c r="J686">
        <v>-5608213710</v>
      </c>
      <c r="K686" t="s">
        <v>18</v>
      </c>
      <c r="L686" t="b">
        <v>1</v>
      </c>
    </row>
    <row r="687" spans="1:12" x14ac:dyDescent="0.35">
      <c r="A687" t="s">
        <v>1174</v>
      </c>
      <c r="B687" t="s">
        <v>37</v>
      </c>
      <c r="C687" t="s">
        <v>92</v>
      </c>
      <c r="D687">
        <v>40</v>
      </c>
      <c r="E687" t="s">
        <v>237</v>
      </c>
      <c r="F687" t="s">
        <v>33</v>
      </c>
      <c r="G687" t="s">
        <v>1175</v>
      </c>
      <c r="H687">
        <v>109048.24</v>
      </c>
      <c r="I687" t="s">
        <v>110</v>
      </c>
      <c r="J687">
        <v>-8425476817</v>
      </c>
      <c r="K687" t="s">
        <v>41</v>
      </c>
      <c r="L687" t="b">
        <v>0</v>
      </c>
    </row>
    <row r="688" spans="1:12" x14ac:dyDescent="0.35">
      <c r="A688" t="s">
        <v>1176</v>
      </c>
      <c r="B688" t="s">
        <v>25</v>
      </c>
      <c r="C688" t="s">
        <v>92</v>
      </c>
      <c r="D688">
        <v>35</v>
      </c>
      <c r="E688" t="s">
        <v>21</v>
      </c>
      <c r="F688" t="s">
        <v>28</v>
      </c>
      <c r="G688" t="s">
        <v>1177</v>
      </c>
      <c r="H688">
        <v>62712.26</v>
      </c>
      <c r="I688" t="s">
        <v>166</v>
      </c>
      <c r="J688">
        <v>-2683230357</v>
      </c>
      <c r="K688" t="s">
        <v>18</v>
      </c>
      <c r="L688" t="b">
        <v>0</v>
      </c>
    </row>
    <row r="689" spans="1:12" x14ac:dyDescent="0.35">
      <c r="A689" t="s">
        <v>1178</v>
      </c>
      <c r="B689" t="s">
        <v>32</v>
      </c>
      <c r="C689" t="s">
        <v>26</v>
      </c>
      <c r="D689">
        <v>40</v>
      </c>
      <c r="E689" t="s">
        <v>159</v>
      </c>
      <c r="F689" t="s">
        <v>28</v>
      </c>
      <c r="G689" t="s">
        <v>116</v>
      </c>
      <c r="H689">
        <v>76935.850000000006</v>
      </c>
      <c r="I689" t="s">
        <v>278</v>
      </c>
      <c r="J689">
        <v>-9298808582</v>
      </c>
      <c r="K689" t="s">
        <v>30</v>
      </c>
      <c r="L689" t="b">
        <v>1</v>
      </c>
    </row>
    <row r="690" spans="1:12" x14ac:dyDescent="0.35">
      <c r="A690" t="s">
        <v>1179</v>
      </c>
      <c r="B690" t="s">
        <v>59</v>
      </c>
      <c r="C690" t="s">
        <v>14</v>
      </c>
      <c r="D690">
        <v>25</v>
      </c>
      <c r="E690" t="s">
        <v>205</v>
      </c>
      <c r="F690" t="s">
        <v>28</v>
      </c>
      <c r="G690" t="s">
        <v>1180</v>
      </c>
      <c r="H690">
        <v>56577.22</v>
      </c>
      <c r="I690" t="s">
        <v>63</v>
      </c>
      <c r="J690">
        <v>-8252129327</v>
      </c>
      <c r="K690" t="s">
        <v>41</v>
      </c>
      <c r="L690" t="b">
        <v>1</v>
      </c>
    </row>
    <row r="691" spans="1:12" x14ac:dyDescent="0.35">
      <c r="A691" t="s">
        <v>1181</v>
      </c>
      <c r="B691" t="s">
        <v>59</v>
      </c>
      <c r="C691" t="s">
        <v>55</v>
      </c>
      <c r="D691">
        <v>40</v>
      </c>
      <c r="E691" t="s">
        <v>100</v>
      </c>
      <c r="F691" t="s">
        <v>33</v>
      </c>
      <c r="G691" t="s">
        <v>1182</v>
      </c>
      <c r="H691">
        <v>61102.8</v>
      </c>
      <c r="I691" t="s">
        <v>217</v>
      </c>
      <c r="J691">
        <v>-9634064685</v>
      </c>
      <c r="K691" t="s">
        <v>30</v>
      </c>
      <c r="L691" t="b">
        <v>1</v>
      </c>
    </row>
    <row r="692" spans="1:12" x14ac:dyDescent="0.35">
      <c r="A692" t="s">
        <v>1183</v>
      </c>
      <c r="B692" t="s">
        <v>13</v>
      </c>
      <c r="C692" t="s">
        <v>55</v>
      </c>
      <c r="D692">
        <v>35</v>
      </c>
      <c r="E692" t="s">
        <v>100</v>
      </c>
      <c r="F692" t="s">
        <v>33</v>
      </c>
      <c r="G692" s="1">
        <v>44471</v>
      </c>
      <c r="H692">
        <v>75229.87</v>
      </c>
      <c r="I692" t="s">
        <v>199</v>
      </c>
      <c r="J692">
        <v>-7752401483</v>
      </c>
      <c r="K692" t="s">
        <v>23</v>
      </c>
      <c r="L692" t="b">
        <v>1</v>
      </c>
    </row>
    <row r="693" spans="1:12" x14ac:dyDescent="0.35">
      <c r="A693" t="s">
        <v>1184</v>
      </c>
      <c r="B693" t="s">
        <v>59</v>
      </c>
      <c r="C693" t="s">
        <v>92</v>
      </c>
      <c r="D693">
        <v>25</v>
      </c>
      <c r="E693" t="s">
        <v>27</v>
      </c>
      <c r="F693" t="s">
        <v>33</v>
      </c>
      <c r="G693" t="s">
        <v>1185</v>
      </c>
      <c r="H693">
        <v>51054.74</v>
      </c>
      <c r="I693" t="s">
        <v>107</v>
      </c>
      <c r="J693">
        <v>-3991062271</v>
      </c>
      <c r="K693" t="s">
        <v>23</v>
      </c>
      <c r="L693" t="b">
        <v>0</v>
      </c>
    </row>
    <row r="694" spans="1:12" x14ac:dyDescent="0.35">
      <c r="A694" t="s">
        <v>1186</v>
      </c>
      <c r="B694" t="s">
        <v>13</v>
      </c>
      <c r="C694" t="s">
        <v>26</v>
      </c>
      <c r="D694">
        <v>40</v>
      </c>
      <c r="E694" t="s">
        <v>103</v>
      </c>
      <c r="F694" t="s">
        <v>16</v>
      </c>
      <c r="G694" s="1">
        <v>45050</v>
      </c>
      <c r="H694">
        <v>104843.27</v>
      </c>
      <c r="I694" t="s">
        <v>50</v>
      </c>
      <c r="J694">
        <v>-3626693350</v>
      </c>
      <c r="K694" t="s">
        <v>23</v>
      </c>
      <c r="L694" t="b">
        <v>0</v>
      </c>
    </row>
    <row r="695" spans="1:12" x14ac:dyDescent="0.35">
      <c r="A695" t="s">
        <v>1187</v>
      </c>
      <c r="B695" t="s">
        <v>54</v>
      </c>
      <c r="C695" t="s">
        <v>20</v>
      </c>
      <c r="D695">
        <v>35</v>
      </c>
      <c r="E695" t="s">
        <v>60</v>
      </c>
      <c r="F695" t="s">
        <v>16</v>
      </c>
      <c r="G695" t="s">
        <v>1188</v>
      </c>
      <c r="H695">
        <v>56398.11</v>
      </c>
      <c r="I695" t="s">
        <v>125</v>
      </c>
      <c r="J695">
        <v>-3426192371</v>
      </c>
      <c r="K695" t="s">
        <v>23</v>
      </c>
      <c r="L695" t="b">
        <v>0</v>
      </c>
    </row>
    <row r="696" spans="1:12" x14ac:dyDescent="0.35">
      <c r="A696" t="s">
        <v>1189</v>
      </c>
      <c r="B696" t="s">
        <v>25</v>
      </c>
      <c r="C696" t="s">
        <v>55</v>
      </c>
      <c r="D696">
        <v>25</v>
      </c>
      <c r="E696" t="s">
        <v>149</v>
      </c>
      <c r="F696" t="s">
        <v>16</v>
      </c>
      <c r="G696" s="1">
        <v>45119</v>
      </c>
      <c r="H696">
        <v>87544.73</v>
      </c>
      <c r="I696" t="s">
        <v>150</v>
      </c>
      <c r="J696">
        <v>-4501848196</v>
      </c>
      <c r="K696" t="s">
        <v>30</v>
      </c>
      <c r="L696" t="b">
        <v>0</v>
      </c>
    </row>
    <row r="697" spans="1:12" x14ac:dyDescent="0.35">
      <c r="A697" t="s">
        <v>1190</v>
      </c>
      <c r="B697" t="s">
        <v>65</v>
      </c>
      <c r="C697" t="s">
        <v>20</v>
      </c>
      <c r="D697">
        <v>30</v>
      </c>
      <c r="E697" t="s">
        <v>192</v>
      </c>
      <c r="F697" t="s">
        <v>28</v>
      </c>
      <c r="G697" t="s">
        <v>312</v>
      </c>
      <c r="H697">
        <v>74312.240000000005</v>
      </c>
      <c r="I697" t="s">
        <v>404</v>
      </c>
      <c r="J697">
        <v>-3741897214</v>
      </c>
      <c r="K697" t="s">
        <v>41</v>
      </c>
      <c r="L697" t="b">
        <v>0</v>
      </c>
    </row>
    <row r="698" spans="1:12" x14ac:dyDescent="0.35">
      <c r="A698" t="s">
        <v>1191</v>
      </c>
      <c r="B698" t="s">
        <v>59</v>
      </c>
      <c r="C698" t="s">
        <v>14</v>
      </c>
      <c r="D698">
        <v>25</v>
      </c>
      <c r="E698" t="s">
        <v>230</v>
      </c>
      <c r="F698" t="s">
        <v>33</v>
      </c>
      <c r="G698" t="s">
        <v>1192</v>
      </c>
      <c r="H698">
        <v>59431.25</v>
      </c>
      <c r="I698" t="s">
        <v>63</v>
      </c>
      <c r="J698">
        <v>-4064176926</v>
      </c>
      <c r="K698" t="s">
        <v>41</v>
      </c>
      <c r="L698" t="b">
        <v>1</v>
      </c>
    </row>
    <row r="699" spans="1:12" x14ac:dyDescent="0.35">
      <c r="A699" t="s">
        <v>1193</v>
      </c>
      <c r="B699" t="s">
        <v>65</v>
      </c>
      <c r="C699" t="s">
        <v>55</v>
      </c>
      <c r="D699">
        <v>40</v>
      </c>
      <c r="E699" t="s">
        <v>177</v>
      </c>
      <c r="F699" t="s">
        <v>28</v>
      </c>
      <c r="G699" t="s">
        <v>1194</v>
      </c>
      <c r="H699">
        <v>84306.44</v>
      </c>
      <c r="I699" t="s">
        <v>113</v>
      </c>
      <c r="J699">
        <v>-4381199536</v>
      </c>
      <c r="K699" t="s">
        <v>18</v>
      </c>
      <c r="L699" t="b">
        <v>0</v>
      </c>
    </row>
    <row r="700" spans="1:12" x14ac:dyDescent="0.35">
      <c r="A700" t="s">
        <v>1195</v>
      </c>
      <c r="B700" t="s">
        <v>37</v>
      </c>
      <c r="C700" t="s">
        <v>55</v>
      </c>
      <c r="D700">
        <v>35</v>
      </c>
      <c r="E700" t="s">
        <v>230</v>
      </c>
      <c r="F700" t="s">
        <v>33</v>
      </c>
      <c r="G700" s="1">
        <v>45607</v>
      </c>
      <c r="H700">
        <v>108194.47</v>
      </c>
      <c r="I700" t="s">
        <v>271</v>
      </c>
      <c r="J700">
        <v>-6601444855</v>
      </c>
      <c r="K700" t="s">
        <v>30</v>
      </c>
      <c r="L700" t="b">
        <v>0</v>
      </c>
    </row>
    <row r="701" spans="1:12" x14ac:dyDescent="0.35">
      <c r="A701" t="s">
        <v>1196</v>
      </c>
      <c r="B701" t="s">
        <v>54</v>
      </c>
      <c r="C701" t="s">
        <v>38</v>
      </c>
      <c r="D701">
        <v>25</v>
      </c>
      <c r="E701" t="s">
        <v>109</v>
      </c>
      <c r="F701" t="s">
        <v>33</v>
      </c>
      <c r="G701" t="s">
        <v>700</v>
      </c>
      <c r="H701">
        <v>107359.3</v>
      </c>
      <c r="I701" t="s">
        <v>90</v>
      </c>
      <c r="J701">
        <v>-4510173972</v>
      </c>
      <c r="K701" t="s">
        <v>23</v>
      </c>
      <c r="L701" t="b">
        <v>0</v>
      </c>
    </row>
    <row r="702" spans="1:12" x14ac:dyDescent="0.35">
      <c r="A702" t="s">
        <v>1197</v>
      </c>
      <c r="B702" t="s">
        <v>65</v>
      </c>
      <c r="C702" t="s">
        <v>55</v>
      </c>
      <c r="D702">
        <v>25</v>
      </c>
      <c r="E702" t="s">
        <v>78</v>
      </c>
      <c r="F702" t="s">
        <v>33</v>
      </c>
      <c r="G702" s="1">
        <v>45598</v>
      </c>
      <c r="H702" t="s">
        <v>277</v>
      </c>
      <c r="I702" t="s">
        <v>113</v>
      </c>
      <c r="J702">
        <v>-9641789968</v>
      </c>
      <c r="K702" t="s">
        <v>30</v>
      </c>
      <c r="L702" t="b">
        <v>0</v>
      </c>
    </row>
    <row r="703" spans="1:12" x14ac:dyDescent="0.35">
      <c r="A703" t="s">
        <v>1198</v>
      </c>
      <c r="B703" t="s">
        <v>37</v>
      </c>
      <c r="C703" t="s">
        <v>43</v>
      </c>
      <c r="E703" t="s">
        <v>118</v>
      </c>
      <c r="F703" t="s">
        <v>28</v>
      </c>
      <c r="G703" s="1">
        <v>44079</v>
      </c>
      <c r="H703">
        <v>96080.26</v>
      </c>
      <c r="I703" t="s">
        <v>180</v>
      </c>
      <c r="J703">
        <v>-8609191910</v>
      </c>
      <c r="K703" t="s">
        <v>18</v>
      </c>
      <c r="L703" t="b">
        <v>0</v>
      </c>
    </row>
    <row r="704" spans="1:12" x14ac:dyDescent="0.35">
      <c r="A704" t="s">
        <v>1199</v>
      </c>
      <c r="B704" t="s">
        <v>69</v>
      </c>
      <c r="C704" t="s">
        <v>122</v>
      </c>
      <c r="D704">
        <v>30</v>
      </c>
      <c r="E704" t="s">
        <v>219</v>
      </c>
      <c r="F704" t="s">
        <v>33</v>
      </c>
      <c r="G704" t="s">
        <v>616</v>
      </c>
      <c r="H704">
        <v>88602.75</v>
      </c>
      <c r="I704" t="s">
        <v>135</v>
      </c>
      <c r="J704">
        <v>-3599660576</v>
      </c>
      <c r="K704" t="s">
        <v>18</v>
      </c>
      <c r="L704" t="b">
        <v>1</v>
      </c>
    </row>
    <row r="705" spans="1:12" x14ac:dyDescent="0.35">
      <c r="A705" t="s">
        <v>1200</v>
      </c>
      <c r="B705" t="s">
        <v>37</v>
      </c>
      <c r="C705" t="s">
        <v>43</v>
      </c>
      <c r="D705">
        <v>40</v>
      </c>
      <c r="E705" t="s">
        <v>15</v>
      </c>
      <c r="F705" t="s">
        <v>16</v>
      </c>
      <c r="G705" t="s">
        <v>1201</v>
      </c>
      <c r="H705">
        <v>86624.04</v>
      </c>
      <c r="I705" t="s">
        <v>180</v>
      </c>
      <c r="J705">
        <v>-9806603919</v>
      </c>
      <c r="K705" t="s">
        <v>30</v>
      </c>
      <c r="L705" t="b">
        <v>1</v>
      </c>
    </row>
    <row r="706" spans="1:12" x14ac:dyDescent="0.35">
      <c r="A706" t="s">
        <v>1202</v>
      </c>
      <c r="B706" t="s">
        <v>54</v>
      </c>
      <c r="C706" t="s">
        <v>26</v>
      </c>
      <c r="D706">
        <v>30</v>
      </c>
      <c r="E706" t="s">
        <v>60</v>
      </c>
      <c r="F706" t="s">
        <v>16</v>
      </c>
      <c r="G706" t="s">
        <v>224</v>
      </c>
      <c r="H706">
        <v>63413.16</v>
      </c>
      <c r="I706" t="s">
        <v>120</v>
      </c>
      <c r="J706">
        <v>-5146074554</v>
      </c>
      <c r="K706" t="s">
        <v>30</v>
      </c>
      <c r="L706" t="b">
        <v>1</v>
      </c>
    </row>
    <row r="707" spans="1:12" x14ac:dyDescent="0.35">
      <c r="A707" t="s">
        <v>1203</v>
      </c>
      <c r="B707" t="s">
        <v>69</v>
      </c>
      <c r="C707" t="s">
        <v>26</v>
      </c>
      <c r="D707">
        <v>40</v>
      </c>
      <c r="E707" t="s">
        <v>98</v>
      </c>
      <c r="F707" t="s">
        <v>28</v>
      </c>
      <c r="G707" t="s">
        <v>1204</v>
      </c>
      <c r="H707">
        <v>67915.7</v>
      </c>
      <c r="I707" t="s">
        <v>76</v>
      </c>
      <c r="J707">
        <v>-3470574237</v>
      </c>
      <c r="K707" t="s">
        <v>30</v>
      </c>
      <c r="L707" t="b">
        <v>0</v>
      </c>
    </row>
    <row r="708" spans="1:12" x14ac:dyDescent="0.35">
      <c r="A708" t="s">
        <v>1205</v>
      </c>
      <c r="B708" t="s">
        <v>13</v>
      </c>
      <c r="C708" t="s">
        <v>20</v>
      </c>
      <c r="D708">
        <v>25</v>
      </c>
      <c r="E708" t="s">
        <v>27</v>
      </c>
      <c r="F708" t="s">
        <v>33</v>
      </c>
      <c r="G708" t="s">
        <v>1206</v>
      </c>
      <c r="H708">
        <v>108245.44</v>
      </c>
      <c r="I708" t="s">
        <v>22</v>
      </c>
      <c r="J708">
        <v>-8565271558</v>
      </c>
      <c r="K708" t="s">
        <v>41</v>
      </c>
      <c r="L708" t="b">
        <v>1</v>
      </c>
    </row>
    <row r="709" spans="1:12" x14ac:dyDescent="0.35">
      <c r="A709" t="s">
        <v>1207</v>
      </c>
      <c r="B709" t="s">
        <v>25</v>
      </c>
      <c r="C709" t="s">
        <v>43</v>
      </c>
      <c r="D709">
        <v>35</v>
      </c>
      <c r="E709" t="s">
        <v>219</v>
      </c>
      <c r="F709" t="s">
        <v>33</v>
      </c>
      <c r="G709" s="1">
        <v>45573</v>
      </c>
      <c r="H709">
        <v>75834.81</v>
      </c>
      <c r="I709" t="s">
        <v>45</v>
      </c>
      <c r="J709">
        <v>-8354116596</v>
      </c>
      <c r="K709" t="s">
        <v>23</v>
      </c>
      <c r="L709" t="b">
        <v>1</v>
      </c>
    </row>
    <row r="710" spans="1:12" x14ac:dyDescent="0.35">
      <c r="A710" t="s">
        <v>1208</v>
      </c>
      <c r="B710" t="s">
        <v>32</v>
      </c>
      <c r="C710" t="s">
        <v>43</v>
      </c>
      <c r="E710" t="s">
        <v>85</v>
      </c>
      <c r="F710" t="s">
        <v>16</v>
      </c>
      <c r="G710" s="1">
        <v>45391</v>
      </c>
      <c r="H710">
        <v>71273.320000000007</v>
      </c>
      <c r="I710" t="s">
        <v>297</v>
      </c>
      <c r="J710">
        <v>-2634755751</v>
      </c>
      <c r="K710" t="s">
        <v>30</v>
      </c>
      <c r="L710" t="b">
        <v>0</v>
      </c>
    </row>
    <row r="711" spans="1:12" x14ac:dyDescent="0.35">
      <c r="A711" t="s">
        <v>1209</v>
      </c>
      <c r="B711" t="s">
        <v>13</v>
      </c>
      <c r="C711" t="s">
        <v>43</v>
      </c>
      <c r="D711">
        <v>25</v>
      </c>
      <c r="E711" t="s">
        <v>56</v>
      </c>
      <c r="F711" t="s">
        <v>28</v>
      </c>
      <c r="G711" t="s">
        <v>1210</v>
      </c>
      <c r="H711">
        <v>63262.23</v>
      </c>
      <c r="I711" t="s">
        <v>153</v>
      </c>
      <c r="J711">
        <v>-2501394883</v>
      </c>
      <c r="K711" t="s">
        <v>30</v>
      </c>
      <c r="L711" t="b">
        <v>0</v>
      </c>
    </row>
    <row r="712" spans="1:12" x14ac:dyDescent="0.35">
      <c r="A712" t="s">
        <v>1211</v>
      </c>
      <c r="B712" t="s">
        <v>59</v>
      </c>
      <c r="C712" t="s">
        <v>14</v>
      </c>
      <c r="E712" t="s">
        <v>56</v>
      </c>
      <c r="F712" t="s">
        <v>28</v>
      </c>
      <c r="G712" t="s">
        <v>234</v>
      </c>
      <c r="H712">
        <v>89069.91</v>
      </c>
      <c r="I712" t="s">
        <v>63</v>
      </c>
      <c r="J712">
        <v>-8826913118</v>
      </c>
      <c r="K712" t="s">
        <v>30</v>
      </c>
      <c r="L712" t="b">
        <v>0</v>
      </c>
    </row>
    <row r="713" spans="1:12" x14ac:dyDescent="0.35">
      <c r="A713" t="s">
        <v>1212</v>
      </c>
      <c r="B713" t="s">
        <v>37</v>
      </c>
      <c r="C713" t="s">
        <v>55</v>
      </c>
      <c r="D713">
        <v>40</v>
      </c>
      <c r="E713" t="s">
        <v>329</v>
      </c>
      <c r="F713" t="s">
        <v>33</v>
      </c>
      <c r="G713" t="s">
        <v>160</v>
      </c>
      <c r="H713">
        <v>57287.17</v>
      </c>
      <c r="I713" t="s">
        <v>271</v>
      </c>
      <c r="J713">
        <v>-6425856260</v>
      </c>
      <c r="K713" t="s">
        <v>18</v>
      </c>
      <c r="L713" t="b">
        <v>1</v>
      </c>
    </row>
    <row r="714" spans="1:12" x14ac:dyDescent="0.35">
      <c r="A714" t="s">
        <v>1213</v>
      </c>
      <c r="B714" t="s">
        <v>69</v>
      </c>
      <c r="C714" t="s">
        <v>122</v>
      </c>
      <c r="E714" t="s">
        <v>149</v>
      </c>
      <c r="F714" t="s">
        <v>16</v>
      </c>
      <c r="G714" t="s">
        <v>228</v>
      </c>
      <c r="H714">
        <v>119890.35</v>
      </c>
      <c r="I714" t="s">
        <v>135</v>
      </c>
      <c r="J714">
        <v>-4991537037</v>
      </c>
      <c r="K714" t="s">
        <v>18</v>
      </c>
      <c r="L714" t="b">
        <v>1</v>
      </c>
    </row>
    <row r="715" spans="1:12" x14ac:dyDescent="0.35">
      <c r="A715" t="s">
        <v>1214</v>
      </c>
      <c r="B715" t="s">
        <v>37</v>
      </c>
      <c r="C715" t="s">
        <v>20</v>
      </c>
      <c r="D715">
        <v>35</v>
      </c>
      <c r="E715" t="s">
        <v>177</v>
      </c>
      <c r="F715" t="s">
        <v>33</v>
      </c>
      <c r="G715" t="s">
        <v>1215</v>
      </c>
      <c r="H715">
        <v>103492.91</v>
      </c>
      <c r="I715" t="s">
        <v>239</v>
      </c>
      <c r="J715">
        <v>-2407333372</v>
      </c>
      <c r="K715" t="s">
        <v>41</v>
      </c>
      <c r="L715" t="b">
        <v>0</v>
      </c>
    </row>
    <row r="716" spans="1:12" x14ac:dyDescent="0.35">
      <c r="A716" t="s">
        <v>1216</v>
      </c>
      <c r="B716" t="s">
        <v>37</v>
      </c>
      <c r="C716" t="s">
        <v>43</v>
      </c>
      <c r="E716" t="s">
        <v>89</v>
      </c>
      <c r="F716" t="s">
        <v>28</v>
      </c>
      <c r="G716" t="s">
        <v>1217</v>
      </c>
      <c r="H716">
        <v>76254.42</v>
      </c>
      <c r="I716" t="s">
        <v>180</v>
      </c>
      <c r="J716">
        <v>-2043097767</v>
      </c>
      <c r="K716" t="s">
        <v>23</v>
      </c>
      <c r="L716" t="b">
        <v>0</v>
      </c>
    </row>
    <row r="717" spans="1:12" x14ac:dyDescent="0.35">
      <c r="A717" t="s">
        <v>1218</v>
      </c>
      <c r="B717" t="s">
        <v>32</v>
      </c>
      <c r="C717" t="s">
        <v>43</v>
      </c>
      <c r="D717">
        <v>35</v>
      </c>
      <c r="E717" t="s">
        <v>112</v>
      </c>
      <c r="F717" t="s">
        <v>33</v>
      </c>
      <c r="G717" s="1">
        <v>43831</v>
      </c>
      <c r="H717">
        <v>100841.93</v>
      </c>
      <c r="I717" t="s">
        <v>297</v>
      </c>
      <c r="J717">
        <v>-8936289695</v>
      </c>
      <c r="K717" t="s">
        <v>41</v>
      </c>
      <c r="L717" t="b">
        <v>1</v>
      </c>
    </row>
    <row r="718" spans="1:12" x14ac:dyDescent="0.35">
      <c r="A718" t="s">
        <v>1219</v>
      </c>
      <c r="B718" t="s">
        <v>25</v>
      </c>
      <c r="C718" t="s">
        <v>38</v>
      </c>
      <c r="E718" t="s">
        <v>118</v>
      </c>
      <c r="F718" t="s">
        <v>16</v>
      </c>
      <c r="G718" s="1">
        <v>44386</v>
      </c>
      <c r="H718">
        <v>118907.61</v>
      </c>
      <c r="I718" t="s">
        <v>363</v>
      </c>
      <c r="J718">
        <v>-4546553584</v>
      </c>
      <c r="K718" t="s">
        <v>23</v>
      </c>
      <c r="L718" t="b">
        <v>1</v>
      </c>
    </row>
    <row r="719" spans="1:12" x14ac:dyDescent="0.35">
      <c r="A719" t="s">
        <v>1220</v>
      </c>
      <c r="B719" t="s">
        <v>37</v>
      </c>
      <c r="C719" t="s">
        <v>20</v>
      </c>
      <c r="D719">
        <v>25</v>
      </c>
      <c r="E719" t="s">
        <v>15</v>
      </c>
      <c r="F719" t="s">
        <v>28</v>
      </c>
      <c r="G719" t="s">
        <v>1221</v>
      </c>
      <c r="H719">
        <v>88942.62</v>
      </c>
      <c r="I719" t="s">
        <v>239</v>
      </c>
      <c r="J719">
        <v>-1253892186</v>
      </c>
      <c r="K719" t="s">
        <v>18</v>
      </c>
      <c r="L719" t="b">
        <v>0</v>
      </c>
    </row>
    <row r="720" spans="1:12" x14ac:dyDescent="0.35">
      <c r="A720" t="s">
        <v>1222</v>
      </c>
      <c r="B720" t="s">
        <v>54</v>
      </c>
      <c r="C720" t="s">
        <v>43</v>
      </c>
      <c r="D720">
        <v>25</v>
      </c>
      <c r="E720" t="s">
        <v>39</v>
      </c>
      <c r="F720" t="s">
        <v>33</v>
      </c>
      <c r="G720" t="s">
        <v>1119</v>
      </c>
      <c r="H720">
        <v>59688.57</v>
      </c>
      <c r="I720" t="s">
        <v>87</v>
      </c>
      <c r="J720">
        <v>-8519358373</v>
      </c>
      <c r="K720" t="s">
        <v>18</v>
      </c>
      <c r="L720" t="b">
        <v>0</v>
      </c>
    </row>
    <row r="721" spans="1:12" x14ac:dyDescent="0.35">
      <c r="A721" t="s">
        <v>1223</v>
      </c>
      <c r="B721" t="s">
        <v>59</v>
      </c>
      <c r="C721" t="s">
        <v>20</v>
      </c>
      <c r="D721">
        <v>30</v>
      </c>
      <c r="E721" t="s">
        <v>146</v>
      </c>
      <c r="F721" t="s">
        <v>16</v>
      </c>
      <c r="G721" t="s">
        <v>1224</v>
      </c>
      <c r="H721">
        <v>77985.88</v>
      </c>
      <c r="I721" t="s">
        <v>225</v>
      </c>
      <c r="J721">
        <v>-9079779611</v>
      </c>
      <c r="K721" t="s">
        <v>18</v>
      </c>
      <c r="L721" t="b">
        <v>1</v>
      </c>
    </row>
    <row r="722" spans="1:12" x14ac:dyDescent="0.35">
      <c r="A722" t="s">
        <v>1225</v>
      </c>
      <c r="B722" t="s">
        <v>13</v>
      </c>
      <c r="C722" t="s">
        <v>55</v>
      </c>
      <c r="D722">
        <v>35</v>
      </c>
      <c r="E722" t="s">
        <v>227</v>
      </c>
      <c r="F722" t="s">
        <v>33</v>
      </c>
      <c r="G722" t="s">
        <v>1226</v>
      </c>
      <c r="H722">
        <v>112931.69</v>
      </c>
      <c r="I722" t="s">
        <v>199</v>
      </c>
      <c r="J722">
        <v>-878057214</v>
      </c>
      <c r="K722" t="s">
        <v>41</v>
      </c>
      <c r="L722" t="b">
        <v>0</v>
      </c>
    </row>
    <row r="723" spans="1:12" x14ac:dyDescent="0.35">
      <c r="A723" t="s">
        <v>1227</v>
      </c>
      <c r="B723" t="s">
        <v>13</v>
      </c>
      <c r="C723" t="s">
        <v>38</v>
      </c>
      <c r="E723" t="s">
        <v>15</v>
      </c>
      <c r="F723" t="s">
        <v>16</v>
      </c>
      <c r="G723" s="1">
        <v>45414</v>
      </c>
      <c r="H723">
        <v>106583.88</v>
      </c>
      <c r="I723" t="s">
        <v>144</v>
      </c>
      <c r="J723">
        <v>-1494097625</v>
      </c>
      <c r="K723" t="s">
        <v>30</v>
      </c>
      <c r="L723" t="b">
        <v>1</v>
      </c>
    </row>
    <row r="724" spans="1:12" x14ac:dyDescent="0.35">
      <c r="A724" t="s">
        <v>1228</v>
      </c>
      <c r="B724" t="s">
        <v>25</v>
      </c>
      <c r="C724" t="s">
        <v>20</v>
      </c>
      <c r="D724">
        <v>35</v>
      </c>
      <c r="E724" t="s">
        <v>212</v>
      </c>
      <c r="F724" t="s">
        <v>33</v>
      </c>
      <c r="G724" s="1">
        <v>45637</v>
      </c>
      <c r="H724">
        <v>58437.84</v>
      </c>
      <c r="I724" t="s">
        <v>80</v>
      </c>
      <c r="J724">
        <v>-3748453985</v>
      </c>
      <c r="K724" t="s">
        <v>30</v>
      </c>
      <c r="L724" t="b">
        <v>1</v>
      </c>
    </row>
    <row r="725" spans="1:12" x14ac:dyDescent="0.35">
      <c r="A725" t="s">
        <v>1229</v>
      </c>
      <c r="B725" t="s">
        <v>25</v>
      </c>
      <c r="C725" t="s">
        <v>122</v>
      </c>
      <c r="D725">
        <v>40</v>
      </c>
      <c r="E725" t="s">
        <v>268</v>
      </c>
      <c r="F725" t="s">
        <v>28</v>
      </c>
      <c r="G725" t="s">
        <v>438</v>
      </c>
      <c r="H725">
        <v>72352.160000000003</v>
      </c>
      <c r="I725" t="s">
        <v>182</v>
      </c>
      <c r="J725">
        <v>-2895090590</v>
      </c>
      <c r="K725" t="s">
        <v>18</v>
      </c>
      <c r="L725" t="b">
        <v>1</v>
      </c>
    </row>
    <row r="726" spans="1:12" x14ac:dyDescent="0.35">
      <c r="A726" t="s">
        <v>1230</v>
      </c>
      <c r="B726" t="s">
        <v>37</v>
      </c>
      <c r="C726" t="s">
        <v>122</v>
      </c>
      <c r="E726" t="s">
        <v>56</v>
      </c>
      <c r="F726" t="s">
        <v>16</v>
      </c>
      <c r="G726" t="s">
        <v>1231</v>
      </c>
      <c r="H726">
        <v>97154.47</v>
      </c>
      <c r="I726" t="s">
        <v>137</v>
      </c>
      <c r="J726">
        <v>-1918623391</v>
      </c>
      <c r="K726" t="s">
        <v>30</v>
      </c>
      <c r="L726" t="b">
        <v>1</v>
      </c>
    </row>
    <row r="727" spans="1:12" x14ac:dyDescent="0.35">
      <c r="A727" t="s">
        <v>1232</v>
      </c>
      <c r="B727" t="s">
        <v>65</v>
      </c>
      <c r="C727" t="s">
        <v>26</v>
      </c>
      <c r="E727" t="s">
        <v>98</v>
      </c>
      <c r="F727" t="s">
        <v>16</v>
      </c>
      <c r="G727" t="s">
        <v>973</v>
      </c>
      <c r="H727">
        <v>80235.5</v>
      </c>
      <c r="I727" t="s">
        <v>320</v>
      </c>
      <c r="J727">
        <v>-2071511695</v>
      </c>
      <c r="K727" t="s">
        <v>30</v>
      </c>
      <c r="L727" t="b">
        <v>0</v>
      </c>
    </row>
    <row r="728" spans="1:12" x14ac:dyDescent="0.35">
      <c r="A728" t="s">
        <v>1233</v>
      </c>
      <c r="B728" t="s">
        <v>54</v>
      </c>
      <c r="C728" t="s">
        <v>38</v>
      </c>
      <c r="D728">
        <v>30</v>
      </c>
      <c r="E728" t="s">
        <v>139</v>
      </c>
      <c r="F728" t="s">
        <v>33</v>
      </c>
      <c r="G728" t="s">
        <v>1131</v>
      </c>
      <c r="H728">
        <v>102172.05</v>
      </c>
      <c r="I728" t="s">
        <v>90</v>
      </c>
      <c r="J728">
        <v>-6672521451</v>
      </c>
      <c r="K728" t="s">
        <v>41</v>
      </c>
      <c r="L728" t="b">
        <v>0</v>
      </c>
    </row>
    <row r="729" spans="1:12" x14ac:dyDescent="0.35">
      <c r="A729" t="s">
        <v>1234</v>
      </c>
      <c r="B729" t="s">
        <v>32</v>
      </c>
      <c r="C729" t="s">
        <v>38</v>
      </c>
      <c r="D729">
        <v>25</v>
      </c>
      <c r="E729" t="s">
        <v>265</v>
      </c>
      <c r="F729" t="s">
        <v>33</v>
      </c>
      <c r="G729" s="1">
        <v>45356</v>
      </c>
      <c r="H729">
        <v>98850.94</v>
      </c>
      <c r="I729" t="s">
        <v>141</v>
      </c>
      <c r="J729">
        <v>-6471246334</v>
      </c>
      <c r="K729" t="s">
        <v>23</v>
      </c>
      <c r="L729" t="b">
        <v>1</v>
      </c>
    </row>
    <row r="730" spans="1:12" x14ac:dyDescent="0.35">
      <c r="A730" t="s">
        <v>1235</v>
      </c>
      <c r="B730" t="s">
        <v>65</v>
      </c>
      <c r="C730" t="s">
        <v>26</v>
      </c>
      <c r="E730" t="s">
        <v>205</v>
      </c>
      <c r="F730" t="s">
        <v>33</v>
      </c>
      <c r="G730" t="s">
        <v>1236</v>
      </c>
      <c r="H730">
        <v>89993.15</v>
      </c>
      <c r="I730" t="s">
        <v>320</v>
      </c>
      <c r="J730">
        <v>-1571840907</v>
      </c>
      <c r="K730" t="s">
        <v>18</v>
      </c>
      <c r="L730" t="b">
        <v>1</v>
      </c>
    </row>
    <row r="731" spans="1:12" x14ac:dyDescent="0.35">
      <c r="A731" t="s">
        <v>1237</v>
      </c>
      <c r="B731" t="s">
        <v>59</v>
      </c>
      <c r="C731" t="s">
        <v>20</v>
      </c>
      <c r="D731">
        <v>30</v>
      </c>
      <c r="E731" t="s">
        <v>268</v>
      </c>
      <c r="F731" t="s">
        <v>33</v>
      </c>
      <c r="G731" t="s">
        <v>589</v>
      </c>
      <c r="H731">
        <v>97931.66</v>
      </c>
      <c r="I731" t="s">
        <v>225</v>
      </c>
      <c r="J731">
        <v>-512080055</v>
      </c>
      <c r="K731" t="s">
        <v>18</v>
      </c>
      <c r="L731" t="b">
        <v>1</v>
      </c>
    </row>
    <row r="732" spans="1:12" x14ac:dyDescent="0.35">
      <c r="A732" t="s">
        <v>1238</v>
      </c>
      <c r="B732" t="s">
        <v>13</v>
      </c>
      <c r="C732" t="s">
        <v>38</v>
      </c>
      <c r="D732">
        <v>40</v>
      </c>
      <c r="E732" t="s">
        <v>70</v>
      </c>
      <c r="F732" t="s">
        <v>33</v>
      </c>
      <c r="G732" t="s">
        <v>1239</v>
      </c>
      <c r="H732">
        <v>72451.69</v>
      </c>
      <c r="I732" t="s">
        <v>144</v>
      </c>
      <c r="J732">
        <v>-4099512396</v>
      </c>
      <c r="K732" t="s">
        <v>41</v>
      </c>
      <c r="L732" t="b">
        <v>1</v>
      </c>
    </row>
    <row r="733" spans="1:12" x14ac:dyDescent="0.35">
      <c r="A733" t="s">
        <v>1240</v>
      </c>
      <c r="B733" t="s">
        <v>25</v>
      </c>
      <c r="C733" t="s">
        <v>122</v>
      </c>
      <c r="D733">
        <v>35</v>
      </c>
      <c r="E733" t="s">
        <v>118</v>
      </c>
      <c r="F733" t="s">
        <v>28</v>
      </c>
      <c r="G733" s="1">
        <v>45543</v>
      </c>
      <c r="H733">
        <v>119311.14</v>
      </c>
      <c r="I733" t="s">
        <v>182</v>
      </c>
      <c r="J733">
        <v>-2835129591</v>
      </c>
      <c r="K733" t="s">
        <v>41</v>
      </c>
      <c r="L733" t="b">
        <v>1</v>
      </c>
    </row>
    <row r="734" spans="1:12" x14ac:dyDescent="0.35">
      <c r="A734" t="s">
        <v>1241</v>
      </c>
      <c r="B734" t="s">
        <v>54</v>
      </c>
      <c r="C734" t="s">
        <v>122</v>
      </c>
      <c r="D734">
        <v>40</v>
      </c>
      <c r="E734" t="s">
        <v>60</v>
      </c>
      <c r="F734" t="s">
        <v>16</v>
      </c>
      <c r="G734" s="1">
        <v>45027</v>
      </c>
      <c r="H734">
        <v>76167.460000000006</v>
      </c>
      <c r="I734" t="s">
        <v>194</v>
      </c>
      <c r="J734">
        <v>-7282709080</v>
      </c>
      <c r="K734" t="s">
        <v>30</v>
      </c>
      <c r="L734" t="b">
        <v>0</v>
      </c>
    </row>
    <row r="735" spans="1:12" x14ac:dyDescent="0.35">
      <c r="A735" t="s">
        <v>1242</v>
      </c>
      <c r="B735" t="s">
        <v>13</v>
      </c>
      <c r="C735" t="s">
        <v>43</v>
      </c>
      <c r="D735">
        <v>25</v>
      </c>
      <c r="E735" t="s">
        <v>237</v>
      </c>
      <c r="F735" t="s">
        <v>16</v>
      </c>
      <c r="G735" t="s">
        <v>1243</v>
      </c>
      <c r="H735">
        <v>114871.08</v>
      </c>
      <c r="I735" t="s">
        <v>153</v>
      </c>
      <c r="J735">
        <v>-4415298216</v>
      </c>
      <c r="K735" t="s">
        <v>18</v>
      </c>
      <c r="L735" t="b">
        <v>0</v>
      </c>
    </row>
    <row r="736" spans="1:12" x14ac:dyDescent="0.35">
      <c r="A736" t="s">
        <v>1244</v>
      </c>
      <c r="B736" t="s">
        <v>32</v>
      </c>
      <c r="C736" t="s">
        <v>55</v>
      </c>
      <c r="D736">
        <v>25</v>
      </c>
      <c r="E736" t="s">
        <v>149</v>
      </c>
      <c r="F736" t="s">
        <v>16</v>
      </c>
      <c r="G736" t="s">
        <v>1245</v>
      </c>
      <c r="H736">
        <v>81504.31</v>
      </c>
      <c r="I736" t="s">
        <v>323</v>
      </c>
      <c r="J736">
        <v>-3929578670</v>
      </c>
      <c r="K736" t="s">
        <v>23</v>
      </c>
      <c r="L736" t="b">
        <v>0</v>
      </c>
    </row>
    <row r="737" spans="1:12" x14ac:dyDescent="0.35">
      <c r="A737" t="s">
        <v>1246</v>
      </c>
      <c r="B737" t="s">
        <v>59</v>
      </c>
      <c r="C737" t="s">
        <v>38</v>
      </c>
      <c r="E737" t="s">
        <v>196</v>
      </c>
      <c r="F737" t="s">
        <v>28</v>
      </c>
      <c r="G737" s="1">
        <v>44754</v>
      </c>
      <c r="H737">
        <v>102524.86</v>
      </c>
      <c r="I737" t="s">
        <v>61</v>
      </c>
      <c r="J737">
        <v>-8153523735</v>
      </c>
      <c r="K737" t="s">
        <v>41</v>
      </c>
      <c r="L737" t="b">
        <v>0</v>
      </c>
    </row>
    <row r="738" spans="1:12" x14ac:dyDescent="0.35">
      <c r="A738" t="s">
        <v>1247</v>
      </c>
      <c r="B738" t="s">
        <v>54</v>
      </c>
      <c r="C738" t="s">
        <v>20</v>
      </c>
      <c r="D738">
        <v>25</v>
      </c>
      <c r="E738" t="s">
        <v>265</v>
      </c>
      <c r="F738" t="s">
        <v>28</v>
      </c>
      <c r="G738" t="s">
        <v>1248</v>
      </c>
      <c r="H738">
        <v>53043.74</v>
      </c>
      <c r="I738" t="s">
        <v>125</v>
      </c>
      <c r="J738">
        <v>-507918157</v>
      </c>
      <c r="K738" t="s">
        <v>23</v>
      </c>
      <c r="L738" t="b">
        <v>1</v>
      </c>
    </row>
    <row r="739" spans="1:12" x14ac:dyDescent="0.35">
      <c r="A739" t="s">
        <v>1249</v>
      </c>
      <c r="B739" t="s">
        <v>32</v>
      </c>
      <c r="C739" t="s">
        <v>26</v>
      </c>
      <c r="D739">
        <v>30</v>
      </c>
      <c r="E739" t="s">
        <v>78</v>
      </c>
      <c r="F739" t="s">
        <v>33</v>
      </c>
      <c r="G739" t="s">
        <v>1250</v>
      </c>
      <c r="H739">
        <v>82547.259999999995</v>
      </c>
      <c r="I739" t="s">
        <v>278</v>
      </c>
      <c r="J739">
        <v>-9988683451</v>
      </c>
      <c r="K739" t="s">
        <v>23</v>
      </c>
      <c r="L739" t="b">
        <v>1</v>
      </c>
    </row>
    <row r="740" spans="1:12" x14ac:dyDescent="0.35">
      <c r="A740" t="s">
        <v>1251</v>
      </c>
      <c r="B740" t="s">
        <v>13</v>
      </c>
      <c r="C740" t="s">
        <v>26</v>
      </c>
      <c r="D740">
        <v>40</v>
      </c>
      <c r="E740" t="s">
        <v>15</v>
      </c>
      <c r="F740" t="s">
        <v>28</v>
      </c>
      <c r="G740" s="1">
        <v>45606</v>
      </c>
      <c r="H740">
        <v>113900.81</v>
      </c>
      <c r="I740" t="s">
        <v>50</v>
      </c>
      <c r="J740">
        <v>-7346666169</v>
      </c>
      <c r="K740" t="s">
        <v>18</v>
      </c>
      <c r="L740" t="b">
        <v>1</v>
      </c>
    </row>
    <row r="741" spans="1:12" x14ac:dyDescent="0.35">
      <c r="A741" t="s">
        <v>1252</v>
      </c>
      <c r="B741" t="s">
        <v>13</v>
      </c>
      <c r="C741" t="s">
        <v>20</v>
      </c>
      <c r="D741">
        <v>25</v>
      </c>
      <c r="E741" t="s">
        <v>149</v>
      </c>
      <c r="F741" t="s">
        <v>33</v>
      </c>
      <c r="G741" t="s">
        <v>214</v>
      </c>
      <c r="H741">
        <v>118585.5</v>
      </c>
      <c r="I741" t="s">
        <v>22</v>
      </c>
      <c r="J741">
        <v>-7158796473</v>
      </c>
      <c r="K741" t="s">
        <v>18</v>
      </c>
      <c r="L741" t="b">
        <v>1</v>
      </c>
    </row>
    <row r="742" spans="1:12" x14ac:dyDescent="0.35">
      <c r="A742" t="s">
        <v>1253</v>
      </c>
      <c r="B742" t="s">
        <v>13</v>
      </c>
      <c r="C742" t="s">
        <v>14</v>
      </c>
      <c r="D742">
        <v>35</v>
      </c>
      <c r="E742" t="s">
        <v>265</v>
      </c>
      <c r="F742" t="s">
        <v>28</v>
      </c>
      <c r="G742" t="s">
        <v>1254</v>
      </c>
      <c r="H742">
        <v>63049.22</v>
      </c>
      <c r="I742" t="s">
        <v>17</v>
      </c>
      <c r="J742">
        <v>-803149981</v>
      </c>
      <c r="K742" t="s">
        <v>41</v>
      </c>
      <c r="L742" t="b">
        <v>1</v>
      </c>
    </row>
    <row r="743" spans="1:12" x14ac:dyDescent="0.35">
      <c r="A743" t="s">
        <v>1255</v>
      </c>
      <c r="B743" t="s">
        <v>65</v>
      </c>
      <c r="C743" t="s">
        <v>92</v>
      </c>
      <c r="E743" t="s">
        <v>237</v>
      </c>
      <c r="F743" t="s">
        <v>16</v>
      </c>
      <c r="G743" t="s">
        <v>1256</v>
      </c>
      <c r="H743">
        <v>114558.91</v>
      </c>
      <c r="I743" t="s">
        <v>130</v>
      </c>
      <c r="J743">
        <v>-5080046357</v>
      </c>
      <c r="K743" t="s">
        <v>18</v>
      </c>
      <c r="L743" t="b">
        <v>0</v>
      </c>
    </row>
    <row r="744" spans="1:12" x14ac:dyDescent="0.35">
      <c r="A744" t="s">
        <v>1257</v>
      </c>
      <c r="B744" t="s">
        <v>65</v>
      </c>
      <c r="C744" t="s">
        <v>55</v>
      </c>
      <c r="D744">
        <v>40</v>
      </c>
      <c r="E744" t="s">
        <v>56</v>
      </c>
      <c r="F744" t="s">
        <v>16</v>
      </c>
      <c r="G744" s="1">
        <v>44512</v>
      </c>
      <c r="H744">
        <v>97901.79</v>
      </c>
      <c r="I744" t="s">
        <v>113</v>
      </c>
      <c r="J744">
        <v>-688285030</v>
      </c>
      <c r="K744" t="s">
        <v>18</v>
      </c>
      <c r="L744" t="b">
        <v>1</v>
      </c>
    </row>
    <row r="745" spans="1:12" x14ac:dyDescent="0.35">
      <c r="A745" t="s">
        <v>1258</v>
      </c>
      <c r="B745" t="s">
        <v>32</v>
      </c>
      <c r="C745" t="s">
        <v>26</v>
      </c>
      <c r="D745">
        <v>30</v>
      </c>
      <c r="E745" t="s">
        <v>177</v>
      </c>
      <c r="F745" t="s">
        <v>16</v>
      </c>
      <c r="G745" s="1">
        <v>45053</v>
      </c>
      <c r="H745">
        <v>68037.56</v>
      </c>
      <c r="I745" t="s">
        <v>278</v>
      </c>
      <c r="J745">
        <v>-7235137398</v>
      </c>
      <c r="K745" t="s">
        <v>18</v>
      </c>
      <c r="L745" t="b">
        <v>0</v>
      </c>
    </row>
    <row r="746" spans="1:12" x14ac:dyDescent="0.35">
      <c r="A746" t="s">
        <v>1259</v>
      </c>
      <c r="B746" t="s">
        <v>25</v>
      </c>
      <c r="C746" t="s">
        <v>38</v>
      </c>
      <c r="E746" t="s">
        <v>66</v>
      </c>
      <c r="F746" t="s">
        <v>16</v>
      </c>
      <c r="G746" t="s">
        <v>1260</v>
      </c>
      <c r="H746">
        <v>112802.27</v>
      </c>
      <c r="I746" t="s">
        <v>363</v>
      </c>
      <c r="J746">
        <v>-63140351</v>
      </c>
      <c r="K746" t="s">
        <v>23</v>
      </c>
      <c r="L746" t="b">
        <v>0</v>
      </c>
    </row>
    <row r="747" spans="1:12" x14ac:dyDescent="0.35">
      <c r="A747" t="s">
        <v>1261</v>
      </c>
      <c r="B747" t="s">
        <v>13</v>
      </c>
      <c r="C747" t="s">
        <v>55</v>
      </c>
      <c r="D747">
        <v>40</v>
      </c>
      <c r="E747" t="s">
        <v>219</v>
      </c>
      <c r="F747" t="s">
        <v>28</v>
      </c>
      <c r="G747" t="s">
        <v>337</v>
      </c>
      <c r="H747">
        <v>93786.72</v>
      </c>
      <c r="I747" t="s">
        <v>199</v>
      </c>
      <c r="J747">
        <v>-6356022938</v>
      </c>
      <c r="K747" t="s">
        <v>41</v>
      </c>
      <c r="L747" t="b">
        <v>0</v>
      </c>
    </row>
    <row r="748" spans="1:12" x14ac:dyDescent="0.35">
      <c r="A748" t="s">
        <v>1262</v>
      </c>
      <c r="B748" t="s">
        <v>59</v>
      </c>
      <c r="C748" t="s">
        <v>38</v>
      </c>
      <c r="E748" t="s">
        <v>205</v>
      </c>
      <c r="F748" t="s">
        <v>33</v>
      </c>
      <c r="G748" t="s">
        <v>524</v>
      </c>
      <c r="H748">
        <v>73049.929999999993</v>
      </c>
      <c r="I748" t="s">
        <v>61</v>
      </c>
      <c r="J748">
        <v>-4694346065</v>
      </c>
      <c r="K748" t="s">
        <v>30</v>
      </c>
      <c r="L748" t="b">
        <v>0</v>
      </c>
    </row>
    <row r="749" spans="1:12" x14ac:dyDescent="0.35">
      <c r="A749" t="s">
        <v>1263</v>
      </c>
      <c r="B749" t="s">
        <v>59</v>
      </c>
      <c r="C749" t="s">
        <v>14</v>
      </c>
      <c r="D749">
        <v>30</v>
      </c>
      <c r="E749" t="s">
        <v>98</v>
      </c>
      <c r="F749" t="s">
        <v>28</v>
      </c>
      <c r="G749" t="s">
        <v>1264</v>
      </c>
      <c r="H749">
        <v>64161.72</v>
      </c>
      <c r="I749" t="s">
        <v>63</v>
      </c>
      <c r="J749">
        <v>-6437490606</v>
      </c>
      <c r="K749" t="s">
        <v>23</v>
      </c>
      <c r="L749" t="b">
        <v>1</v>
      </c>
    </row>
    <row r="750" spans="1:12" x14ac:dyDescent="0.35">
      <c r="A750" t="s">
        <v>1265</v>
      </c>
      <c r="B750" t="s">
        <v>54</v>
      </c>
      <c r="C750" t="s">
        <v>122</v>
      </c>
      <c r="D750">
        <v>40</v>
      </c>
      <c r="E750" t="s">
        <v>27</v>
      </c>
      <c r="F750" t="s">
        <v>28</v>
      </c>
      <c r="G750" t="s">
        <v>1266</v>
      </c>
      <c r="H750">
        <v>72224.73</v>
      </c>
      <c r="I750" t="s">
        <v>194</v>
      </c>
      <c r="J750">
        <v>-2311127127</v>
      </c>
      <c r="K750" t="s">
        <v>18</v>
      </c>
      <c r="L750" t="b">
        <v>0</v>
      </c>
    </row>
    <row r="751" spans="1:12" x14ac:dyDescent="0.35">
      <c r="A751" t="s">
        <v>1267</v>
      </c>
      <c r="B751" t="s">
        <v>13</v>
      </c>
      <c r="C751" t="s">
        <v>55</v>
      </c>
      <c r="D751">
        <v>30</v>
      </c>
      <c r="E751" t="s">
        <v>66</v>
      </c>
      <c r="F751" t="s">
        <v>28</v>
      </c>
      <c r="G751" s="1">
        <v>43833</v>
      </c>
      <c r="H751">
        <v>103580.45</v>
      </c>
      <c r="I751" t="s">
        <v>199</v>
      </c>
      <c r="J751">
        <v>-5246484493</v>
      </c>
      <c r="K751" t="s">
        <v>23</v>
      </c>
      <c r="L751" t="b">
        <v>0</v>
      </c>
    </row>
    <row r="752" spans="1:12" x14ac:dyDescent="0.35">
      <c r="A752" t="s">
        <v>1268</v>
      </c>
      <c r="B752" t="s">
        <v>69</v>
      </c>
      <c r="C752" t="s">
        <v>43</v>
      </c>
      <c r="D752">
        <v>40</v>
      </c>
      <c r="E752" t="s">
        <v>212</v>
      </c>
      <c r="F752" t="s">
        <v>28</v>
      </c>
      <c r="G752" s="1">
        <v>45543</v>
      </c>
      <c r="H752">
        <v>112589.11</v>
      </c>
      <c r="I752" t="s">
        <v>83</v>
      </c>
      <c r="J752">
        <v>-1163187327</v>
      </c>
      <c r="K752" t="s">
        <v>18</v>
      </c>
      <c r="L752" t="b">
        <v>0</v>
      </c>
    </row>
    <row r="753" spans="1:12" x14ac:dyDescent="0.35">
      <c r="A753" t="s">
        <v>1269</v>
      </c>
      <c r="B753" t="s">
        <v>32</v>
      </c>
      <c r="C753" t="s">
        <v>26</v>
      </c>
      <c r="D753">
        <v>30</v>
      </c>
      <c r="E753" t="s">
        <v>103</v>
      </c>
      <c r="F753" t="s">
        <v>16</v>
      </c>
      <c r="G753" t="s">
        <v>1270</v>
      </c>
      <c r="H753">
        <v>51833.88</v>
      </c>
      <c r="I753" t="s">
        <v>278</v>
      </c>
      <c r="J753">
        <v>-771130620</v>
      </c>
      <c r="K753" t="s">
        <v>18</v>
      </c>
      <c r="L753" t="b">
        <v>1</v>
      </c>
    </row>
    <row r="754" spans="1:12" x14ac:dyDescent="0.35">
      <c r="A754" t="s">
        <v>1271</v>
      </c>
      <c r="B754" t="s">
        <v>32</v>
      </c>
      <c r="C754" t="s">
        <v>55</v>
      </c>
      <c r="E754" t="s">
        <v>98</v>
      </c>
      <c r="F754" t="s">
        <v>16</v>
      </c>
      <c r="G754" s="1">
        <v>45082</v>
      </c>
      <c r="H754">
        <v>66252.78</v>
      </c>
      <c r="I754" t="s">
        <v>323</v>
      </c>
      <c r="J754">
        <v>-1369572789</v>
      </c>
      <c r="K754" t="s">
        <v>23</v>
      </c>
      <c r="L754" t="b">
        <v>1</v>
      </c>
    </row>
    <row r="755" spans="1:12" x14ac:dyDescent="0.35">
      <c r="A755" t="s">
        <v>1272</v>
      </c>
      <c r="B755" t="s">
        <v>37</v>
      </c>
      <c r="C755" t="s">
        <v>55</v>
      </c>
      <c r="D755">
        <v>25</v>
      </c>
      <c r="E755" t="s">
        <v>230</v>
      </c>
      <c r="F755" t="s">
        <v>16</v>
      </c>
      <c r="G755" t="s">
        <v>1273</v>
      </c>
      <c r="H755">
        <v>109229.68</v>
      </c>
      <c r="I755" t="s">
        <v>271</v>
      </c>
      <c r="J755">
        <v>-8335090253</v>
      </c>
      <c r="K755" t="s">
        <v>41</v>
      </c>
      <c r="L755" t="b">
        <v>1</v>
      </c>
    </row>
    <row r="756" spans="1:12" x14ac:dyDescent="0.35">
      <c r="A756" t="s">
        <v>1274</v>
      </c>
      <c r="B756" t="s">
        <v>37</v>
      </c>
      <c r="C756" t="s">
        <v>55</v>
      </c>
      <c r="D756">
        <v>30</v>
      </c>
      <c r="E756" t="s">
        <v>112</v>
      </c>
      <c r="F756" t="s">
        <v>33</v>
      </c>
      <c r="G756" s="1">
        <v>44053</v>
      </c>
      <c r="H756">
        <v>61465.05</v>
      </c>
      <c r="I756" t="s">
        <v>271</v>
      </c>
      <c r="J756">
        <v>-2573066247</v>
      </c>
      <c r="K756" t="s">
        <v>18</v>
      </c>
      <c r="L756" t="b">
        <v>0</v>
      </c>
    </row>
    <row r="757" spans="1:12" x14ac:dyDescent="0.35">
      <c r="A757" t="s">
        <v>1275</v>
      </c>
      <c r="B757" t="s">
        <v>69</v>
      </c>
      <c r="C757" t="s">
        <v>92</v>
      </c>
      <c r="D757">
        <v>25</v>
      </c>
      <c r="E757" t="s">
        <v>212</v>
      </c>
      <c r="F757" t="s">
        <v>16</v>
      </c>
      <c r="G757" t="s">
        <v>1276</v>
      </c>
      <c r="H757">
        <v>96993.74</v>
      </c>
      <c r="I757" t="s">
        <v>168</v>
      </c>
      <c r="J757">
        <v>-1323570712</v>
      </c>
      <c r="K757" t="s">
        <v>41</v>
      </c>
      <c r="L757" t="b">
        <v>0</v>
      </c>
    </row>
    <row r="758" spans="1:12" x14ac:dyDescent="0.35">
      <c r="A758" t="s">
        <v>1277</v>
      </c>
      <c r="B758" t="s">
        <v>59</v>
      </c>
      <c r="C758" t="s">
        <v>55</v>
      </c>
      <c r="D758">
        <v>25</v>
      </c>
      <c r="E758" t="s">
        <v>205</v>
      </c>
      <c r="F758" t="s">
        <v>28</v>
      </c>
      <c r="G758" t="s">
        <v>1278</v>
      </c>
      <c r="H758">
        <v>98150.39</v>
      </c>
      <c r="I758" t="s">
        <v>217</v>
      </c>
      <c r="J758">
        <v>-9848228500</v>
      </c>
      <c r="K758" t="s">
        <v>30</v>
      </c>
      <c r="L758" t="b">
        <v>1</v>
      </c>
    </row>
    <row r="759" spans="1:12" x14ac:dyDescent="0.35">
      <c r="A759" t="s">
        <v>1279</v>
      </c>
      <c r="B759" t="s">
        <v>59</v>
      </c>
      <c r="C759" t="s">
        <v>38</v>
      </c>
      <c r="D759">
        <v>40</v>
      </c>
      <c r="E759" t="s">
        <v>21</v>
      </c>
      <c r="F759" t="s">
        <v>28</v>
      </c>
      <c r="G759" t="s">
        <v>1280</v>
      </c>
      <c r="H759">
        <v>107703</v>
      </c>
      <c r="I759" t="s">
        <v>61</v>
      </c>
      <c r="J759">
        <v>-1688092549</v>
      </c>
      <c r="K759" t="s">
        <v>18</v>
      </c>
      <c r="L759" t="b">
        <v>0</v>
      </c>
    </row>
    <row r="760" spans="1:12" x14ac:dyDescent="0.35">
      <c r="A760" t="s">
        <v>1281</v>
      </c>
      <c r="B760" t="s">
        <v>69</v>
      </c>
      <c r="C760" t="s">
        <v>122</v>
      </c>
      <c r="E760" t="s">
        <v>78</v>
      </c>
      <c r="F760" t="s">
        <v>28</v>
      </c>
      <c r="G760" s="1">
        <v>44986</v>
      </c>
      <c r="H760">
        <v>86766.14</v>
      </c>
      <c r="I760" t="s">
        <v>135</v>
      </c>
      <c r="J760">
        <v>-2130609068</v>
      </c>
      <c r="K760" t="s">
        <v>41</v>
      </c>
      <c r="L760" t="b">
        <v>1</v>
      </c>
    </row>
    <row r="761" spans="1:12" x14ac:dyDescent="0.35">
      <c r="A761" t="s">
        <v>1282</v>
      </c>
      <c r="B761" t="s">
        <v>25</v>
      </c>
      <c r="C761" t="s">
        <v>14</v>
      </c>
      <c r="E761" t="s">
        <v>39</v>
      </c>
      <c r="F761" t="s">
        <v>33</v>
      </c>
      <c r="G761" t="s">
        <v>587</v>
      </c>
      <c r="H761">
        <v>111443.69</v>
      </c>
      <c r="I761" t="s">
        <v>163</v>
      </c>
      <c r="J761">
        <v>-1309810795</v>
      </c>
      <c r="K761" t="s">
        <v>41</v>
      </c>
      <c r="L761" t="b">
        <v>1</v>
      </c>
    </row>
    <row r="762" spans="1:12" x14ac:dyDescent="0.35">
      <c r="A762" t="s">
        <v>1283</v>
      </c>
      <c r="B762" t="s">
        <v>59</v>
      </c>
      <c r="C762" t="s">
        <v>20</v>
      </c>
      <c r="E762" t="s">
        <v>74</v>
      </c>
      <c r="F762" t="s">
        <v>28</v>
      </c>
      <c r="G762" t="s">
        <v>441</v>
      </c>
      <c r="H762">
        <v>89039.07</v>
      </c>
      <c r="I762" t="s">
        <v>225</v>
      </c>
      <c r="J762">
        <v>-4967379456</v>
      </c>
      <c r="K762" t="s">
        <v>30</v>
      </c>
      <c r="L762" t="b">
        <v>0</v>
      </c>
    </row>
    <row r="763" spans="1:12" x14ac:dyDescent="0.35">
      <c r="A763" t="s">
        <v>1284</v>
      </c>
      <c r="B763" t="s">
        <v>25</v>
      </c>
      <c r="C763" t="s">
        <v>55</v>
      </c>
      <c r="D763">
        <v>30</v>
      </c>
      <c r="E763" t="s">
        <v>212</v>
      </c>
      <c r="F763" t="s">
        <v>33</v>
      </c>
      <c r="G763" t="s">
        <v>1285</v>
      </c>
      <c r="H763">
        <v>71318.789999999994</v>
      </c>
      <c r="I763" t="s">
        <v>150</v>
      </c>
      <c r="J763">
        <v>-7278532425</v>
      </c>
      <c r="K763" t="s">
        <v>41</v>
      </c>
      <c r="L763" t="b">
        <v>0</v>
      </c>
    </row>
    <row r="764" spans="1:12" x14ac:dyDescent="0.35">
      <c r="A764" t="s">
        <v>1286</v>
      </c>
      <c r="B764" t="s">
        <v>65</v>
      </c>
      <c r="C764" t="s">
        <v>26</v>
      </c>
      <c r="D764">
        <v>30</v>
      </c>
      <c r="E764" t="s">
        <v>70</v>
      </c>
      <c r="F764" t="s">
        <v>28</v>
      </c>
      <c r="G764" t="s">
        <v>1287</v>
      </c>
      <c r="H764">
        <v>98296.71</v>
      </c>
      <c r="I764" t="s">
        <v>320</v>
      </c>
      <c r="J764">
        <v>-4250642075</v>
      </c>
      <c r="K764" t="s">
        <v>41</v>
      </c>
      <c r="L764" t="b">
        <v>0</v>
      </c>
    </row>
    <row r="765" spans="1:12" x14ac:dyDescent="0.35">
      <c r="A765" t="s">
        <v>1288</v>
      </c>
      <c r="B765" t="s">
        <v>65</v>
      </c>
      <c r="C765" t="s">
        <v>55</v>
      </c>
      <c r="D765">
        <v>40</v>
      </c>
      <c r="E765" t="s">
        <v>85</v>
      </c>
      <c r="F765" t="s">
        <v>28</v>
      </c>
      <c r="G765" t="s">
        <v>1289</v>
      </c>
      <c r="H765">
        <v>62584</v>
      </c>
      <c r="I765" t="s">
        <v>113</v>
      </c>
      <c r="J765">
        <v>-8362536666</v>
      </c>
      <c r="K765" t="s">
        <v>30</v>
      </c>
      <c r="L765" t="b">
        <v>0</v>
      </c>
    </row>
    <row r="766" spans="1:12" x14ac:dyDescent="0.35">
      <c r="A766" t="s">
        <v>1290</v>
      </c>
      <c r="B766" t="s">
        <v>54</v>
      </c>
      <c r="C766" t="s">
        <v>26</v>
      </c>
      <c r="D766">
        <v>40</v>
      </c>
      <c r="E766" t="s">
        <v>70</v>
      </c>
      <c r="F766" t="s">
        <v>33</v>
      </c>
      <c r="G766" t="s">
        <v>1291</v>
      </c>
      <c r="H766">
        <v>62521.5</v>
      </c>
      <c r="I766" t="s">
        <v>120</v>
      </c>
      <c r="J766">
        <v>-7767555627</v>
      </c>
      <c r="K766" t="s">
        <v>18</v>
      </c>
      <c r="L766" t="b">
        <v>1</v>
      </c>
    </row>
    <row r="767" spans="1:12" x14ac:dyDescent="0.35">
      <c r="A767" t="s">
        <v>1292</v>
      </c>
      <c r="B767" t="s">
        <v>59</v>
      </c>
      <c r="C767" t="s">
        <v>38</v>
      </c>
      <c r="D767">
        <v>40</v>
      </c>
      <c r="E767" t="s">
        <v>268</v>
      </c>
      <c r="F767" t="s">
        <v>33</v>
      </c>
      <c r="G767" t="s">
        <v>1293</v>
      </c>
      <c r="H767">
        <v>95400.35</v>
      </c>
      <c r="I767" t="s">
        <v>61</v>
      </c>
      <c r="J767">
        <v>-3333939577</v>
      </c>
      <c r="K767" t="s">
        <v>41</v>
      </c>
      <c r="L767" t="b">
        <v>1</v>
      </c>
    </row>
    <row r="768" spans="1:12" x14ac:dyDescent="0.35">
      <c r="A768" t="s">
        <v>1294</v>
      </c>
      <c r="B768" t="s">
        <v>54</v>
      </c>
      <c r="C768" t="s">
        <v>26</v>
      </c>
      <c r="D768">
        <v>25</v>
      </c>
      <c r="E768" t="s">
        <v>159</v>
      </c>
      <c r="F768" t="s">
        <v>28</v>
      </c>
      <c r="G768" s="1">
        <v>44811</v>
      </c>
      <c r="H768">
        <v>94385.07</v>
      </c>
      <c r="I768" t="s">
        <v>120</v>
      </c>
      <c r="J768">
        <v>-6543627186</v>
      </c>
      <c r="K768" t="s">
        <v>41</v>
      </c>
      <c r="L768" t="b">
        <v>1</v>
      </c>
    </row>
    <row r="769" spans="1:12" x14ac:dyDescent="0.35">
      <c r="A769" t="s">
        <v>1295</v>
      </c>
      <c r="B769" t="s">
        <v>69</v>
      </c>
      <c r="C769" t="s">
        <v>43</v>
      </c>
      <c r="E769" t="s">
        <v>109</v>
      </c>
      <c r="F769" t="s">
        <v>33</v>
      </c>
      <c r="G769" s="1">
        <v>44928</v>
      </c>
      <c r="H769">
        <v>76642.490000000005</v>
      </c>
      <c r="I769" t="s">
        <v>83</v>
      </c>
      <c r="J769">
        <v>-4960335825</v>
      </c>
      <c r="K769" t="s">
        <v>41</v>
      </c>
      <c r="L769" t="b">
        <v>1</v>
      </c>
    </row>
    <row r="770" spans="1:12" x14ac:dyDescent="0.35">
      <c r="A770" t="s">
        <v>1296</v>
      </c>
      <c r="B770" t="s">
        <v>37</v>
      </c>
      <c r="C770" t="s">
        <v>20</v>
      </c>
      <c r="E770" t="s">
        <v>56</v>
      </c>
      <c r="F770" t="s">
        <v>16</v>
      </c>
      <c r="G770" t="s">
        <v>1297</v>
      </c>
      <c r="H770">
        <v>60122.52</v>
      </c>
      <c r="I770" t="s">
        <v>239</v>
      </c>
      <c r="J770">
        <v>-8627036923</v>
      </c>
      <c r="K770" t="s">
        <v>23</v>
      </c>
      <c r="L770" t="b">
        <v>1</v>
      </c>
    </row>
    <row r="771" spans="1:12" x14ac:dyDescent="0.35">
      <c r="A771" t="s">
        <v>1298</v>
      </c>
      <c r="B771" t="s">
        <v>25</v>
      </c>
      <c r="C771" t="s">
        <v>122</v>
      </c>
      <c r="D771">
        <v>40</v>
      </c>
      <c r="E771" t="s">
        <v>146</v>
      </c>
      <c r="F771" t="s">
        <v>28</v>
      </c>
      <c r="G771" t="s">
        <v>79</v>
      </c>
      <c r="H771">
        <v>117267.63</v>
      </c>
      <c r="I771" t="s">
        <v>182</v>
      </c>
      <c r="J771">
        <v>-9269326572</v>
      </c>
      <c r="K771" t="s">
        <v>30</v>
      </c>
      <c r="L771" t="b">
        <v>0</v>
      </c>
    </row>
    <row r="772" spans="1:12" x14ac:dyDescent="0.35">
      <c r="A772" t="s">
        <v>1299</v>
      </c>
      <c r="B772" t="s">
        <v>54</v>
      </c>
      <c r="C772" t="s">
        <v>26</v>
      </c>
      <c r="D772">
        <v>25</v>
      </c>
      <c r="E772" t="s">
        <v>196</v>
      </c>
      <c r="F772" t="s">
        <v>16</v>
      </c>
      <c r="G772" t="s">
        <v>1300</v>
      </c>
      <c r="H772" t="s">
        <v>277</v>
      </c>
      <c r="I772" t="s">
        <v>120</v>
      </c>
      <c r="J772">
        <v>-2759980110</v>
      </c>
      <c r="K772" t="s">
        <v>23</v>
      </c>
      <c r="L772" t="b">
        <v>1</v>
      </c>
    </row>
    <row r="773" spans="1:12" x14ac:dyDescent="0.35">
      <c r="A773" t="s">
        <v>1301</v>
      </c>
      <c r="B773" t="s">
        <v>65</v>
      </c>
      <c r="C773" t="s">
        <v>26</v>
      </c>
      <c r="D773">
        <v>40</v>
      </c>
      <c r="E773" t="s">
        <v>44</v>
      </c>
      <c r="F773" t="s">
        <v>28</v>
      </c>
      <c r="G773" s="1">
        <v>45638</v>
      </c>
      <c r="H773">
        <v>84542.68</v>
      </c>
      <c r="I773" t="s">
        <v>320</v>
      </c>
      <c r="J773">
        <v>-5155322</v>
      </c>
      <c r="K773" t="s">
        <v>30</v>
      </c>
      <c r="L773" t="b">
        <v>1</v>
      </c>
    </row>
    <row r="774" spans="1:12" x14ac:dyDescent="0.35">
      <c r="A774" t="s">
        <v>1302</v>
      </c>
      <c r="B774" t="s">
        <v>65</v>
      </c>
      <c r="C774" t="s">
        <v>122</v>
      </c>
      <c r="D774">
        <v>40</v>
      </c>
      <c r="E774" t="s">
        <v>112</v>
      </c>
      <c r="F774" t="s">
        <v>16</v>
      </c>
      <c r="G774" t="s">
        <v>896</v>
      </c>
      <c r="H774">
        <v>92007.15</v>
      </c>
      <c r="I774" t="s">
        <v>367</v>
      </c>
      <c r="J774">
        <v>-4159597751</v>
      </c>
      <c r="K774" t="s">
        <v>18</v>
      </c>
      <c r="L774" t="b">
        <v>1</v>
      </c>
    </row>
    <row r="775" spans="1:12" x14ac:dyDescent="0.35">
      <c r="A775" t="s">
        <v>1303</v>
      </c>
      <c r="B775" t="s">
        <v>32</v>
      </c>
      <c r="C775" t="s">
        <v>20</v>
      </c>
      <c r="E775" t="s">
        <v>78</v>
      </c>
      <c r="F775" t="s">
        <v>16</v>
      </c>
      <c r="G775" s="1">
        <v>44108</v>
      </c>
      <c r="H775">
        <v>62938.8</v>
      </c>
      <c r="I775" t="s">
        <v>155</v>
      </c>
      <c r="J775">
        <v>-4418222617</v>
      </c>
      <c r="K775" t="s">
        <v>18</v>
      </c>
      <c r="L775" t="b">
        <v>0</v>
      </c>
    </row>
    <row r="776" spans="1:12" x14ac:dyDescent="0.35">
      <c r="A776" t="s">
        <v>1304</v>
      </c>
      <c r="B776" t="s">
        <v>37</v>
      </c>
      <c r="C776" t="s">
        <v>55</v>
      </c>
      <c r="D776">
        <v>25</v>
      </c>
      <c r="E776" t="s">
        <v>103</v>
      </c>
      <c r="F776" t="s">
        <v>28</v>
      </c>
      <c r="G776" t="s">
        <v>401</v>
      </c>
      <c r="H776">
        <v>108661.01</v>
      </c>
      <c r="I776" t="s">
        <v>271</v>
      </c>
      <c r="J776">
        <v>-9628874311</v>
      </c>
      <c r="K776" t="s">
        <v>41</v>
      </c>
      <c r="L776" t="b">
        <v>0</v>
      </c>
    </row>
    <row r="777" spans="1:12" x14ac:dyDescent="0.35">
      <c r="A777" t="s">
        <v>1305</v>
      </c>
      <c r="B777" t="s">
        <v>13</v>
      </c>
      <c r="C777" t="s">
        <v>26</v>
      </c>
      <c r="D777">
        <v>25</v>
      </c>
      <c r="E777" t="s">
        <v>39</v>
      </c>
      <c r="F777" t="s">
        <v>16</v>
      </c>
      <c r="G777" t="s">
        <v>1306</v>
      </c>
      <c r="H777">
        <v>97046.33</v>
      </c>
      <c r="I777" t="s">
        <v>50</v>
      </c>
      <c r="J777">
        <v>-7102676719</v>
      </c>
      <c r="K777" t="s">
        <v>30</v>
      </c>
      <c r="L777" t="b">
        <v>0</v>
      </c>
    </row>
    <row r="778" spans="1:12" x14ac:dyDescent="0.35">
      <c r="A778" t="s">
        <v>1307</v>
      </c>
      <c r="B778" t="s">
        <v>54</v>
      </c>
      <c r="C778" t="s">
        <v>122</v>
      </c>
      <c r="D778">
        <v>40</v>
      </c>
      <c r="E778" t="s">
        <v>78</v>
      </c>
      <c r="F778" t="s">
        <v>33</v>
      </c>
      <c r="G778" t="s">
        <v>1308</v>
      </c>
      <c r="H778">
        <v>56518.84</v>
      </c>
      <c r="I778" t="s">
        <v>194</v>
      </c>
      <c r="J778">
        <v>-9579927078</v>
      </c>
      <c r="K778" t="s">
        <v>18</v>
      </c>
      <c r="L778" t="b">
        <v>0</v>
      </c>
    </row>
    <row r="779" spans="1:12" x14ac:dyDescent="0.35">
      <c r="A779" t="s">
        <v>1309</v>
      </c>
      <c r="B779" t="s">
        <v>37</v>
      </c>
      <c r="C779" t="s">
        <v>43</v>
      </c>
      <c r="D779">
        <v>40</v>
      </c>
      <c r="E779" t="s">
        <v>39</v>
      </c>
      <c r="F779" t="s">
        <v>28</v>
      </c>
      <c r="G779" s="1">
        <v>44170</v>
      </c>
      <c r="H779">
        <v>70498.289999999994</v>
      </c>
      <c r="I779" t="s">
        <v>180</v>
      </c>
      <c r="J779">
        <v>-5515122945</v>
      </c>
      <c r="K779" t="s">
        <v>30</v>
      </c>
      <c r="L779" t="b">
        <v>1</v>
      </c>
    </row>
    <row r="780" spans="1:12" x14ac:dyDescent="0.35">
      <c r="A780" t="s">
        <v>1310</v>
      </c>
      <c r="B780" t="s">
        <v>32</v>
      </c>
      <c r="C780" t="s">
        <v>43</v>
      </c>
      <c r="D780">
        <v>35</v>
      </c>
      <c r="E780" t="s">
        <v>74</v>
      </c>
      <c r="F780" t="s">
        <v>28</v>
      </c>
      <c r="G780" s="1">
        <v>44319</v>
      </c>
      <c r="H780">
        <v>98708.06</v>
      </c>
      <c r="I780" t="s">
        <v>297</v>
      </c>
      <c r="J780">
        <v>-2135415969</v>
      </c>
      <c r="K780" t="s">
        <v>18</v>
      </c>
      <c r="L780" t="b">
        <v>1</v>
      </c>
    </row>
    <row r="781" spans="1:12" x14ac:dyDescent="0.35">
      <c r="A781" t="s">
        <v>1311</v>
      </c>
      <c r="B781" t="s">
        <v>13</v>
      </c>
      <c r="C781" t="s">
        <v>38</v>
      </c>
      <c r="E781" t="s">
        <v>329</v>
      </c>
      <c r="F781" t="s">
        <v>28</v>
      </c>
      <c r="G781" t="s">
        <v>507</v>
      </c>
      <c r="H781">
        <v>83856.41</v>
      </c>
      <c r="I781" t="s">
        <v>144</v>
      </c>
      <c r="J781">
        <v>-9962543847</v>
      </c>
      <c r="K781" t="s">
        <v>23</v>
      </c>
      <c r="L781" t="b">
        <v>0</v>
      </c>
    </row>
    <row r="782" spans="1:12" x14ac:dyDescent="0.35">
      <c r="A782" t="s">
        <v>1312</v>
      </c>
      <c r="B782" t="s">
        <v>32</v>
      </c>
      <c r="C782" t="s">
        <v>122</v>
      </c>
      <c r="D782">
        <v>40</v>
      </c>
      <c r="E782" t="s">
        <v>177</v>
      </c>
      <c r="F782" t="s">
        <v>33</v>
      </c>
      <c r="G782" s="1">
        <v>44907</v>
      </c>
      <c r="H782">
        <v>90259.99</v>
      </c>
      <c r="I782" t="s">
        <v>522</v>
      </c>
      <c r="J782">
        <v>-752034475</v>
      </c>
      <c r="K782" t="s">
        <v>18</v>
      </c>
      <c r="L782" t="b">
        <v>0</v>
      </c>
    </row>
    <row r="783" spans="1:12" x14ac:dyDescent="0.35">
      <c r="A783" t="s">
        <v>1313</v>
      </c>
      <c r="B783" t="s">
        <v>54</v>
      </c>
      <c r="C783" t="s">
        <v>38</v>
      </c>
      <c r="E783" t="s">
        <v>74</v>
      </c>
      <c r="F783" t="s">
        <v>28</v>
      </c>
      <c r="G783" s="1">
        <v>45324</v>
      </c>
      <c r="H783">
        <v>94230.03</v>
      </c>
      <c r="I783" t="s">
        <v>90</v>
      </c>
      <c r="J783">
        <v>-5047158028</v>
      </c>
      <c r="K783" t="s">
        <v>23</v>
      </c>
      <c r="L783" t="b">
        <v>1</v>
      </c>
    </row>
    <row r="784" spans="1:12" x14ac:dyDescent="0.35">
      <c r="A784" t="s">
        <v>1314</v>
      </c>
      <c r="B784" t="s">
        <v>54</v>
      </c>
      <c r="C784" t="s">
        <v>43</v>
      </c>
      <c r="E784" t="s">
        <v>27</v>
      </c>
      <c r="F784" t="s">
        <v>33</v>
      </c>
      <c r="G784" t="s">
        <v>1036</v>
      </c>
      <c r="H784">
        <v>50110.66</v>
      </c>
      <c r="I784" t="s">
        <v>87</v>
      </c>
      <c r="J784">
        <v>-904637659</v>
      </c>
      <c r="K784" t="s">
        <v>18</v>
      </c>
      <c r="L784" t="b">
        <v>1</v>
      </c>
    </row>
    <row r="785" spans="1:12" x14ac:dyDescent="0.35">
      <c r="A785" t="s">
        <v>1315</v>
      </c>
      <c r="B785" t="s">
        <v>13</v>
      </c>
      <c r="C785" t="s">
        <v>20</v>
      </c>
      <c r="D785">
        <v>30</v>
      </c>
      <c r="E785" t="s">
        <v>74</v>
      </c>
      <c r="F785" t="s">
        <v>33</v>
      </c>
      <c r="G785" s="1">
        <v>43894</v>
      </c>
      <c r="H785">
        <v>73365.460000000006</v>
      </c>
      <c r="I785" t="s">
        <v>22</v>
      </c>
      <c r="J785">
        <v>-4655866524</v>
      </c>
      <c r="K785" t="s">
        <v>41</v>
      </c>
      <c r="L785" t="b">
        <v>0</v>
      </c>
    </row>
    <row r="786" spans="1:12" x14ac:dyDescent="0.35">
      <c r="A786" t="s">
        <v>1316</v>
      </c>
      <c r="B786" t="s">
        <v>59</v>
      </c>
      <c r="C786" t="s">
        <v>55</v>
      </c>
      <c r="D786">
        <v>25</v>
      </c>
      <c r="E786" t="s">
        <v>56</v>
      </c>
      <c r="F786" t="s">
        <v>28</v>
      </c>
      <c r="G786" t="s">
        <v>1317</v>
      </c>
      <c r="H786">
        <v>67809.23</v>
      </c>
      <c r="I786" t="s">
        <v>217</v>
      </c>
      <c r="J786">
        <v>-4837441714</v>
      </c>
      <c r="K786" t="s">
        <v>23</v>
      </c>
      <c r="L786" t="b">
        <v>0</v>
      </c>
    </row>
    <row r="787" spans="1:12" x14ac:dyDescent="0.35">
      <c r="A787" t="s">
        <v>1318</v>
      </c>
      <c r="B787" t="s">
        <v>32</v>
      </c>
      <c r="C787" t="s">
        <v>122</v>
      </c>
      <c r="E787" t="s">
        <v>177</v>
      </c>
      <c r="F787" t="s">
        <v>16</v>
      </c>
      <c r="G787" t="s">
        <v>413</v>
      </c>
      <c r="H787">
        <v>98008.51</v>
      </c>
      <c r="I787" t="s">
        <v>522</v>
      </c>
      <c r="J787">
        <v>-8102131250</v>
      </c>
      <c r="K787" t="s">
        <v>18</v>
      </c>
      <c r="L787" t="b">
        <v>0</v>
      </c>
    </row>
    <row r="788" spans="1:12" x14ac:dyDescent="0.35">
      <c r="A788" t="s">
        <v>1319</v>
      </c>
      <c r="B788" t="s">
        <v>25</v>
      </c>
      <c r="C788" t="s">
        <v>14</v>
      </c>
      <c r="D788">
        <v>30</v>
      </c>
      <c r="E788" t="s">
        <v>118</v>
      </c>
      <c r="F788" t="s">
        <v>33</v>
      </c>
      <c r="G788" s="1">
        <v>45179</v>
      </c>
      <c r="H788">
        <v>83537.58</v>
      </c>
      <c r="I788" t="s">
        <v>163</v>
      </c>
      <c r="J788">
        <v>-2931100590</v>
      </c>
      <c r="K788" t="s">
        <v>41</v>
      </c>
      <c r="L788" t="b">
        <v>0</v>
      </c>
    </row>
    <row r="789" spans="1:12" x14ac:dyDescent="0.35">
      <c r="A789" t="s">
        <v>1320</v>
      </c>
      <c r="B789" t="s">
        <v>25</v>
      </c>
      <c r="C789" t="s">
        <v>43</v>
      </c>
      <c r="D789">
        <v>30</v>
      </c>
      <c r="E789" t="s">
        <v>227</v>
      </c>
      <c r="F789" t="s">
        <v>28</v>
      </c>
      <c r="G789" s="1">
        <v>44569</v>
      </c>
      <c r="H789">
        <v>112444.08</v>
      </c>
      <c r="I789" t="s">
        <v>45</v>
      </c>
      <c r="J789">
        <v>-2975191022</v>
      </c>
      <c r="K789" t="s">
        <v>23</v>
      </c>
      <c r="L789" t="b">
        <v>1</v>
      </c>
    </row>
    <row r="790" spans="1:12" x14ac:dyDescent="0.35">
      <c r="A790" t="s">
        <v>1321</v>
      </c>
      <c r="B790" t="s">
        <v>37</v>
      </c>
      <c r="C790" t="s">
        <v>43</v>
      </c>
      <c r="D790">
        <v>40</v>
      </c>
      <c r="E790" t="s">
        <v>100</v>
      </c>
      <c r="F790" t="s">
        <v>16</v>
      </c>
      <c r="G790" s="1">
        <v>45452</v>
      </c>
      <c r="H790">
        <v>86475.13</v>
      </c>
      <c r="I790" t="s">
        <v>180</v>
      </c>
      <c r="J790">
        <v>-1211063300</v>
      </c>
      <c r="K790" t="s">
        <v>41</v>
      </c>
      <c r="L790" t="b">
        <v>1</v>
      </c>
    </row>
    <row r="791" spans="1:12" x14ac:dyDescent="0.35">
      <c r="A791" t="s">
        <v>1322</v>
      </c>
      <c r="B791" t="s">
        <v>37</v>
      </c>
      <c r="C791" t="s">
        <v>14</v>
      </c>
      <c r="E791" t="s">
        <v>44</v>
      </c>
      <c r="F791" t="s">
        <v>16</v>
      </c>
      <c r="G791" t="s">
        <v>1323</v>
      </c>
      <c r="H791">
        <v>97984.53</v>
      </c>
      <c r="I791" t="s">
        <v>52</v>
      </c>
      <c r="J791">
        <v>-6583737926</v>
      </c>
      <c r="K791" t="s">
        <v>30</v>
      </c>
      <c r="L791" t="b">
        <v>1</v>
      </c>
    </row>
    <row r="792" spans="1:12" x14ac:dyDescent="0.35">
      <c r="A792" t="s">
        <v>1324</v>
      </c>
      <c r="B792" t="s">
        <v>37</v>
      </c>
      <c r="C792" t="s">
        <v>92</v>
      </c>
      <c r="D792">
        <v>25</v>
      </c>
      <c r="E792" t="s">
        <v>118</v>
      </c>
      <c r="F792" t="s">
        <v>16</v>
      </c>
      <c r="G792" t="s">
        <v>1325</v>
      </c>
      <c r="H792">
        <v>118853.31</v>
      </c>
      <c r="I792" t="s">
        <v>110</v>
      </c>
      <c r="J792">
        <v>-4907280122</v>
      </c>
      <c r="K792" t="s">
        <v>30</v>
      </c>
      <c r="L792" t="b">
        <v>0</v>
      </c>
    </row>
    <row r="793" spans="1:12" x14ac:dyDescent="0.35">
      <c r="A793" t="s">
        <v>1326</v>
      </c>
      <c r="B793" t="s">
        <v>54</v>
      </c>
      <c r="C793" t="s">
        <v>43</v>
      </c>
      <c r="E793" t="s">
        <v>74</v>
      </c>
      <c r="F793" t="s">
        <v>16</v>
      </c>
      <c r="G793" s="1">
        <v>44990</v>
      </c>
      <c r="H793">
        <v>58179.12</v>
      </c>
      <c r="I793" t="s">
        <v>87</v>
      </c>
      <c r="J793">
        <v>-4289311324</v>
      </c>
      <c r="K793" t="s">
        <v>23</v>
      </c>
      <c r="L793" t="b">
        <v>0</v>
      </c>
    </row>
    <row r="794" spans="1:12" x14ac:dyDescent="0.35">
      <c r="A794" t="s">
        <v>1327</v>
      </c>
      <c r="B794" t="s">
        <v>32</v>
      </c>
      <c r="C794" t="s">
        <v>26</v>
      </c>
      <c r="D794">
        <v>35</v>
      </c>
      <c r="E794" t="s">
        <v>237</v>
      </c>
      <c r="F794" t="s">
        <v>33</v>
      </c>
      <c r="G794" t="s">
        <v>1328</v>
      </c>
      <c r="H794">
        <v>56075.839999999997</v>
      </c>
      <c r="I794" t="s">
        <v>278</v>
      </c>
      <c r="J794">
        <v>-3269496842</v>
      </c>
      <c r="K794" t="s">
        <v>18</v>
      </c>
      <c r="L794" t="b">
        <v>1</v>
      </c>
    </row>
    <row r="795" spans="1:12" x14ac:dyDescent="0.35">
      <c r="A795" t="s">
        <v>1329</v>
      </c>
      <c r="B795" t="s">
        <v>37</v>
      </c>
      <c r="C795" t="s">
        <v>20</v>
      </c>
      <c r="D795">
        <v>40</v>
      </c>
      <c r="E795" t="s">
        <v>66</v>
      </c>
      <c r="F795" t="s">
        <v>28</v>
      </c>
      <c r="G795" s="1">
        <v>44509</v>
      </c>
      <c r="H795">
        <v>62250.89</v>
      </c>
      <c r="I795" t="s">
        <v>239</v>
      </c>
      <c r="J795">
        <v>-6453804420</v>
      </c>
      <c r="K795" t="s">
        <v>23</v>
      </c>
      <c r="L795" t="b">
        <v>1</v>
      </c>
    </row>
    <row r="796" spans="1:12" x14ac:dyDescent="0.35">
      <c r="A796" t="s">
        <v>1330</v>
      </c>
      <c r="B796" t="s">
        <v>25</v>
      </c>
      <c r="C796" t="s">
        <v>122</v>
      </c>
      <c r="D796">
        <v>30</v>
      </c>
      <c r="E796" t="s">
        <v>39</v>
      </c>
      <c r="F796" t="s">
        <v>28</v>
      </c>
      <c r="G796" t="s">
        <v>1291</v>
      </c>
      <c r="H796">
        <v>105931.77</v>
      </c>
      <c r="I796" t="s">
        <v>182</v>
      </c>
      <c r="J796">
        <v>-175096169</v>
      </c>
      <c r="K796" t="s">
        <v>41</v>
      </c>
      <c r="L796" t="b">
        <v>1</v>
      </c>
    </row>
    <row r="797" spans="1:12" x14ac:dyDescent="0.35">
      <c r="A797" t="s">
        <v>1331</v>
      </c>
      <c r="B797" t="s">
        <v>54</v>
      </c>
      <c r="C797" t="s">
        <v>14</v>
      </c>
      <c r="D797">
        <v>30</v>
      </c>
      <c r="E797" t="s">
        <v>212</v>
      </c>
      <c r="F797" t="s">
        <v>28</v>
      </c>
      <c r="G797" t="s">
        <v>1332</v>
      </c>
      <c r="H797">
        <v>86653.96</v>
      </c>
      <c r="I797" t="s">
        <v>170</v>
      </c>
      <c r="J797">
        <v>-1595919456</v>
      </c>
      <c r="K797" t="s">
        <v>18</v>
      </c>
      <c r="L797" t="b">
        <v>1</v>
      </c>
    </row>
    <row r="798" spans="1:12" x14ac:dyDescent="0.35">
      <c r="A798" t="s">
        <v>1333</v>
      </c>
      <c r="B798" t="s">
        <v>54</v>
      </c>
      <c r="C798" t="s">
        <v>26</v>
      </c>
      <c r="D798">
        <v>25</v>
      </c>
      <c r="E798" t="s">
        <v>219</v>
      </c>
      <c r="F798" t="s">
        <v>16</v>
      </c>
      <c r="G798" t="s">
        <v>1085</v>
      </c>
      <c r="H798">
        <v>100719.94</v>
      </c>
      <c r="I798" t="s">
        <v>120</v>
      </c>
      <c r="J798">
        <v>-5757475832</v>
      </c>
      <c r="K798" t="s">
        <v>30</v>
      </c>
      <c r="L798" t="b">
        <v>0</v>
      </c>
    </row>
    <row r="799" spans="1:12" x14ac:dyDescent="0.35">
      <c r="A799" t="s">
        <v>1334</v>
      </c>
      <c r="B799" t="s">
        <v>13</v>
      </c>
      <c r="C799" t="s">
        <v>14</v>
      </c>
      <c r="D799">
        <v>25</v>
      </c>
      <c r="E799" t="s">
        <v>139</v>
      </c>
      <c r="F799" t="s">
        <v>28</v>
      </c>
      <c r="G799" s="1">
        <v>45332</v>
      </c>
      <c r="H799">
        <v>91600.13</v>
      </c>
      <c r="I799" t="s">
        <v>17</v>
      </c>
      <c r="J799">
        <v>-9205677566</v>
      </c>
      <c r="K799" t="s">
        <v>18</v>
      </c>
      <c r="L799" t="b">
        <v>1</v>
      </c>
    </row>
    <row r="800" spans="1:12" x14ac:dyDescent="0.35">
      <c r="A800" t="s">
        <v>1335</v>
      </c>
      <c r="B800" t="s">
        <v>65</v>
      </c>
      <c r="C800" t="s">
        <v>122</v>
      </c>
      <c r="D800">
        <v>25</v>
      </c>
      <c r="E800" t="s">
        <v>95</v>
      </c>
      <c r="F800" t="s">
        <v>28</v>
      </c>
      <c r="G800" s="1">
        <v>45446</v>
      </c>
      <c r="H800">
        <v>71873.66</v>
      </c>
      <c r="I800" t="s">
        <v>367</v>
      </c>
      <c r="J800">
        <v>-7722660255</v>
      </c>
      <c r="K800" t="s">
        <v>30</v>
      </c>
      <c r="L800" t="b">
        <v>1</v>
      </c>
    </row>
    <row r="801" spans="1:12" x14ac:dyDescent="0.35">
      <c r="A801" t="s">
        <v>1336</v>
      </c>
      <c r="B801" t="s">
        <v>32</v>
      </c>
      <c r="C801" t="s">
        <v>38</v>
      </c>
      <c r="D801">
        <v>30</v>
      </c>
      <c r="E801" t="s">
        <v>66</v>
      </c>
      <c r="F801" t="s">
        <v>16</v>
      </c>
      <c r="G801" s="1">
        <v>44447</v>
      </c>
      <c r="H801">
        <v>69365.47</v>
      </c>
      <c r="I801" t="s">
        <v>141</v>
      </c>
      <c r="J801">
        <v>-2650622922</v>
      </c>
      <c r="K801" t="s">
        <v>18</v>
      </c>
      <c r="L801" t="b">
        <v>1</v>
      </c>
    </row>
    <row r="802" spans="1:12" x14ac:dyDescent="0.35">
      <c r="A802" t="s">
        <v>1337</v>
      </c>
      <c r="B802" t="s">
        <v>65</v>
      </c>
      <c r="C802" t="s">
        <v>122</v>
      </c>
      <c r="D802">
        <v>25</v>
      </c>
      <c r="E802" t="s">
        <v>66</v>
      </c>
      <c r="F802" t="s">
        <v>16</v>
      </c>
      <c r="G802" t="s">
        <v>984</v>
      </c>
      <c r="H802">
        <v>58012.23</v>
      </c>
      <c r="I802" t="s">
        <v>367</v>
      </c>
      <c r="J802">
        <v>-1067245306</v>
      </c>
      <c r="K802" t="s">
        <v>18</v>
      </c>
      <c r="L802" t="b">
        <v>1</v>
      </c>
    </row>
    <row r="803" spans="1:12" x14ac:dyDescent="0.35">
      <c r="A803" t="s">
        <v>1338</v>
      </c>
      <c r="B803" t="s">
        <v>13</v>
      </c>
      <c r="C803" t="s">
        <v>92</v>
      </c>
      <c r="D803">
        <v>30</v>
      </c>
      <c r="E803" t="s">
        <v>177</v>
      </c>
      <c r="F803" t="s">
        <v>28</v>
      </c>
      <c r="G803" t="s">
        <v>465</v>
      </c>
      <c r="H803">
        <v>68973.649999999994</v>
      </c>
      <c r="I803" t="s">
        <v>93</v>
      </c>
      <c r="J803">
        <v>-6248433796</v>
      </c>
      <c r="K803" t="s">
        <v>18</v>
      </c>
      <c r="L803" t="b">
        <v>1</v>
      </c>
    </row>
    <row r="804" spans="1:12" x14ac:dyDescent="0.35">
      <c r="A804" t="s">
        <v>1339</v>
      </c>
      <c r="B804" t="s">
        <v>32</v>
      </c>
      <c r="C804" t="s">
        <v>122</v>
      </c>
      <c r="E804" t="s">
        <v>196</v>
      </c>
      <c r="F804" t="s">
        <v>16</v>
      </c>
      <c r="G804" t="s">
        <v>885</v>
      </c>
      <c r="H804">
        <v>92928.4</v>
      </c>
      <c r="I804" t="s">
        <v>522</v>
      </c>
      <c r="J804">
        <v>-6627051156</v>
      </c>
      <c r="K804" t="s">
        <v>41</v>
      </c>
      <c r="L804" t="b">
        <v>1</v>
      </c>
    </row>
    <row r="805" spans="1:12" x14ac:dyDescent="0.35">
      <c r="A805" t="s">
        <v>1340</v>
      </c>
      <c r="B805" t="s">
        <v>65</v>
      </c>
      <c r="C805" t="s">
        <v>122</v>
      </c>
      <c r="D805">
        <v>25</v>
      </c>
      <c r="E805" t="s">
        <v>103</v>
      </c>
      <c r="F805" t="s">
        <v>33</v>
      </c>
      <c r="G805" t="s">
        <v>1341</v>
      </c>
      <c r="H805">
        <v>53531.92</v>
      </c>
      <c r="I805" t="s">
        <v>367</v>
      </c>
      <c r="J805">
        <v>-9423873669</v>
      </c>
      <c r="K805" t="s">
        <v>41</v>
      </c>
      <c r="L805" t="b">
        <v>1</v>
      </c>
    </row>
    <row r="806" spans="1:12" x14ac:dyDescent="0.35">
      <c r="A806" t="s">
        <v>1342</v>
      </c>
      <c r="B806" t="s">
        <v>13</v>
      </c>
      <c r="C806" t="s">
        <v>92</v>
      </c>
      <c r="D806">
        <v>40</v>
      </c>
      <c r="E806" t="s">
        <v>227</v>
      </c>
      <c r="F806" t="s">
        <v>28</v>
      </c>
      <c r="G806" s="1">
        <v>45051</v>
      </c>
      <c r="H806">
        <v>112389.31</v>
      </c>
      <c r="I806" t="s">
        <v>93</v>
      </c>
      <c r="J806">
        <v>-4254969191</v>
      </c>
      <c r="K806" t="s">
        <v>23</v>
      </c>
      <c r="L806" t="b">
        <v>0</v>
      </c>
    </row>
    <row r="807" spans="1:12" x14ac:dyDescent="0.35">
      <c r="A807" t="s">
        <v>1343</v>
      </c>
      <c r="B807" t="s">
        <v>65</v>
      </c>
      <c r="C807" t="s">
        <v>20</v>
      </c>
      <c r="E807" t="s">
        <v>146</v>
      </c>
      <c r="F807" t="s">
        <v>33</v>
      </c>
      <c r="G807" s="1">
        <v>45299</v>
      </c>
      <c r="H807">
        <v>63870.3</v>
      </c>
      <c r="I807" t="s">
        <v>404</v>
      </c>
      <c r="J807">
        <v>-8455259709</v>
      </c>
      <c r="K807" t="s">
        <v>23</v>
      </c>
      <c r="L807" t="b">
        <v>0</v>
      </c>
    </row>
    <row r="808" spans="1:12" x14ac:dyDescent="0.35">
      <c r="A808" t="s">
        <v>1344</v>
      </c>
      <c r="B808" t="s">
        <v>13</v>
      </c>
      <c r="C808" t="s">
        <v>43</v>
      </c>
      <c r="D808">
        <v>40</v>
      </c>
      <c r="E808" t="s">
        <v>109</v>
      </c>
      <c r="F808" t="s">
        <v>16</v>
      </c>
      <c r="G808" t="s">
        <v>1345</v>
      </c>
      <c r="H808">
        <v>106164.53</v>
      </c>
      <c r="I808" t="s">
        <v>153</v>
      </c>
      <c r="J808">
        <v>-7563353573</v>
      </c>
      <c r="K808" t="s">
        <v>30</v>
      </c>
      <c r="L808" t="b">
        <v>0</v>
      </c>
    </row>
    <row r="809" spans="1:12" x14ac:dyDescent="0.35">
      <c r="A809" t="s">
        <v>1346</v>
      </c>
      <c r="B809" t="s">
        <v>13</v>
      </c>
      <c r="C809" t="s">
        <v>122</v>
      </c>
      <c r="D809">
        <v>40</v>
      </c>
      <c r="E809" t="s">
        <v>149</v>
      </c>
      <c r="F809" t="s">
        <v>28</v>
      </c>
      <c r="G809" t="s">
        <v>719</v>
      </c>
      <c r="H809">
        <v>103654.54</v>
      </c>
      <c r="I809" t="s">
        <v>123</v>
      </c>
      <c r="J809">
        <v>-8595325938</v>
      </c>
      <c r="K809" t="s">
        <v>41</v>
      </c>
      <c r="L809" t="b">
        <v>0</v>
      </c>
    </row>
    <row r="810" spans="1:12" x14ac:dyDescent="0.35">
      <c r="A810" t="s">
        <v>1347</v>
      </c>
      <c r="B810" t="s">
        <v>59</v>
      </c>
      <c r="C810" t="s">
        <v>92</v>
      </c>
      <c r="D810">
        <v>30</v>
      </c>
      <c r="E810" t="s">
        <v>177</v>
      </c>
      <c r="F810" t="s">
        <v>33</v>
      </c>
      <c r="G810" t="s">
        <v>1348</v>
      </c>
      <c r="H810">
        <v>62834.720000000001</v>
      </c>
      <c r="I810" t="s">
        <v>107</v>
      </c>
      <c r="J810">
        <v>-9337970580</v>
      </c>
      <c r="K810" t="s">
        <v>30</v>
      </c>
      <c r="L810" t="b">
        <v>1</v>
      </c>
    </row>
    <row r="811" spans="1:12" x14ac:dyDescent="0.35">
      <c r="A811" t="s">
        <v>1349</v>
      </c>
      <c r="B811" t="s">
        <v>37</v>
      </c>
      <c r="C811" t="s">
        <v>26</v>
      </c>
      <c r="D811">
        <v>35</v>
      </c>
      <c r="E811" t="s">
        <v>112</v>
      </c>
      <c r="F811" t="s">
        <v>16</v>
      </c>
      <c r="G811" t="s">
        <v>1350</v>
      </c>
      <c r="H811">
        <v>83273.41</v>
      </c>
      <c r="I811" t="s">
        <v>47</v>
      </c>
      <c r="J811">
        <v>-6295187793</v>
      </c>
      <c r="K811" t="s">
        <v>23</v>
      </c>
      <c r="L811" t="b">
        <v>0</v>
      </c>
    </row>
    <row r="812" spans="1:12" x14ac:dyDescent="0.35">
      <c r="A812" t="s">
        <v>1351</v>
      </c>
      <c r="B812" t="s">
        <v>65</v>
      </c>
      <c r="C812" t="s">
        <v>38</v>
      </c>
      <c r="D812">
        <v>30</v>
      </c>
      <c r="E812" t="s">
        <v>146</v>
      </c>
      <c r="F812" t="s">
        <v>28</v>
      </c>
      <c r="G812" t="s">
        <v>1352</v>
      </c>
      <c r="H812">
        <v>58917.58</v>
      </c>
      <c r="I812" t="s">
        <v>67</v>
      </c>
      <c r="J812">
        <v>-1763425072</v>
      </c>
      <c r="K812" t="s">
        <v>30</v>
      </c>
      <c r="L812" t="b">
        <v>0</v>
      </c>
    </row>
    <row r="813" spans="1:12" x14ac:dyDescent="0.35">
      <c r="A813" t="s">
        <v>1353</v>
      </c>
      <c r="B813" t="s">
        <v>13</v>
      </c>
      <c r="C813" t="s">
        <v>38</v>
      </c>
      <c r="D813">
        <v>35</v>
      </c>
      <c r="E813" t="s">
        <v>219</v>
      </c>
      <c r="F813" t="s">
        <v>16</v>
      </c>
      <c r="G813" s="1">
        <v>45571</v>
      </c>
      <c r="H813">
        <v>71148.27</v>
      </c>
      <c r="I813" t="s">
        <v>144</v>
      </c>
      <c r="J813">
        <v>-3055978244</v>
      </c>
      <c r="K813" t="s">
        <v>23</v>
      </c>
      <c r="L813" t="b">
        <v>1</v>
      </c>
    </row>
    <row r="814" spans="1:12" x14ac:dyDescent="0.35">
      <c r="A814" t="s">
        <v>1354</v>
      </c>
      <c r="B814" t="s">
        <v>69</v>
      </c>
      <c r="C814" t="s">
        <v>122</v>
      </c>
      <c r="D814">
        <v>30</v>
      </c>
      <c r="E814" t="s">
        <v>109</v>
      </c>
      <c r="F814" t="s">
        <v>28</v>
      </c>
      <c r="G814" t="s">
        <v>1355</v>
      </c>
      <c r="H814">
        <v>118172.42</v>
      </c>
      <c r="I814" t="s">
        <v>135</v>
      </c>
      <c r="J814">
        <v>-7598339913</v>
      </c>
      <c r="K814" t="s">
        <v>41</v>
      </c>
      <c r="L814" t="b">
        <v>1</v>
      </c>
    </row>
    <row r="815" spans="1:12" x14ac:dyDescent="0.35">
      <c r="A815" t="s">
        <v>1356</v>
      </c>
      <c r="B815" t="s">
        <v>37</v>
      </c>
      <c r="C815" t="s">
        <v>20</v>
      </c>
      <c r="D815">
        <v>30</v>
      </c>
      <c r="E815" t="s">
        <v>78</v>
      </c>
      <c r="F815" t="s">
        <v>33</v>
      </c>
      <c r="G815" t="s">
        <v>995</v>
      </c>
      <c r="H815">
        <v>118614.37</v>
      </c>
      <c r="I815" t="s">
        <v>239</v>
      </c>
      <c r="J815">
        <v>-388436603</v>
      </c>
      <c r="K815" t="s">
        <v>18</v>
      </c>
      <c r="L815" t="b">
        <v>0</v>
      </c>
    </row>
    <row r="816" spans="1:12" x14ac:dyDescent="0.35">
      <c r="A816" t="s">
        <v>1357</v>
      </c>
      <c r="B816" t="s">
        <v>37</v>
      </c>
      <c r="C816" t="s">
        <v>20</v>
      </c>
      <c r="E816" t="s">
        <v>56</v>
      </c>
      <c r="F816" t="s">
        <v>16</v>
      </c>
      <c r="G816" t="s">
        <v>1358</v>
      </c>
      <c r="H816">
        <v>96872.36</v>
      </c>
      <c r="I816" t="s">
        <v>239</v>
      </c>
      <c r="J816">
        <v>-4324006156</v>
      </c>
      <c r="K816" t="s">
        <v>41</v>
      </c>
      <c r="L816" t="b">
        <v>0</v>
      </c>
    </row>
    <row r="817" spans="1:12" x14ac:dyDescent="0.35">
      <c r="A817" t="s">
        <v>1359</v>
      </c>
      <c r="B817" t="s">
        <v>65</v>
      </c>
      <c r="C817" t="s">
        <v>26</v>
      </c>
      <c r="D817">
        <v>25</v>
      </c>
      <c r="E817" t="s">
        <v>98</v>
      </c>
      <c r="F817" t="s">
        <v>33</v>
      </c>
      <c r="G817" t="s">
        <v>1360</v>
      </c>
      <c r="H817">
        <v>88856.14</v>
      </c>
      <c r="I817" t="s">
        <v>320</v>
      </c>
      <c r="J817">
        <v>-2768297513</v>
      </c>
      <c r="K817" t="s">
        <v>30</v>
      </c>
      <c r="L817" t="b">
        <v>1</v>
      </c>
    </row>
    <row r="818" spans="1:12" x14ac:dyDescent="0.35">
      <c r="A818" t="s">
        <v>1361</v>
      </c>
      <c r="B818" t="s">
        <v>54</v>
      </c>
      <c r="C818" t="s">
        <v>122</v>
      </c>
      <c r="D818">
        <v>35</v>
      </c>
      <c r="E818" t="s">
        <v>21</v>
      </c>
      <c r="F818" t="s">
        <v>28</v>
      </c>
      <c r="G818" s="1">
        <v>44112</v>
      </c>
      <c r="H818">
        <v>97985.61</v>
      </c>
      <c r="I818" t="s">
        <v>194</v>
      </c>
      <c r="J818">
        <v>-7439742924</v>
      </c>
      <c r="K818" t="s">
        <v>30</v>
      </c>
      <c r="L818" t="b">
        <v>0</v>
      </c>
    </row>
    <row r="819" spans="1:12" x14ac:dyDescent="0.35">
      <c r="A819" t="s">
        <v>1362</v>
      </c>
      <c r="B819" t="s">
        <v>69</v>
      </c>
      <c r="C819" t="s">
        <v>38</v>
      </c>
      <c r="D819">
        <v>35</v>
      </c>
      <c r="E819" t="s">
        <v>100</v>
      </c>
      <c r="F819" t="s">
        <v>28</v>
      </c>
      <c r="G819" s="1">
        <v>43956</v>
      </c>
      <c r="H819">
        <v>56337.31</v>
      </c>
      <c r="I819" t="s">
        <v>71</v>
      </c>
      <c r="J819">
        <v>-105875255</v>
      </c>
      <c r="K819" t="s">
        <v>41</v>
      </c>
      <c r="L819" t="b">
        <v>1</v>
      </c>
    </row>
    <row r="820" spans="1:12" x14ac:dyDescent="0.35">
      <c r="A820" t="s">
        <v>1363</v>
      </c>
      <c r="B820" t="s">
        <v>25</v>
      </c>
      <c r="C820" t="s">
        <v>20</v>
      </c>
      <c r="D820">
        <v>30</v>
      </c>
      <c r="E820" t="s">
        <v>56</v>
      </c>
      <c r="F820" t="s">
        <v>33</v>
      </c>
      <c r="G820" t="s">
        <v>1364</v>
      </c>
      <c r="H820">
        <v>70405.23</v>
      </c>
      <c r="I820" t="s">
        <v>80</v>
      </c>
      <c r="J820">
        <v>-8065625903</v>
      </c>
      <c r="K820" t="s">
        <v>41</v>
      </c>
      <c r="L820" t="b">
        <v>1</v>
      </c>
    </row>
    <row r="821" spans="1:12" x14ac:dyDescent="0.35">
      <c r="A821" t="s">
        <v>1365</v>
      </c>
      <c r="B821" t="s">
        <v>65</v>
      </c>
      <c r="C821" t="s">
        <v>122</v>
      </c>
      <c r="D821">
        <v>30</v>
      </c>
      <c r="E821" t="s">
        <v>27</v>
      </c>
      <c r="F821" t="s">
        <v>33</v>
      </c>
      <c r="G821" s="1">
        <v>44325</v>
      </c>
      <c r="H821">
        <v>89919.35</v>
      </c>
      <c r="I821" t="s">
        <v>367</v>
      </c>
      <c r="J821">
        <v>-5990802710</v>
      </c>
      <c r="K821" t="s">
        <v>23</v>
      </c>
      <c r="L821" t="b">
        <v>1</v>
      </c>
    </row>
    <row r="822" spans="1:12" x14ac:dyDescent="0.35">
      <c r="A822" t="s">
        <v>1366</v>
      </c>
      <c r="B822" t="s">
        <v>32</v>
      </c>
      <c r="C822" t="s">
        <v>14</v>
      </c>
      <c r="D822">
        <v>40</v>
      </c>
      <c r="E822" t="s">
        <v>15</v>
      </c>
      <c r="F822" t="s">
        <v>16</v>
      </c>
      <c r="G822" s="1">
        <v>45142</v>
      </c>
      <c r="H822">
        <v>50568.35</v>
      </c>
      <c r="I822" t="s">
        <v>35</v>
      </c>
      <c r="J822">
        <v>-2218231554</v>
      </c>
      <c r="K822" t="s">
        <v>30</v>
      </c>
      <c r="L822" t="b">
        <v>1</v>
      </c>
    </row>
    <row r="823" spans="1:12" x14ac:dyDescent="0.35">
      <c r="A823" t="s">
        <v>1367</v>
      </c>
      <c r="B823" t="s">
        <v>69</v>
      </c>
      <c r="C823" t="s">
        <v>20</v>
      </c>
      <c r="D823">
        <v>30</v>
      </c>
      <c r="E823" t="s">
        <v>139</v>
      </c>
      <c r="F823" t="s">
        <v>33</v>
      </c>
      <c r="G823" t="s">
        <v>1368</v>
      </c>
      <c r="H823" t="s">
        <v>277</v>
      </c>
      <c r="I823" t="s">
        <v>201</v>
      </c>
      <c r="J823">
        <v>-1651768085</v>
      </c>
      <c r="K823" t="s">
        <v>30</v>
      </c>
      <c r="L823" t="b">
        <v>0</v>
      </c>
    </row>
    <row r="824" spans="1:12" x14ac:dyDescent="0.35">
      <c r="A824" t="s">
        <v>1369</v>
      </c>
      <c r="B824" t="s">
        <v>37</v>
      </c>
      <c r="C824" t="s">
        <v>92</v>
      </c>
      <c r="D824">
        <v>25</v>
      </c>
      <c r="E824" t="s">
        <v>139</v>
      </c>
      <c r="F824" t="s">
        <v>16</v>
      </c>
      <c r="G824" s="1">
        <v>44626</v>
      </c>
      <c r="H824">
        <v>99155.53</v>
      </c>
      <c r="I824" t="s">
        <v>110</v>
      </c>
      <c r="J824">
        <v>-6281372142</v>
      </c>
      <c r="K824" t="s">
        <v>41</v>
      </c>
      <c r="L824" t="b">
        <v>1</v>
      </c>
    </row>
    <row r="825" spans="1:12" x14ac:dyDescent="0.35">
      <c r="A825" t="s">
        <v>1370</v>
      </c>
      <c r="B825" t="s">
        <v>37</v>
      </c>
      <c r="C825" t="s">
        <v>14</v>
      </c>
      <c r="D825">
        <v>40</v>
      </c>
      <c r="E825" t="s">
        <v>112</v>
      </c>
      <c r="F825" t="s">
        <v>33</v>
      </c>
      <c r="G825" t="s">
        <v>1371</v>
      </c>
      <c r="H825">
        <v>64785.13</v>
      </c>
      <c r="I825" t="s">
        <v>52</v>
      </c>
      <c r="J825">
        <v>-3080037002</v>
      </c>
      <c r="K825" t="s">
        <v>18</v>
      </c>
      <c r="L825" t="b">
        <v>1</v>
      </c>
    </row>
    <row r="826" spans="1:12" x14ac:dyDescent="0.35">
      <c r="A826" t="s">
        <v>1372</v>
      </c>
      <c r="B826" t="s">
        <v>54</v>
      </c>
      <c r="C826" t="s">
        <v>43</v>
      </c>
      <c r="D826">
        <v>30</v>
      </c>
      <c r="E826" t="s">
        <v>74</v>
      </c>
      <c r="F826" t="s">
        <v>33</v>
      </c>
      <c r="G826" t="s">
        <v>210</v>
      </c>
      <c r="H826">
        <v>79206.48</v>
      </c>
      <c r="I826" t="s">
        <v>87</v>
      </c>
      <c r="J826">
        <v>-3228556607</v>
      </c>
      <c r="K826" t="s">
        <v>30</v>
      </c>
      <c r="L826" t="b">
        <v>0</v>
      </c>
    </row>
    <row r="827" spans="1:12" x14ac:dyDescent="0.35">
      <c r="A827" t="s">
        <v>1373</v>
      </c>
      <c r="B827" t="s">
        <v>54</v>
      </c>
      <c r="C827" t="s">
        <v>20</v>
      </c>
      <c r="D827">
        <v>30</v>
      </c>
      <c r="E827" t="s">
        <v>159</v>
      </c>
      <c r="F827" t="s">
        <v>28</v>
      </c>
      <c r="G827" s="1">
        <v>43863</v>
      </c>
      <c r="H827">
        <v>60079.71</v>
      </c>
      <c r="I827" t="s">
        <v>125</v>
      </c>
      <c r="J827">
        <v>-4706810389</v>
      </c>
      <c r="K827" t="s">
        <v>18</v>
      </c>
      <c r="L827" t="b">
        <v>1</v>
      </c>
    </row>
    <row r="828" spans="1:12" x14ac:dyDescent="0.35">
      <c r="A828" t="s">
        <v>1374</v>
      </c>
      <c r="B828" t="s">
        <v>69</v>
      </c>
      <c r="C828" t="s">
        <v>38</v>
      </c>
      <c r="D828">
        <v>30</v>
      </c>
      <c r="E828" t="s">
        <v>60</v>
      </c>
      <c r="F828" t="s">
        <v>28</v>
      </c>
      <c r="G828" s="1">
        <v>45511</v>
      </c>
      <c r="H828">
        <v>79109.88</v>
      </c>
      <c r="I828" t="s">
        <v>71</v>
      </c>
      <c r="J828">
        <v>-3397051957</v>
      </c>
      <c r="K828" t="s">
        <v>41</v>
      </c>
      <c r="L828" t="b">
        <v>0</v>
      </c>
    </row>
    <row r="829" spans="1:12" x14ac:dyDescent="0.35">
      <c r="A829" t="s">
        <v>1375</v>
      </c>
      <c r="B829" t="s">
        <v>69</v>
      </c>
      <c r="C829" t="s">
        <v>55</v>
      </c>
      <c r="E829" t="s">
        <v>205</v>
      </c>
      <c r="F829" t="s">
        <v>28</v>
      </c>
      <c r="G829" t="s">
        <v>1376</v>
      </c>
      <c r="H829">
        <v>88643.5</v>
      </c>
      <c r="I829" t="s">
        <v>127</v>
      </c>
      <c r="J829">
        <v>-2632809447</v>
      </c>
      <c r="K829" t="s">
        <v>41</v>
      </c>
      <c r="L829" t="b">
        <v>0</v>
      </c>
    </row>
    <row r="830" spans="1:12" x14ac:dyDescent="0.35">
      <c r="A830" t="s">
        <v>1377</v>
      </c>
      <c r="B830" t="s">
        <v>37</v>
      </c>
      <c r="C830" t="s">
        <v>14</v>
      </c>
      <c r="D830">
        <v>30</v>
      </c>
      <c r="E830" t="s">
        <v>205</v>
      </c>
      <c r="F830" t="s">
        <v>28</v>
      </c>
      <c r="G830" t="s">
        <v>1378</v>
      </c>
      <c r="H830">
        <v>90455.7</v>
      </c>
      <c r="I830" t="s">
        <v>52</v>
      </c>
      <c r="J830">
        <v>-5862394534</v>
      </c>
      <c r="K830" t="s">
        <v>23</v>
      </c>
      <c r="L830" t="b">
        <v>0</v>
      </c>
    </row>
    <row r="831" spans="1:12" x14ac:dyDescent="0.35">
      <c r="A831" t="s">
        <v>1379</v>
      </c>
      <c r="B831" t="s">
        <v>59</v>
      </c>
      <c r="C831" t="s">
        <v>43</v>
      </c>
      <c r="E831" t="s">
        <v>212</v>
      </c>
      <c r="F831" t="s">
        <v>28</v>
      </c>
      <c r="G831" t="s">
        <v>1380</v>
      </c>
      <c r="H831">
        <v>75687.899999999994</v>
      </c>
      <c r="I831" t="s">
        <v>101</v>
      </c>
      <c r="J831">
        <v>-4614707985</v>
      </c>
      <c r="K831" t="s">
        <v>30</v>
      </c>
      <c r="L831" t="b">
        <v>1</v>
      </c>
    </row>
    <row r="832" spans="1:12" x14ac:dyDescent="0.35">
      <c r="A832" t="s">
        <v>1381</v>
      </c>
      <c r="B832" t="s">
        <v>65</v>
      </c>
      <c r="C832" t="s">
        <v>26</v>
      </c>
      <c r="D832">
        <v>35</v>
      </c>
      <c r="E832" t="s">
        <v>95</v>
      </c>
      <c r="F832" t="s">
        <v>33</v>
      </c>
      <c r="G832" t="s">
        <v>266</v>
      </c>
      <c r="H832">
        <v>55604.42</v>
      </c>
      <c r="I832" t="s">
        <v>320</v>
      </c>
      <c r="J832">
        <v>-3210613393</v>
      </c>
      <c r="K832" t="s">
        <v>18</v>
      </c>
      <c r="L832" t="b">
        <v>0</v>
      </c>
    </row>
    <row r="833" spans="1:12" x14ac:dyDescent="0.35">
      <c r="A833" t="s">
        <v>1382</v>
      </c>
      <c r="B833" t="s">
        <v>32</v>
      </c>
      <c r="C833" t="s">
        <v>26</v>
      </c>
      <c r="D833">
        <v>40</v>
      </c>
      <c r="E833" t="s">
        <v>44</v>
      </c>
      <c r="F833" t="s">
        <v>28</v>
      </c>
      <c r="G833" t="s">
        <v>1206</v>
      </c>
      <c r="H833">
        <v>92704.94</v>
      </c>
      <c r="I833" t="s">
        <v>278</v>
      </c>
      <c r="J833">
        <v>-3945703942</v>
      </c>
      <c r="K833" t="s">
        <v>23</v>
      </c>
      <c r="L833" t="b">
        <v>0</v>
      </c>
    </row>
    <row r="834" spans="1:12" x14ac:dyDescent="0.35">
      <c r="A834" t="s">
        <v>1383</v>
      </c>
      <c r="B834" t="s">
        <v>13</v>
      </c>
      <c r="C834" t="s">
        <v>38</v>
      </c>
      <c r="E834" t="s">
        <v>177</v>
      </c>
      <c r="F834" t="s">
        <v>28</v>
      </c>
      <c r="G834" t="s">
        <v>1250</v>
      </c>
      <c r="H834">
        <v>113250.97</v>
      </c>
      <c r="I834" t="s">
        <v>144</v>
      </c>
      <c r="J834">
        <v>-8040325375</v>
      </c>
      <c r="K834" t="s">
        <v>30</v>
      </c>
      <c r="L834" t="b">
        <v>1</v>
      </c>
    </row>
    <row r="835" spans="1:12" x14ac:dyDescent="0.35">
      <c r="A835" t="s">
        <v>1384</v>
      </c>
      <c r="B835" t="s">
        <v>25</v>
      </c>
      <c r="C835" t="s">
        <v>20</v>
      </c>
      <c r="D835">
        <v>40</v>
      </c>
      <c r="E835" t="s">
        <v>265</v>
      </c>
      <c r="F835" t="s">
        <v>33</v>
      </c>
      <c r="G835" t="s">
        <v>1385</v>
      </c>
      <c r="H835">
        <v>101367.02</v>
      </c>
      <c r="I835" t="s">
        <v>80</v>
      </c>
      <c r="J835">
        <v>-5769277893</v>
      </c>
      <c r="K835" t="s">
        <v>23</v>
      </c>
      <c r="L835" t="b">
        <v>0</v>
      </c>
    </row>
    <row r="836" spans="1:12" x14ac:dyDescent="0.35">
      <c r="A836" t="s">
        <v>1386</v>
      </c>
      <c r="B836" t="s">
        <v>32</v>
      </c>
      <c r="C836" t="s">
        <v>122</v>
      </c>
      <c r="D836">
        <v>35</v>
      </c>
      <c r="E836" t="s">
        <v>103</v>
      </c>
      <c r="F836" t="s">
        <v>28</v>
      </c>
      <c r="G836" s="1">
        <v>45143</v>
      </c>
      <c r="H836">
        <v>102459.77</v>
      </c>
      <c r="I836" t="s">
        <v>522</v>
      </c>
      <c r="J836">
        <v>-3191009003</v>
      </c>
      <c r="K836" t="s">
        <v>41</v>
      </c>
      <c r="L836" t="b">
        <v>0</v>
      </c>
    </row>
    <row r="837" spans="1:12" x14ac:dyDescent="0.35">
      <c r="A837" t="s">
        <v>1387</v>
      </c>
      <c r="B837" t="s">
        <v>32</v>
      </c>
      <c r="C837" t="s">
        <v>20</v>
      </c>
      <c r="D837">
        <v>25</v>
      </c>
      <c r="E837" t="s">
        <v>230</v>
      </c>
      <c r="F837" t="s">
        <v>28</v>
      </c>
      <c r="G837" s="1">
        <v>44177</v>
      </c>
      <c r="H837">
        <v>90100.2</v>
      </c>
      <c r="I837" t="s">
        <v>155</v>
      </c>
      <c r="J837">
        <v>-476921052</v>
      </c>
      <c r="K837" t="s">
        <v>30</v>
      </c>
      <c r="L837" t="b">
        <v>0</v>
      </c>
    </row>
    <row r="838" spans="1:12" x14ac:dyDescent="0.35">
      <c r="A838" t="s">
        <v>1388</v>
      </c>
      <c r="B838" t="s">
        <v>32</v>
      </c>
      <c r="C838" t="s">
        <v>38</v>
      </c>
      <c r="E838" t="s">
        <v>268</v>
      </c>
      <c r="F838" t="s">
        <v>33</v>
      </c>
      <c r="G838" t="s">
        <v>1389</v>
      </c>
      <c r="H838">
        <v>58877.49</v>
      </c>
      <c r="I838" t="s">
        <v>141</v>
      </c>
      <c r="J838">
        <v>-3651460400</v>
      </c>
      <c r="K838" t="s">
        <v>23</v>
      </c>
      <c r="L838" t="b">
        <v>0</v>
      </c>
    </row>
    <row r="839" spans="1:12" x14ac:dyDescent="0.35">
      <c r="A839" t="s">
        <v>1390</v>
      </c>
      <c r="B839" t="s">
        <v>32</v>
      </c>
      <c r="C839" t="s">
        <v>26</v>
      </c>
      <c r="D839">
        <v>35</v>
      </c>
      <c r="E839" t="s">
        <v>89</v>
      </c>
      <c r="F839" t="s">
        <v>33</v>
      </c>
      <c r="G839" t="s">
        <v>1391</v>
      </c>
      <c r="H839" t="s">
        <v>277</v>
      </c>
      <c r="I839" t="s">
        <v>278</v>
      </c>
      <c r="J839">
        <v>-4247310719</v>
      </c>
      <c r="K839" t="s">
        <v>23</v>
      </c>
      <c r="L839" t="b">
        <v>0</v>
      </c>
    </row>
    <row r="840" spans="1:12" x14ac:dyDescent="0.35">
      <c r="A840" t="s">
        <v>1392</v>
      </c>
      <c r="B840" t="s">
        <v>13</v>
      </c>
      <c r="C840" t="s">
        <v>20</v>
      </c>
      <c r="E840" t="s">
        <v>89</v>
      </c>
      <c r="F840" t="s">
        <v>28</v>
      </c>
      <c r="G840" s="1">
        <v>43962</v>
      </c>
      <c r="H840">
        <v>96140.89</v>
      </c>
      <c r="I840" t="s">
        <v>22</v>
      </c>
      <c r="J840">
        <v>-1137984408</v>
      </c>
      <c r="K840" t="s">
        <v>18</v>
      </c>
      <c r="L840" t="b">
        <v>1</v>
      </c>
    </row>
    <row r="841" spans="1:12" x14ac:dyDescent="0.35">
      <c r="A841" t="s">
        <v>1393</v>
      </c>
      <c r="B841" t="s">
        <v>54</v>
      </c>
      <c r="C841" t="s">
        <v>26</v>
      </c>
      <c r="D841">
        <v>35</v>
      </c>
      <c r="E841" t="s">
        <v>56</v>
      </c>
      <c r="F841" t="s">
        <v>33</v>
      </c>
      <c r="G841" s="1">
        <v>44317</v>
      </c>
      <c r="H841">
        <v>105956.04</v>
      </c>
      <c r="I841" t="s">
        <v>120</v>
      </c>
      <c r="J841">
        <v>-7123166006</v>
      </c>
      <c r="K841" t="s">
        <v>23</v>
      </c>
      <c r="L841" t="b">
        <v>0</v>
      </c>
    </row>
    <row r="842" spans="1:12" x14ac:dyDescent="0.35">
      <c r="A842" t="s">
        <v>1394</v>
      </c>
      <c r="B842" t="s">
        <v>37</v>
      </c>
      <c r="C842" t="s">
        <v>14</v>
      </c>
      <c r="D842">
        <v>25</v>
      </c>
      <c r="E842" t="s">
        <v>89</v>
      </c>
      <c r="F842" t="s">
        <v>16</v>
      </c>
      <c r="G842" s="1">
        <v>45605</v>
      </c>
      <c r="H842">
        <v>84716.38</v>
      </c>
      <c r="I842" t="s">
        <v>52</v>
      </c>
      <c r="J842">
        <v>-6762090143</v>
      </c>
      <c r="K842" t="s">
        <v>30</v>
      </c>
      <c r="L842" t="b">
        <v>0</v>
      </c>
    </row>
    <row r="843" spans="1:12" x14ac:dyDescent="0.35">
      <c r="A843" t="s">
        <v>1395</v>
      </c>
      <c r="B843" t="s">
        <v>69</v>
      </c>
      <c r="C843" t="s">
        <v>43</v>
      </c>
      <c r="D843">
        <v>30</v>
      </c>
      <c r="E843" t="s">
        <v>230</v>
      </c>
      <c r="F843" t="s">
        <v>28</v>
      </c>
      <c r="G843" t="s">
        <v>793</v>
      </c>
      <c r="H843">
        <v>61709.83</v>
      </c>
      <c r="I843" t="s">
        <v>83</v>
      </c>
      <c r="J843">
        <v>-7340433699</v>
      </c>
      <c r="K843" t="s">
        <v>30</v>
      </c>
      <c r="L843" t="b">
        <v>1</v>
      </c>
    </row>
    <row r="844" spans="1:12" x14ac:dyDescent="0.35">
      <c r="A844" t="s">
        <v>1396</v>
      </c>
      <c r="B844" t="s">
        <v>37</v>
      </c>
      <c r="C844" t="s">
        <v>122</v>
      </c>
      <c r="D844">
        <v>25</v>
      </c>
      <c r="E844" t="s">
        <v>15</v>
      </c>
      <c r="F844" t="s">
        <v>16</v>
      </c>
      <c r="G844" t="s">
        <v>1397</v>
      </c>
      <c r="H844">
        <v>61732.03</v>
      </c>
      <c r="I844" t="s">
        <v>137</v>
      </c>
      <c r="J844">
        <v>-9687304518</v>
      </c>
      <c r="K844" t="s">
        <v>18</v>
      </c>
      <c r="L844" t="b">
        <v>1</v>
      </c>
    </row>
    <row r="845" spans="1:12" x14ac:dyDescent="0.35">
      <c r="A845" t="s">
        <v>1398</v>
      </c>
      <c r="B845" t="s">
        <v>32</v>
      </c>
      <c r="C845" t="s">
        <v>14</v>
      </c>
      <c r="D845">
        <v>40</v>
      </c>
      <c r="E845" t="s">
        <v>78</v>
      </c>
      <c r="F845" t="s">
        <v>16</v>
      </c>
      <c r="G845" t="s">
        <v>1399</v>
      </c>
      <c r="H845">
        <v>97845.7</v>
      </c>
      <c r="I845" t="s">
        <v>35</v>
      </c>
      <c r="J845">
        <v>-5778255881</v>
      </c>
      <c r="K845" t="s">
        <v>30</v>
      </c>
      <c r="L845" t="b">
        <v>1</v>
      </c>
    </row>
    <row r="846" spans="1:12" x14ac:dyDescent="0.35">
      <c r="A846" t="s">
        <v>1400</v>
      </c>
      <c r="B846" t="s">
        <v>32</v>
      </c>
      <c r="C846" t="s">
        <v>26</v>
      </c>
      <c r="D846">
        <v>30</v>
      </c>
      <c r="E846" t="s">
        <v>74</v>
      </c>
      <c r="F846" t="s">
        <v>16</v>
      </c>
      <c r="G846" t="s">
        <v>1401</v>
      </c>
      <c r="H846">
        <v>114905.58</v>
      </c>
      <c r="I846" t="s">
        <v>278</v>
      </c>
      <c r="J846">
        <v>-5562965753</v>
      </c>
      <c r="K846" t="s">
        <v>41</v>
      </c>
      <c r="L846" t="b">
        <v>0</v>
      </c>
    </row>
    <row r="847" spans="1:12" x14ac:dyDescent="0.35">
      <c r="A847" t="s">
        <v>1402</v>
      </c>
      <c r="B847" t="s">
        <v>37</v>
      </c>
      <c r="C847" t="s">
        <v>26</v>
      </c>
      <c r="E847" t="s">
        <v>237</v>
      </c>
      <c r="F847" t="s">
        <v>16</v>
      </c>
      <c r="G847" t="s">
        <v>1364</v>
      </c>
      <c r="H847">
        <v>94619.69</v>
      </c>
      <c r="I847" t="s">
        <v>47</v>
      </c>
      <c r="J847">
        <v>-2786561941</v>
      </c>
      <c r="K847" t="s">
        <v>30</v>
      </c>
      <c r="L847" t="b">
        <v>1</v>
      </c>
    </row>
    <row r="848" spans="1:12" x14ac:dyDescent="0.35">
      <c r="A848" t="s">
        <v>1403</v>
      </c>
      <c r="B848" t="s">
        <v>69</v>
      </c>
      <c r="C848" t="s">
        <v>55</v>
      </c>
      <c r="E848" t="s">
        <v>15</v>
      </c>
      <c r="F848" t="s">
        <v>33</v>
      </c>
      <c r="G848" s="1">
        <v>44384</v>
      </c>
      <c r="H848">
        <v>68696.149999999994</v>
      </c>
      <c r="I848" t="s">
        <v>127</v>
      </c>
      <c r="J848">
        <v>-5577820581</v>
      </c>
      <c r="K848" t="s">
        <v>30</v>
      </c>
      <c r="L848" t="b">
        <v>0</v>
      </c>
    </row>
    <row r="849" spans="1:12" x14ac:dyDescent="0.35">
      <c r="A849" t="s">
        <v>1404</v>
      </c>
      <c r="B849" t="s">
        <v>69</v>
      </c>
      <c r="C849" t="s">
        <v>55</v>
      </c>
      <c r="D849">
        <v>40</v>
      </c>
      <c r="E849" t="s">
        <v>329</v>
      </c>
      <c r="F849" t="s">
        <v>16</v>
      </c>
      <c r="G849" s="1">
        <v>45628</v>
      </c>
      <c r="H849">
        <v>97032.29</v>
      </c>
      <c r="I849" t="s">
        <v>127</v>
      </c>
      <c r="J849">
        <v>-9582923615</v>
      </c>
      <c r="K849" t="s">
        <v>23</v>
      </c>
      <c r="L849" t="b">
        <v>0</v>
      </c>
    </row>
    <row r="850" spans="1:12" x14ac:dyDescent="0.35">
      <c r="A850" t="s">
        <v>1405</v>
      </c>
      <c r="B850" t="s">
        <v>37</v>
      </c>
      <c r="C850" t="s">
        <v>14</v>
      </c>
      <c r="D850">
        <v>30</v>
      </c>
      <c r="E850" t="s">
        <v>192</v>
      </c>
      <c r="F850" t="s">
        <v>16</v>
      </c>
      <c r="G850" s="1">
        <v>45179</v>
      </c>
      <c r="H850">
        <v>50593.33</v>
      </c>
      <c r="I850" t="s">
        <v>52</v>
      </c>
      <c r="J850">
        <v>-1880819047</v>
      </c>
      <c r="K850" t="s">
        <v>23</v>
      </c>
      <c r="L850" t="b">
        <v>1</v>
      </c>
    </row>
    <row r="851" spans="1:12" x14ac:dyDescent="0.35">
      <c r="A851" t="s">
        <v>1406</v>
      </c>
      <c r="B851" t="s">
        <v>69</v>
      </c>
      <c r="C851" t="s">
        <v>92</v>
      </c>
      <c r="D851">
        <v>25</v>
      </c>
      <c r="E851" t="s">
        <v>44</v>
      </c>
      <c r="F851" t="s">
        <v>28</v>
      </c>
      <c r="G851" s="1">
        <v>44599</v>
      </c>
      <c r="H851">
        <v>74606.149999999994</v>
      </c>
      <c r="I851" t="s">
        <v>168</v>
      </c>
      <c r="J851">
        <v>-2357155867</v>
      </c>
      <c r="K851" t="s">
        <v>30</v>
      </c>
      <c r="L851" t="b">
        <v>1</v>
      </c>
    </row>
    <row r="852" spans="1:12" x14ac:dyDescent="0.35">
      <c r="A852" t="s">
        <v>1407</v>
      </c>
      <c r="B852" t="s">
        <v>32</v>
      </c>
      <c r="C852" t="s">
        <v>14</v>
      </c>
      <c r="D852">
        <v>30</v>
      </c>
      <c r="E852" t="s">
        <v>159</v>
      </c>
      <c r="F852" t="s">
        <v>28</v>
      </c>
      <c r="G852" s="1">
        <v>44019</v>
      </c>
      <c r="H852">
        <v>53981.73</v>
      </c>
      <c r="I852" t="s">
        <v>35</v>
      </c>
      <c r="J852">
        <v>-6395613722</v>
      </c>
      <c r="K852" t="s">
        <v>18</v>
      </c>
      <c r="L852" t="b">
        <v>0</v>
      </c>
    </row>
    <row r="853" spans="1:12" x14ac:dyDescent="0.35">
      <c r="A853" t="s">
        <v>1408</v>
      </c>
      <c r="B853" t="s">
        <v>59</v>
      </c>
      <c r="C853" t="s">
        <v>55</v>
      </c>
      <c r="E853" t="s">
        <v>237</v>
      </c>
      <c r="F853" t="s">
        <v>28</v>
      </c>
      <c r="G853" s="1">
        <v>43870</v>
      </c>
      <c r="H853">
        <v>56047.05</v>
      </c>
      <c r="I853" t="s">
        <v>217</v>
      </c>
      <c r="J853">
        <v>-817214363</v>
      </c>
      <c r="K853" t="s">
        <v>23</v>
      </c>
      <c r="L853" t="b">
        <v>1</v>
      </c>
    </row>
    <row r="854" spans="1:12" x14ac:dyDescent="0.35">
      <c r="A854" t="s">
        <v>1409</v>
      </c>
      <c r="B854" t="s">
        <v>69</v>
      </c>
      <c r="C854" t="s">
        <v>26</v>
      </c>
      <c r="E854" t="s">
        <v>103</v>
      </c>
      <c r="F854" t="s">
        <v>28</v>
      </c>
      <c r="G854" s="1">
        <v>44531</v>
      </c>
      <c r="H854">
        <v>67733.5</v>
      </c>
      <c r="I854" t="s">
        <v>76</v>
      </c>
      <c r="J854">
        <v>-3813000412</v>
      </c>
      <c r="K854" t="s">
        <v>18</v>
      </c>
      <c r="L854" t="b">
        <v>0</v>
      </c>
    </row>
    <row r="855" spans="1:12" x14ac:dyDescent="0.35">
      <c r="A855" t="s">
        <v>1410</v>
      </c>
      <c r="B855" t="s">
        <v>13</v>
      </c>
      <c r="C855" t="s">
        <v>38</v>
      </c>
      <c r="D855">
        <v>40</v>
      </c>
      <c r="E855" t="s">
        <v>212</v>
      </c>
      <c r="F855" t="s">
        <v>28</v>
      </c>
      <c r="G855" t="s">
        <v>592</v>
      </c>
      <c r="H855">
        <v>103891.64</v>
      </c>
      <c r="I855" t="s">
        <v>144</v>
      </c>
      <c r="J855">
        <v>-2114716559</v>
      </c>
      <c r="K855" t="s">
        <v>30</v>
      </c>
      <c r="L855" t="b">
        <v>1</v>
      </c>
    </row>
    <row r="856" spans="1:12" x14ac:dyDescent="0.35">
      <c r="A856" t="s">
        <v>1411</v>
      </c>
      <c r="B856" t="s">
        <v>54</v>
      </c>
      <c r="C856" t="s">
        <v>14</v>
      </c>
      <c r="D856">
        <v>25</v>
      </c>
      <c r="E856" t="s">
        <v>139</v>
      </c>
      <c r="F856" t="s">
        <v>33</v>
      </c>
      <c r="G856" s="1">
        <v>44715</v>
      </c>
      <c r="H856">
        <v>73285.83</v>
      </c>
      <c r="I856" t="s">
        <v>170</v>
      </c>
      <c r="J856">
        <v>-9456534698</v>
      </c>
      <c r="K856" t="s">
        <v>30</v>
      </c>
      <c r="L856" t="b">
        <v>1</v>
      </c>
    </row>
    <row r="857" spans="1:12" x14ac:dyDescent="0.35">
      <c r="A857" t="s">
        <v>1412</v>
      </c>
      <c r="B857" t="s">
        <v>32</v>
      </c>
      <c r="C857" t="s">
        <v>26</v>
      </c>
      <c r="D857">
        <v>30</v>
      </c>
      <c r="E857" t="s">
        <v>21</v>
      </c>
      <c r="F857" t="s">
        <v>33</v>
      </c>
      <c r="G857" t="s">
        <v>1413</v>
      </c>
      <c r="H857">
        <v>92721.13</v>
      </c>
      <c r="I857" t="s">
        <v>278</v>
      </c>
      <c r="J857">
        <v>-7990707549</v>
      </c>
      <c r="K857" t="s">
        <v>41</v>
      </c>
      <c r="L857" t="b">
        <v>1</v>
      </c>
    </row>
    <row r="858" spans="1:12" x14ac:dyDescent="0.35">
      <c r="A858" t="s">
        <v>1414</v>
      </c>
      <c r="B858" t="s">
        <v>65</v>
      </c>
      <c r="C858" t="s">
        <v>38</v>
      </c>
      <c r="D858">
        <v>25</v>
      </c>
      <c r="E858" t="s">
        <v>89</v>
      </c>
      <c r="F858" t="s">
        <v>33</v>
      </c>
      <c r="G858" t="s">
        <v>649</v>
      </c>
      <c r="H858">
        <v>92977.64</v>
      </c>
      <c r="I858" t="s">
        <v>67</v>
      </c>
      <c r="J858">
        <v>-4768169956</v>
      </c>
      <c r="K858" t="s">
        <v>23</v>
      </c>
      <c r="L858" t="b">
        <v>0</v>
      </c>
    </row>
    <row r="859" spans="1:12" x14ac:dyDescent="0.35">
      <c r="A859" t="s">
        <v>1415</v>
      </c>
      <c r="B859" t="s">
        <v>65</v>
      </c>
      <c r="C859" t="s">
        <v>38</v>
      </c>
      <c r="D859">
        <v>35</v>
      </c>
      <c r="E859" t="s">
        <v>159</v>
      </c>
      <c r="F859" t="s">
        <v>16</v>
      </c>
      <c r="G859" t="s">
        <v>1416</v>
      </c>
      <c r="H859">
        <v>89994.12</v>
      </c>
      <c r="I859" t="s">
        <v>67</v>
      </c>
      <c r="J859">
        <v>-607174810</v>
      </c>
      <c r="K859" t="s">
        <v>30</v>
      </c>
      <c r="L859" t="b">
        <v>1</v>
      </c>
    </row>
    <row r="860" spans="1:12" x14ac:dyDescent="0.35">
      <c r="A860" t="s">
        <v>1417</v>
      </c>
      <c r="B860" t="s">
        <v>65</v>
      </c>
      <c r="C860" t="s">
        <v>55</v>
      </c>
      <c r="D860">
        <v>25</v>
      </c>
      <c r="E860" t="s">
        <v>227</v>
      </c>
      <c r="F860" t="s">
        <v>28</v>
      </c>
      <c r="G860" s="1">
        <v>45024</v>
      </c>
      <c r="H860">
        <v>50060.73</v>
      </c>
      <c r="I860" t="s">
        <v>113</v>
      </c>
      <c r="J860">
        <v>-3176539704</v>
      </c>
      <c r="K860" t="s">
        <v>41</v>
      </c>
      <c r="L860" t="b">
        <v>0</v>
      </c>
    </row>
    <row r="861" spans="1:12" x14ac:dyDescent="0.35">
      <c r="A861" t="s">
        <v>1418</v>
      </c>
      <c r="B861" t="s">
        <v>69</v>
      </c>
      <c r="C861" t="s">
        <v>14</v>
      </c>
      <c r="D861">
        <v>35</v>
      </c>
      <c r="E861" t="s">
        <v>27</v>
      </c>
      <c r="F861" t="s">
        <v>33</v>
      </c>
      <c r="G861" s="1">
        <v>44898</v>
      </c>
      <c r="H861">
        <v>90224.82</v>
      </c>
      <c r="I861" t="s">
        <v>235</v>
      </c>
      <c r="J861">
        <v>-4873961028</v>
      </c>
      <c r="K861" t="s">
        <v>23</v>
      </c>
      <c r="L861" t="b">
        <v>0</v>
      </c>
    </row>
    <row r="862" spans="1:12" x14ac:dyDescent="0.35">
      <c r="A862" t="s">
        <v>1419</v>
      </c>
      <c r="B862" t="s">
        <v>65</v>
      </c>
      <c r="C862" t="s">
        <v>20</v>
      </c>
      <c r="D862">
        <v>40</v>
      </c>
      <c r="E862" t="s">
        <v>112</v>
      </c>
      <c r="F862" t="s">
        <v>28</v>
      </c>
      <c r="G862" t="s">
        <v>1420</v>
      </c>
      <c r="H862">
        <v>106859.3</v>
      </c>
      <c r="I862" t="s">
        <v>404</v>
      </c>
      <c r="J862">
        <v>-871827495</v>
      </c>
      <c r="K862" t="s">
        <v>30</v>
      </c>
      <c r="L862" t="b">
        <v>0</v>
      </c>
    </row>
    <row r="863" spans="1:12" x14ac:dyDescent="0.35">
      <c r="A863" t="s">
        <v>1421</v>
      </c>
      <c r="B863" t="s">
        <v>59</v>
      </c>
      <c r="C863" t="s">
        <v>122</v>
      </c>
      <c r="D863">
        <v>25</v>
      </c>
      <c r="E863" t="s">
        <v>100</v>
      </c>
      <c r="F863" t="s">
        <v>33</v>
      </c>
      <c r="G863" s="1">
        <v>43960</v>
      </c>
      <c r="H863">
        <v>89707.07</v>
      </c>
      <c r="I863" t="s">
        <v>341</v>
      </c>
      <c r="J863">
        <v>-8049187273</v>
      </c>
      <c r="K863" t="s">
        <v>30</v>
      </c>
      <c r="L863" t="b">
        <v>0</v>
      </c>
    </row>
    <row r="864" spans="1:12" x14ac:dyDescent="0.35">
      <c r="A864" t="s">
        <v>1422</v>
      </c>
      <c r="B864" t="s">
        <v>37</v>
      </c>
      <c r="C864" t="s">
        <v>55</v>
      </c>
      <c r="D864">
        <v>35</v>
      </c>
      <c r="E864" t="s">
        <v>15</v>
      </c>
      <c r="F864" t="s">
        <v>33</v>
      </c>
      <c r="G864" t="s">
        <v>777</v>
      </c>
      <c r="H864">
        <v>94259.08</v>
      </c>
      <c r="I864" t="s">
        <v>271</v>
      </c>
      <c r="J864">
        <v>-2049561212</v>
      </c>
      <c r="K864" t="s">
        <v>23</v>
      </c>
      <c r="L864" t="b">
        <v>1</v>
      </c>
    </row>
    <row r="865" spans="1:12" x14ac:dyDescent="0.35">
      <c r="A865" t="s">
        <v>1423</v>
      </c>
      <c r="B865" t="s">
        <v>13</v>
      </c>
      <c r="C865" t="s">
        <v>55</v>
      </c>
      <c r="D865">
        <v>35</v>
      </c>
      <c r="E865" t="s">
        <v>177</v>
      </c>
      <c r="F865" t="s">
        <v>16</v>
      </c>
      <c r="G865" t="s">
        <v>1424</v>
      </c>
      <c r="H865">
        <v>82174.75</v>
      </c>
      <c r="I865" t="s">
        <v>199</v>
      </c>
      <c r="J865">
        <v>-7730626041</v>
      </c>
      <c r="K865" t="s">
        <v>23</v>
      </c>
      <c r="L865" t="b">
        <v>0</v>
      </c>
    </row>
    <row r="866" spans="1:12" x14ac:dyDescent="0.35">
      <c r="A866" t="s">
        <v>1425</v>
      </c>
      <c r="B866" t="s">
        <v>59</v>
      </c>
      <c r="C866" t="s">
        <v>20</v>
      </c>
      <c r="D866">
        <v>30</v>
      </c>
      <c r="E866" t="s">
        <v>44</v>
      </c>
      <c r="F866" t="s">
        <v>33</v>
      </c>
      <c r="G866" t="s">
        <v>491</v>
      </c>
      <c r="H866">
        <v>63370.22</v>
      </c>
      <c r="I866" t="s">
        <v>225</v>
      </c>
      <c r="J866">
        <v>-3597371121</v>
      </c>
      <c r="K866" t="s">
        <v>23</v>
      </c>
      <c r="L866" t="b">
        <v>0</v>
      </c>
    </row>
    <row r="867" spans="1:12" x14ac:dyDescent="0.35">
      <c r="A867" t="s">
        <v>1426</v>
      </c>
      <c r="B867" t="s">
        <v>13</v>
      </c>
      <c r="C867" t="s">
        <v>122</v>
      </c>
      <c r="D867">
        <v>35</v>
      </c>
      <c r="E867" t="s">
        <v>21</v>
      </c>
      <c r="F867" t="s">
        <v>28</v>
      </c>
      <c r="G867" t="s">
        <v>1427</v>
      </c>
      <c r="H867">
        <v>101472.69</v>
      </c>
      <c r="I867" t="s">
        <v>123</v>
      </c>
      <c r="J867">
        <v>-2990775607</v>
      </c>
      <c r="K867" t="s">
        <v>30</v>
      </c>
      <c r="L867" t="b">
        <v>1</v>
      </c>
    </row>
    <row r="868" spans="1:12" x14ac:dyDescent="0.35">
      <c r="A868" t="s">
        <v>1428</v>
      </c>
      <c r="B868" t="s">
        <v>59</v>
      </c>
      <c r="C868" t="s">
        <v>26</v>
      </c>
      <c r="D868">
        <v>25</v>
      </c>
      <c r="E868" t="s">
        <v>78</v>
      </c>
      <c r="F868" t="s">
        <v>16</v>
      </c>
      <c r="G868" t="s">
        <v>1429</v>
      </c>
      <c r="H868">
        <v>77213.73</v>
      </c>
      <c r="I868" t="s">
        <v>242</v>
      </c>
      <c r="J868">
        <v>-5816704685</v>
      </c>
      <c r="K868" t="s">
        <v>30</v>
      </c>
      <c r="L868" t="b">
        <v>0</v>
      </c>
    </row>
    <row r="869" spans="1:12" x14ac:dyDescent="0.35">
      <c r="A869" t="s">
        <v>1430</v>
      </c>
      <c r="B869" t="s">
        <v>32</v>
      </c>
      <c r="C869" t="s">
        <v>92</v>
      </c>
      <c r="D869">
        <v>40</v>
      </c>
      <c r="E869" t="s">
        <v>74</v>
      </c>
      <c r="F869" t="s">
        <v>16</v>
      </c>
      <c r="G869" t="s">
        <v>309</v>
      </c>
      <c r="H869">
        <v>73749.960000000006</v>
      </c>
      <c r="I869" t="s">
        <v>263</v>
      </c>
      <c r="J869">
        <v>-1114576831</v>
      </c>
      <c r="K869" t="s">
        <v>41</v>
      </c>
      <c r="L869" t="b">
        <v>1</v>
      </c>
    </row>
    <row r="870" spans="1:12" x14ac:dyDescent="0.35">
      <c r="A870" t="s">
        <v>1431</v>
      </c>
      <c r="B870" t="s">
        <v>25</v>
      </c>
      <c r="C870" t="s">
        <v>14</v>
      </c>
      <c r="D870">
        <v>40</v>
      </c>
      <c r="E870" t="s">
        <v>60</v>
      </c>
      <c r="F870" t="s">
        <v>28</v>
      </c>
      <c r="G870" t="s">
        <v>1432</v>
      </c>
      <c r="H870">
        <v>86618.37</v>
      </c>
      <c r="I870" t="s">
        <v>163</v>
      </c>
      <c r="J870">
        <v>-1021923784</v>
      </c>
      <c r="K870" t="s">
        <v>18</v>
      </c>
      <c r="L870" t="b">
        <v>0</v>
      </c>
    </row>
    <row r="871" spans="1:12" x14ac:dyDescent="0.35">
      <c r="A871" t="s">
        <v>1433</v>
      </c>
      <c r="B871" t="s">
        <v>54</v>
      </c>
      <c r="C871" t="s">
        <v>92</v>
      </c>
      <c r="E871" t="s">
        <v>103</v>
      </c>
      <c r="F871" t="s">
        <v>16</v>
      </c>
      <c r="G871" t="s">
        <v>1117</v>
      </c>
      <c r="H871">
        <v>59911.33</v>
      </c>
      <c r="I871" t="s">
        <v>502</v>
      </c>
      <c r="J871">
        <v>-8471296179</v>
      </c>
      <c r="K871" t="s">
        <v>23</v>
      </c>
      <c r="L871" t="b">
        <v>1</v>
      </c>
    </row>
    <row r="872" spans="1:12" x14ac:dyDescent="0.35">
      <c r="A872" t="s">
        <v>1434</v>
      </c>
      <c r="B872" t="s">
        <v>65</v>
      </c>
      <c r="C872" t="s">
        <v>26</v>
      </c>
      <c r="E872" t="s">
        <v>60</v>
      </c>
      <c r="F872" t="s">
        <v>28</v>
      </c>
      <c r="G872" t="s">
        <v>639</v>
      </c>
      <c r="H872">
        <v>59137.64</v>
      </c>
      <c r="I872" t="s">
        <v>320</v>
      </c>
      <c r="J872">
        <v>-3324260507</v>
      </c>
      <c r="K872" t="s">
        <v>30</v>
      </c>
      <c r="L872" t="b">
        <v>0</v>
      </c>
    </row>
    <row r="873" spans="1:12" x14ac:dyDescent="0.35">
      <c r="A873" t="s">
        <v>1435</v>
      </c>
      <c r="B873" t="s">
        <v>25</v>
      </c>
      <c r="C873" t="s">
        <v>43</v>
      </c>
      <c r="D873">
        <v>35</v>
      </c>
      <c r="E873" t="s">
        <v>39</v>
      </c>
      <c r="F873" t="s">
        <v>28</v>
      </c>
      <c r="G873" t="s">
        <v>950</v>
      </c>
      <c r="H873">
        <v>108474.65</v>
      </c>
      <c r="I873" t="s">
        <v>45</v>
      </c>
      <c r="J873">
        <v>-184980424</v>
      </c>
      <c r="K873" t="s">
        <v>30</v>
      </c>
      <c r="L873" t="b">
        <v>1</v>
      </c>
    </row>
    <row r="874" spans="1:12" x14ac:dyDescent="0.35">
      <c r="A874" t="s">
        <v>1436</v>
      </c>
      <c r="B874" t="s">
        <v>13</v>
      </c>
      <c r="C874" t="s">
        <v>55</v>
      </c>
      <c r="D874">
        <v>25</v>
      </c>
      <c r="E874" t="s">
        <v>265</v>
      </c>
      <c r="F874" t="s">
        <v>28</v>
      </c>
      <c r="G874" t="s">
        <v>415</v>
      </c>
      <c r="H874">
        <v>54417.71</v>
      </c>
      <c r="I874" t="s">
        <v>199</v>
      </c>
      <c r="J874">
        <v>-3733777311</v>
      </c>
      <c r="K874" t="s">
        <v>23</v>
      </c>
      <c r="L874" t="b">
        <v>0</v>
      </c>
    </row>
    <row r="875" spans="1:12" x14ac:dyDescent="0.35">
      <c r="A875" t="s">
        <v>1437</v>
      </c>
      <c r="B875" t="s">
        <v>37</v>
      </c>
      <c r="C875" t="s">
        <v>122</v>
      </c>
      <c r="D875">
        <v>40</v>
      </c>
      <c r="E875" t="s">
        <v>139</v>
      </c>
      <c r="F875" t="s">
        <v>28</v>
      </c>
      <c r="G875" t="s">
        <v>1438</v>
      </c>
      <c r="H875">
        <v>88211.94</v>
      </c>
      <c r="I875" t="s">
        <v>137</v>
      </c>
      <c r="J875">
        <v>-6881228216</v>
      </c>
      <c r="K875" t="s">
        <v>18</v>
      </c>
      <c r="L875" t="b">
        <v>0</v>
      </c>
    </row>
    <row r="876" spans="1:12" x14ac:dyDescent="0.35">
      <c r="A876" t="s">
        <v>1439</v>
      </c>
      <c r="B876" t="s">
        <v>59</v>
      </c>
      <c r="C876" t="s">
        <v>55</v>
      </c>
      <c r="D876">
        <v>25</v>
      </c>
      <c r="E876" t="s">
        <v>109</v>
      </c>
      <c r="F876" t="s">
        <v>33</v>
      </c>
      <c r="G876" s="1">
        <v>44079</v>
      </c>
      <c r="H876">
        <v>58452.18</v>
      </c>
      <c r="I876" t="s">
        <v>217</v>
      </c>
      <c r="J876">
        <v>-8192365345</v>
      </c>
      <c r="K876" t="s">
        <v>23</v>
      </c>
      <c r="L876" t="b">
        <v>1</v>
      </c>
    </row>
    <row r="877" spans="1:12" x14ac:dyDescent="0.35">
      <c r="A877" t="s">
        <v>1440</v>
      </c>
      <c r="B877" t="s">
        <v>69</v>
      </c>
      <c r="C877" t="s">
        <v>38</v>
      </c>
      <c r="D877">
        <v>30</v>
      </c>
      <c r="E877" t="s">
        <v>15</v>
      </c>
      <c r="F877" t="s">
        <v>28</v>
      </c>
      <c r="G877" s="1">
        <v>43902</v>
      </c>
      <c r="H877">
        <v>80706.28</v>
      </c>
      <c r="I877" t="s">
        <v>71</v>
      </c>
      <c r="J877">
        <v>-605603566</v>
      </c>
      <c r="K877" t="s">
        <v>18</v>
      </c>
      <c r="L877" t="b">
        <v>1</v>
      </c>
    </row>
    <row r="878" spans="1:12" x14ac:dyDescent="0.35">
      <c r="A878" t="s">
        <v>1441</v>
      </c>
      <c r="B878" t="s">
        <v>25</v>
      </c>
      <c r="C878" t="s">
        <v>55</v>
      </c>
      <c r="D878">
        <v>30</v>
      </c>
      <c r="E878" t="s">
        <v>85</v>
      </c>
      <c r="F878" t="s">
        <v>28</v>
      </c>
      <c r="G878" s="1">
        <v>44806</v>
      </c>
      <c r="H878" t="s">
        <v>277</v>
      </c>
      <c r="I878" t="s">
        <v>150</v>
      </c>
      <c r="J878">
        <v>-9327986238</v>
      </c>
      <c r="K878" t="s">
        <v>30</v>
      </c>
      <c r="L878" t="b">
        <v>1</v>
      </c>
    </row>
    <row r="879" spans="1:12" x14ac:dyDescent="0.35">
      <c r="A879" t="s">
        <v>1442</v>
      </c>
      <c r="B879" t="s">
        <v>65</v>
      </c>
      <c r="C879" t="s">
        <v>55</v>
      </c>
      <c r="D879">
        <v>25</v>
      </c>
      <c r="E879" t="s">
        <v>159</v>
      </c>
      <c r="F879" t="s">
        <v>16</v>
      </c>
      <c r="G879" s="1">
        <v>43837</v>
      </c>
      <c r="H879">
        <v>99471.89</v>
      </c>
      <c r="I879" t="s">
        <v>113</v>
      </c>
      <c r="J879">
        <v>-8471690617</v>
      </c>
      <c r="K879" t="s">
        <v>18</v>
      </c>
      <c r="L879" t="b">
        <v>1</v>
      </c>
    </row>
    <row r="880" spans="1:12" x14ac:dyDescent="0.35">
      <c r="A880" t="s">
        <v>1443</v>
      </c>
      <c r="B880" t="s">
        <v>32</v>
      </c>
      <c r="C880" t="s">
        <v>26</v>
      </c>
      <c r="D880">
        <v>40</v>
      </c>
      <c r="E880" t="s">
        <v>230</v>
      </c>
      <c r="F880" t="s">
        <v>28</v>
      </c>
      <c r="G880" t="s">
        <v>1444</v>
      </c>
      <c r="H880">
        <v>64431.22</v>
      </c>
      <c r="I880" t="s">
        <v>278</v>
      </c>
      <c r="J880">
        <v>-1205464753</v>
      </c>
      <c r="K880" t="s">
        <v>41</v>
      </c>
      <c r="L880" t="b">
        <v>0</v>
      </c>
    </row>
    <row r="881" spans="1:12" x14ac:dyDescent="0.35">
      <c r="A881" t="s">
        <v>1445</v>
      </c>
      <c r="B881" t="s">
        <v>65</v>
      </c>
      <c r="C881" t="s">
        <v>26</v>
      </c>
      <c r="D881">
        <v>40</v>
      </c>
      <c r="E881" t="s">
        <v>196</v>
      </c>
      <c r="F881" t="s">
        <v>28</v>
      </c>
      <c r="G881" t="s">
        <v>1293</v>
      </c>
      <c r="H881">
        <v>52633.48</v>
      </c>
      <c r="I881" t="s">
        <v>320</v>
      </c>
      <c r="J881">
        <v>-8954787697</v>
      </c>
      <c r="K881" t="s">
        <v>30</v>
      </c>
      <c r="L881" t="b">
        <v>0</v>
      </c>
    </row>
    <row r="882" spans="1:12" x14ac:dyDescent="0.35">
      <c r="A882" t="s">
        <v>1446</v>
      </c>
      <c r="B882" t="s">
        <v>65</v>
      </c>
      <c r="C882" t="s">
        <v>26</v>
      </c>
      <c r="E882" t="s">
        <v>85</v>
      </c>
      <c r="F882" t="s">
        <v>33</v>
      </c>
      <c r="G882" t="s">
        <v>1447</v>
      </c>
      <c r="H882">
        <v>79315.009999999995</v>
      </c>
      <c r="I882" t="s">
        <v>320</v>
      </c>
      <c r="J882">
        <v>-9992751757</v>
      </c>
      <c r="K882" t="s">
        <v>41</v>
      </c>
      <c r="L882" t="b">
        <v>1</v>
      </c>
    </row>
    <row r="883" spans="1:12" x14ac:dyDescent="0.35">
      <c r="A883" t="s">
        <v>1448</v>
      </c>
      <c r="B883" t="s">
        <v>59</v>
      </c>
      <c r="C883" t="s">
        <v>92</v>
      </c>
      <c r="D883">
        <v>25</v>
      </c>
      <c r="E883" t="s">
        <v>44</v>
      </c>
      <c r="F883" t="s">
        <v>28</v>
      </c>
      <c r="G883" s="1">
        <v>44866</v>
      </c>
      <c r="H883">
        <v>110391.17</v>
      </c>
      <c r="I883" t="s">
        <v>107</v>
      </c>
      <c r="J883">
        <v>-8914444982</v>
      </c>
      <c r="K883" t="s">
        <v>23</v>
      </c>
      <c r="L883" t="b">
        <v>0</v>
      </c>
    </row>
    <row r="884" spans="1:12" x14ac:dyDescent="0.35">
      <c r="A884" t="s">
        <v>1449</v>
      </c>
      <c r="B884" t="s">
        <v>59</v>
      </c>
      <c r="C884" t="s">
        <v>38</v>
      </c>
      <c r="D884">
        <v>40</v>
      </c>
      <c r="E884" t="s">
        <v>329</v>
      </c>
      <c r="F884" t="s">
        <v>16</v>
      </c>
      <c r="G884" t="s">
        <v>1450</v>
      </c>
      <c r="H884">
        <v>53714.83</v>
      </c>
      <c r="I884" t="s">
        <v>61</v>
      </c>
      <c r="J884">
        <v>-5539354357</v>
      </c>
      <c r="K884" t="s">
        <v>23</v>
      </c>
      <c r="L884" t="b">
        <v>1</v>
      </c>
    </row>
    <row r="885" spans="1:12" x14ac:dyDescent="0.35">
      <c r="A885" t="s">
        <v>1451</v>
      </c>
      <c r="B885" t="s">
        <v>54</v>
      </c>
      <c r="C885" t="s">
        <v>43</v>
      </c>
      <c r="D885">
        <v>40</v>
      </c>
      <c r="E885" t="s">
        <v>227</v>
      </c>
      <c r="F885" t="s">
        <v>16</v>
      </c>
      <c r="G885" s="1">
        <v>45026</v>
      </c>
      <c r="H885">
        <v>114587.11</v>
      </c>
      <c r="I885" t="s">
        <v>87</v>
      </c>
      <c r="J885">
        <v>-6449639242</v>
      </c>
      <c r="K885" t="s">
        <v>23</v>
      </c>
      <c r="L885" t="b">
        <v>1</v>
      </c>
    </row>
    <row r="886" spans="1:12" x14ac:dyDescent="0.35">
      <c r="A886" t="s">
        <v>1452</v>
      </c>
      <c r="B886" t="s">
        <v>37</v>
      </c>
      <c r="C886" t="s">
        <v>43</v>
      </c>
      <c r="D886">
        <v>35</v>
      </c>
      <c r="E886" t="s">
        <v>205</v>
      </c>
      <c r="F886" t="s">
        <v>33</v>
      </c>
      <c r="G886" t="s">
        <v>1453</v>
      </c>
      <c r="H886">
        <v>93177.35</v>
      </c>
      <c r="I886" t="s">
        <v>180</v>
      </c>
      <c r="J886">
        <v>-5885379820</v>
      </c>
      <c r="K886" t="s">
        <v>18</v>
      </c>
      <c r="L886" t="b">
        <v>0</v>
      </c>
    </row>
    <row r="887" spans="1:12" x14ac:dyDescent="0.35">
      <c r="A887" t="s">
        <v>1454</v>
      </c>
      <c r="B887" t="s">
        <v>65</v>
      </c>
      <c r="C887" t="s">
        <v>26</v>
      </c>
      <c r="D887">
        <v>25</v>
      </c>
      <c r="E887" t="s">
        <v>85</v>
      </c>
      <c r="F887" t="s">
        <v>16</v>
      </c>
      <c r="G887" s="1">
        <v>45047</v>
      </c>
      <c r="H887">
        <v>62312.13</v>
      </c>
      <c r="I887" t="s">
        <v>320</v>
      </c>
      <c r="J887">
        <v>-4339527535</v>
      </c>
      <c r="K887" t="s">
        <v>30</v>
      </c>
      <c r="L887" t="b">
        <v>0</v>
      </c>
    </row>
    <row r="888" spans="1:12" x14ac:dyDescent="0.35">
      <c r="A888" t="s">
        <v>1455</v>
      </c>
      <c r="B888" t="s">
        <v>65</v>
      </c>
      <c r="C888" t="s">
        <v>122</v>
      </c>
      <c r="E888" t="s">
        <v>159</v>
      </c>
      <c r="F888" t="s">
        <v>16</v>
      </c>
      <c r="G888" t="s">
        <v>1456</v>
      </c>
      <c r="H888">
        <v>81137.460000000006</v>
      </c>
      <c r="I888" t="s">
        <v>367</v>
      </c>
      <c r="J888">
        <v>-7497852490</v>
      </c>
      <c r="K888" t="s">
        <v>23</v>
      </c>
      <c r="L888" t="b">
        <v>0</v>
      </c>
    </row>
    <row r="889" spans="1:12" x14ac:dyDescent="0.35">
      <c r="A889" t="s">
        <v>1457</v>
      </c>
      <c r="B889" t="s">
        <v>69</v>
      </c>
      <c r="C889" t="s">
        <v>92</v>
      </c>
      <c r="D889">
        <v>30</v>
      </c>
      <c r="E889" t="s">
        <v>329</v>
      </c>
      <c r="F889" t="s">
        <v>33</v>
      </c>
      <c r="G889" t="s">
        <v>1458</v>
      </c>
      <c r="H889">
        <v>104528.27</v>
      </c>
      <c r="I889" t="s">
        <v>168</v>
      </c>
      <c r="J889">
        <v>-4168601346</v>
      </c>
      <c r="K889" t="s">
        <v>23</v>
      </c>
      <c r="L889" t="b">
        <v>0</v>
      </c>
    </row>
    <row r="890" spans="1:12" x14ac:dyDescent="0.35">
      <c r="A890" t="s">
        <v>1459</v>
      </c>
      <c r="B890" t="s">
        <v>13</v>
      </c>
      <c r="C890" t="s">
        <v>20</v>
      </c>
      <c r="D890">
        <v>30</v>
      </c>
      <c r="E890" t="s">
        <v>230</v>
      </c>
      <c r="F890" t="s">
        <v>16</v>
      </c>
      <c r="G890" s="1">
        <v>44775</v>
      </c>
      <c r="H890">
        <v>112395.56</v>
      </c>
      <c r="I890" t="s">
        <v>22</v>
      </c>
      <c r="J890">
        <v>-7894896339</v>
      </c>
      <c r="K890" t="s">
        <v>30</v>
      </c>
      <c r="L890" t="b">
        <v>0</v>
      </c>
    </row>
    <row r="891" spans="1:12" x14ac:dyDescent="0.35">
      <c r="A891" t="s">
        <v>1460</v>
      </c>
      <c r="B891" t="s">
        <v>65</v>
      </c>
      <c r="C891" t="s">
        <v>122</v>
      </c>
      <c r="D891">
        <v>25</v>
      </c>
      <c r="E891" t="s">
        <v>227</v>
      </c>
      <c r="F891" t="s">
        <v>16</v>
      </c>
      <c r="G891" s="1">
        <v>44963</v>
      </c>
      <c r="H891">
        <v>81849.36</v>
      </c>
      <c r="I891" t="s">
        <v>367</v>
      </c>
      <c r="J891">
        <v>-6791766511</v>
      </c>
      <c r="K891" t="s">
        <v>23</v>
      </c>
      <c r="L891" t="b">
        <v>0</v>
      </c>
    </row>
    <row r="892" spans="1:12" x14ac:dyDescent="0.35">
      <c r="A892" t="s">
        <v>1461</v>
      </c>
      <c r="B892" t="s">
        <v>54</v>
      </c>
      <c r="C892" t="s">
        <v>14</v>
      </c>
      <c r="D892">
        <v>40</v>
      </c>
      <c r="E892" t="s">
        <v>56</v>
      </c>
      <c r="F892" t="s">
        <v>28</v>
      </c>
      <c r="G892" s="1">
        <v>44652</v>
      </c>
      <c r="H892">
        <v>118288.91</v>
      </c>
      <c r="I892" t="s">
        <v>170</v>
      </c>
      <c r="J892">
        <v>-2150014187</v>
      </c>
      <c r="K892" t="s">
        <v>41</v>
      </c>
      <c r="L892" t="b">
        <v>0</v>
      </c>
    </row>
    <row r="893" spans="1:12" x14ac:dyDescent="0.35">
      <c r="A893" t="s">
        <v>1462</v>
      </c>
      <c r="B893" t="s">
        <v>54</v>
      </c>
      <c r="C893" t="s">
        <v>14</v>
      </c>
      <c r="D893">
        <v>25</v>
      </c>
      <c r="E893" t="s">
        <v>78</v>
      </c>
      <c r="F893" t="s">
        <v>16</v>
      </c>
      <c r="G893" t="s">
        <v>686</v>
      </c>
      <c r="H893">
        <v>59555.1</v>
      </c>
      <c r="I893" t="s">
        <v>170</v>
      </c>
      <c r="J893">
        <v>-4216309000</v>
      </c>
      <c r="K893" t="s">
        <v>30</v>
      </c>
      <c r="L893" t="b">
        <v>1</v>
      </c>
    </row>
    <row r="894" spans="1:12" x14ac:dyDescent="0.35">
      <c r="A894" t="s">
        <v>1463</v>
      </c>
      <c r="B894" t="s">
        <v>65</v>
      </c>
      <c r="C894" t="s">
        <v>122</v>
      </c>
      <c r="D894">
        <v>40</v>
      </c>
      <c r="E894" t="s">
        <v>118</v>
      </c>
      <c r="F894" t="s">
        <v>16</v>
      </c>
      <c r="G894" t="s">
        <v>1043</v>
      </c>
      <c r="H894">
        <v>70661.31</v>
      </c>
      <c r="I894" t="s">
        <v>367</v>
      </c>
      <c r="J894">
        <v>-5944633398</v>
      </c>
      <c r="K894" t="s">
        <v>30</v>
      </c>
      <c r="L894" t="b">
        <v>1</v>
      </c>
    </row>
    <row r="895" spans="1:12" x14ac:dyDescent="0.35">
      <c r="A895" t="s">
        <v>1464</v>
      </c>
      <c r="B895" t="s">
        <v>54</v>
      </c>
      <c r="C895" t="s">
        <v>26</v>
      </c>
      <c r="E895" t="s">
        <v>109</v>
      </c>
      <c r="F895" t="s">
        <v>16</v>
      </c>
      <c r="G895" t="s">
        <v>754</v>
      </c>
      <c r="H895">
        <v>109988.16</v>
      </c>
      <c r="I895" t="s">
        <v>120</v>
      </c>
      <c r="J895">
        <v>-9485320894</v>
      </c>
      <c r="K895" t="s">
        <v>30</v>
      </c>
      <c r="L895" t="b">
        <v>1</v>
      </c>
    </row>
    <row r="896" spans="1:12" x14ac:dyDescent="0.35">
      <c r="A896" t="s">
        <v>1465</v>
      </c>
      <c r="B896" t="s">
        <v>59</v>
      </c>
      <c r="C896" t="s">
        <v>20</v>
      </c>
      <c r="E896" t="s">
        <v>112</v>
      </c>
      <c r="F896" t="s">
        <v>33</v>
      </c>
      <c r="G896" t="s">
        <v>1466</v>
      </c>
      <c r="H896">
        <v>101101.24</v>
      </c>
      <c r="I896" t="s">
        <v>225</v>
      </c>
      <c r="J896">
        <v>-3263890218</v>
      </c>
      <c r="K896" t="s">
        <v>41</v>
      </c>
      <c r="L896" t="b">
        <v>1</v>
      </c>
    </row>
    <row r="897" spans="1:12" x14ac:dyDescent="0.35">
      <c r="A897" t="s">
        <v>1467</v>
      </c>
      <c r="B897" t="s">
        <v>59</v>
      </c>
      <c r="C897" t="s">
        <v>20</v>
      </c>
      <c r="D897">
        <v>30</v>
      </c>
      <c r="E897" t="s">
        <v>212</v>
      </c>
      <c r="F897" t="s">
        <v>28</v>
      </c>
      <c r="G897" t="s">
        <v>1468</v>
      </c>
      <c r="H897">
        <v>112427.58</v>
      </c>
      <c r="I897" t="s">
        <v>225</v>
      </c>
      <c r="J897">
        <v>-9471136336</v>
      </c>
      <c r="K897" t="s">
        <v>30</v>
      </c>
      <c r="L897" t="b">
        <v>1</v>
      </c>
    </row>
    <row r="898" spans="1:12" x14ac:dyDescent="0.35">
      <c r="A898" t="s">
        <v>1469</v>
      </c>
      <c r="B898" t="s">
        <v>54</v>
      </c>
      <c r="C898" t="s">
        <v>92</v>
      </c>
      <c r="E898" t="s">
        <v>39</v>
      </c>
      <c r="F898" t="s">
        <v>16</v>
      </c>
      <c r="G898" t="s">
        <v>238</v>
      </c>
      <c r="H898">
        <v>119389.15</v>
      </c>
      <c r="I898" t="s">
        <v>502</v>
      </c>
      <c r="J898">
        <v>-9223410345</v>
      </c>
      <c r="K898" t="s">
        <v>41</v>
      </c>
      <c r="L898" t="b">
        <v>0</v>
      </c>
    </row>
    <row r="899" spans="1:12" x14ac:dyDescent="0.35">
      <c r="A899" t="s">
        <v>1470</v>
      </c>
      <c r="B899" t="s">
        <v>25</v>
      </c>
      <c r="C899" t="s">
        <v>20</v>
      </c>
      <c r="D899">
        <v>40</v>
      </c>
      <c r="E899" t="s">
        <v>74</v>
      </c>
      <c r="F899" t="s">
        <v>33</v>
      </c>
      <c r="G899" t="s">
        <v>1471</v>
      </c>
      <c r="H899">
        <v>105861.23</v>
      </c>
      <c r="I899" t="s">
        <v>80</v>
      </c>
      <c r="J899">
        <v>-9967331166</v>
      </c>
      <c r="K899" t="s">
        <v>30</v>
      </c>
      <c r="L899" t="b">
        <v>1</v>
      </c>
    </row>
    <row r="900" spans="1:12" x14ac:dyDescent="0.35">
      <c r="A900" t="s">
        <v>1472</v>
      </c>
      <c r="B900" t="s">
        <v>65</v>
      </c>
      <c r="C900" t="s">
        <v>14</v>
      </c>
      <c r="D900">
        <v>40</v>
      </c>
      <c r="E900" t="s">
        <v>103</v>
      </c>
      <c r="F900" t="s">
        <v>28</v>
      </c>
      <c r="G900" t="s">
        <v>483</v>
      </c>
      <c r="H900">
        <v>50869.61</v>
      </c>
      <c r="I900" t="s">
        <v>395</v>
      </c>
      <c r="J900">
        <v>-7269608436</v>
      </c>
      <c r="K900" t="s">
        <v>18</v>
      </c>
      <c r="L900" t="b">
        <v>1</v>
      </c>
    </row>
    <row r="901" spans="1:12" x14ac:dyDescent="0.35">
      <c r="A901" t="s">
        <v>1473</v>
      </c>
      <c r="B901" t="s">
        <v>59</v>
      </c>
      <c r="C901" t="s">
        <v>38</v>
      </c>
      <c r="D901">
        <v>30</v>
      </c>
      <c r="E901" t="s">
        <v>146</v>
      </c>
      <c r="F901" t="s">
        <v>16</v>
      </c>
      <c r="G901" t="s">
        <v>1027</v>
      </c>
      <c r="H901" t="s">
        <v>277</v>
      </c>
      <c r="I901" t="s">
        <v>61</v>
      </c>
      <c r="J901">
        <v>-6855078966</v>
      </c>
      <c r="K901" t="s">
        <v>23</v>
      </c>
      <c r="L901" t="b">
        <v>1</v>
      </c>
    </row>
    <row r="902" spans="1:12" x14ac:dyDescent="0.35">
      <c r="A902" t="s">
        <v>1474</v>
      </c>
      <c r="B902" t="s">
        <v>32</v>
      </c>
      <c r="C902" t="s">
        <v>26</v>
      </c>
      <c r="D902">
        <v>30</v>
      </c>
      <c r="E902" t="s">
        <v>230</v>
      </c>
      <c r="F902" t="s">
        <v>28</v>
      </c>
      <c r="G902" s="1">
        <v>45568</v>
      </c>
      <c r="H902">
        <v>90856.21</v>
      </c>
      <c r="I902" t="s">
        <v>278</v>
      </c>
      <c r="J902">
        <v>-9352196262</v>
      </c>
      <c r="K902" t="s">
        <v>18</v>
      </c>
      <c r="L902" t="b">
        <v>1</v>
      </c>
    </row>
    <row r="903" spans="1:12" x14ac:dyDescent="0.35">
      <c r="A903" t="s">
        <v>1475</v>
      </c>
      <c r="B903" t="s">
        <v>65</v>
      </c>
      <c r="C903" t="s">
        <v>20</v>
      </c>
      <c r="D903">
        <v>30</v>
      </c>
      <c r="E903" t="s">
        <v>230</v>
      </c>
      <c r="F903" t="s">
        <v>16</v>
      </c>
      <c r="G903" s="1">
        <v>45418</v>
      </c>
      <c r="H903">
        <v>111008.63</v>
      </c>
      <c r="I903" t="s">
        <v>404</v>
      </c>
      <c r="J903">
        <v>-3556434368</v>
      </c>
      <c r="K903" t="s">
        <v>23</v>
      </c>
      <c r="L903" t="b">
        <v>1</v>
      </c>
    </row>
    <row r="904" spans="1:12" x14ac:dyDescent="0.35">
      <c r="A904" t="s">
        <v>1476</v>
      </c>
      <c r="B904" t="s">
        <v>25</v>
      </c>
      <c r="C904" t="s">
        <v>92</v>
      </c>
      <c r="D904">
        <v>25</v>
      </c>
      <c r="E904" t="s">
        <v>100</v>
      </c>
      <c r="F904" t="s">
        <v>33</v>
      </c>
      <c r="G904" t="s">
        <v>206</v>
      </c>
      <c r="H904">
        <v>52289.99</v>
      </c>
      <c r="I904" t="s">
        <v>166</v>
      </c>
      <c r="J904">
        <v>-7093170694</v>
      </c>
      <c r="K904" t="s">
        <v>41</v>
      </c>
      <c r="L904" t="b">
        <v>1</v>
      </c>
    </row>
    <row r="905" spans="1:12" x14ac:dyDescent="0.35">
      <c r="A905" t="s">
        <v>1477</v>
      </c>
      <c r="B905" t="s">
        <v>32</v>
      </c>
      <c r="C905" t="s">
        <v>14</v>
      </c>
      <c r="E905" t="s">
        <v>98</v>
      </c>
      <c r="F905" t="s">
        <v>16</v>
      </c>
      <c r="G905" s="1">
        <v>45297</v>
      </c>
      <c r="H905">
        <v>97926.56</v>
      </c>
      <c r="I905" t="s">
        <v>35</v>
      </c>
      <c r="J905">
        <v>-5607676163</v>
      </c>
      <c r="K905" t="s">
        <v>18</v>
      </c>
      <c r="L905" t="b">
        <v>1</v>
      </c>
    </row>
    <row r="906" spans="1:12" x14ac:dyDescent="0.35">
      <c r="A906" t="s">
        <v>1478</v>
      </c>
      <c r="B906" t="s">
        <v>37</v>
      </c>
      <c r="C906" t="s">
        <v>38</v>
      </c>
      <c r="D906">
        <v>25</v>
      </c>
      <c r="E906" t="s">
        <v>219</v>
      </c>
      <c r="F906" t="s">
        <v>33</v>
      </c>
      <c r="G906" t="s">
        <v>1479</v>
      </c>
      <c r="H906">
        <v>53609.38</v>
      </c>
      <c r="I906" t="s">
        <v>40</v>
      </c>
      <c r="J906">
        <v>-5345472238</v>
      </c>
      <c r="K906" t="s">
        <v>30</v>
      </c>
      <c r="L906" t="b">
        <v>0</v>
      </c>
    </row>
    <row r="907" spans="1:12" x14ac:dyDescent="0.35">
      <c r="A907" t="s">
        <v>1480</v>
      </c>
      <c r="B907" t="s">
        <v>65</v>
      </c>
      <c r="C907" t="s">
        <v>55</v>
      </c>
      <c r="E907" t="s">
        <v>268</v>
      </c>
      <c r="F907" t="s">
        <v>33</v>
      </c>
      <c r="G907" t="s">
        <v>577</v>
      </c>
      <c r="H907">
        <v>95372.09</v>
      </c>
      <c r="I907" t="s">
        <v>113</v>
      </c>
      <c r="J907">
        <v>-8983065030</v>
      </c>
      <c r="K907" t="s">
        <v>23</v>
      </c>
      <c r="L907" t="b">
        <v>0</v>
      </c>
    </row>
    <row r="908" spans="1:12" x14ac:dyDescent="0.35">
      <c r="A908" t="s">
        <v>1481</v>
      </c>
      <c r="B908" t="s">
        <v>59</v>
      </c>
      <c r="C908" t="s">
        <v>55</v>
      </c>
      <c r="D908">
        <v>30</v>
      </c>
      <c r="E908" t="s">
        <v>66</v>
      </c>
      <c r="F908" t="s">
        <v>28</v>
      </c>
      <c r="G908" t="s">
        <v>1062</v>
      </c>
      <c r="H908">
        <v>95432.69</v>
      </c>
      <c r="I908" t="s">
        <v>217</v>
      </c>
      <c r="J908">
        <v>-2198041846</v>
      </c>
      <c r="K908" t="s">
        <v>23</v>
      </c>
      <c r="L908" t="b">
        <v>1</v>
      </c>
    </row>
    <row r="909" spans="1:12" x14ac:dyDescent="0.35">
      <c r="A909" t="s">
        <v>1482</v>
      </c>
      <c r="B909" t="s">
        <v>59</v>
      </c>
      <c r="C909" t="s">
        <v>38</v>
      </c>
      <c r="D909">
        <v>30</v>
      </c>
      <c r="E909" t="s">
        <v>146</v>
      </c>
      <c r="F909" t="s">
        <v>33</v>
      </c>
      <c r="G909" t="s">
        <v>1483</v>
      </c>
      <c r="H909">
        <v>97615.87</v>
      </c>
      <c r="I909" t="s">
        <v>61</v>
      </c>
      <c r="J909">
        <v>-2426423641</v>
      </c>
      <c r="K909" t="s">
        <v>18</v>
      </c>
      <c r="L909" t="b">
        <v>0</v>
      </c>
    </row>
    <row r="910" spans="1:12" x14ac:dyDescent="0.35">
      <c r="A910" t="s">
        <v>1484</v>
      </c>
      <c r="B910" t="s">
        <v>13</v>
      </c>
      <c r="C910" t="s">
        <v>14</v>
      </c>
      <c r="D910">
        <v>35</v>
      </c>
      <c r="E910" t="s">
        <v>212</v>
      </c>
      <c r="F910" t="s">
        <v>33</v>
      </c>
      <c r="G910" t="s">
        <v>765</v>
      </c>
      <c r="H910">
        <v>86867.78</v>
      </c>
      <c r="I910" t="s">
        <v>17</v>
      </c>
      <c r="J910">
        <v>-8131909247</v>
      </c>
      <c r="K910" t="s">
        <v>41</v>
      </c>
      <c r="L910" t="b">
        <v>0</v>
      </c>
    </row>
    <row r="911" spans="1:12" x14ac:dyDescent="0.35">
      <c r="A911" t="s">
        <v>1485</v>
      </c>
      <c r="B911" t="s">
        <v>32</v>
      </c>
      <c r="C911" t="s">
        <v>92</v>
      </c>
      <c r="D911">
        <v>40</v>
      </c>
      <c r="E911" t="s">
        <v>177</v>
      </c>
      <c r="F911" t="s">
        <v>28</v>
      </c>
      <c r="G911" t="s">
        <v>1486</v>
      </c>
      <c r="H911">
        <v>106615.71</v>
      </c>
      <c r="I911" t="s">
        <v>263</v>
      </c>
      <c r="J911">
        <v>-7623039110</v>
      </c>
      <c r="K911" t="s">
        <v>18</v>
      </c>
      <c r="L911" t="b">
        <v>0</v>
      </c>
    </row>
    <row r="912" spans="1:12" x14ac:dyDescent="0.35">
      <c r="A912" t="s">
        <v>1487</v>
      </c>
      <c r="B912" t="s">
        <v>13</v>
      </c>
      <c r="C912" t="s">
        <v>38</v>
      </c>
      <c r="D912">
        <v>30</v>
      </c>
      <c r="E912" t="s">
        <v>21</v>
      </c>
      <c r="F912" t="s">
        <v>16</v>
      </c>
      <c r="G912" s="1">
        <v>44868</v>
      </c>
      <c r="H912">
        <v>112856.21</v>
      </c>
      <c r="I912" t="s">
        <v>144</v>
      </c>
      <c r="J912">
        <v>-4281785227</v>
      </c>
      <c r="K912" t="s">
        <v>41</v>
      </c>
      <c r="L912" t="b">
        <v>0</v>
      </c>
    </row>
    <row r="913" spans="1:12" x14ac:dyDescent="0.35">
      <c r="A913" t="s">
        <v>1488</v>
      </c>
      <c r="B913" t="s">
        <v>13</v>
      </c>
      <c r="C913" t="s">
        <v>26</v>
      </c>
      <c r="D913">
        <v>25</v>
      </c>
      <c r="E913" t="s">
        <v>118</v>
      </c>
      <c r="F913" t="s">
        <v>16</v>
      </c>
      <c r="G913" t="s">
        <v>1194</v>
      </c>
      <c r="H913">
        <v>60356.78</v>
      </c>
      <c r="I913" t="s">
        <v>50</v>
      </c>
      <c r="J913">
        <v>-2305248087</v>
      </c>
      <c r="K913" t="s">
        <v>41</v>
      </c>
      <c r="L913" t="b">
        <v>1</v>
      </c>
    </row>
    <row r="914" spans="1:12" x14ac:dyDescent="0.35">
      <c r="A914" t="s">
        <v>1489</v>
      </c>
      <c r="B914" t="s">
        <v>59</v>
      </c>
      <c r="C914" t="s">
        <v>26</v>
      </c>
      <c r="E914" t="s">
        <v>237</v>
      </c>
      <c r="F914" t="s">
        <v>33</v>
      </c>
      <c r="G914" s="1">
        <v>44625</v>
      </c>
      <c r="H914">
        <v>117870.22</v>
      </c>
      <c r="I914" t="s">
        <v>242</v>
      </c>
      <c r="J914">
        <v>-622072238</v>
      </c>
      <c r="K914" t="s">
        <v>23</v>
      </c>
      <c r="L914" t="b">
        <v>0</v>
      </c>
    </row>
    <row r="915" spans="1:12" x14ac:dyDescent="0.35">
      <c r="A915" t="s">
        <v>1490</v>
      </c>
      <c r="B915" t="s">
        <v>54</v>
      </c>
      <c r="C915" t="s">
        <v>55</v>
      </c>
      <c r="D915">
        <v>40</v>
      </c>
      <c r="E915" t="s">
        <v>212</v>
      </c>
      <c r="F915" t="s">
        <v>33</v>
      </c>
      <c r="G915" t="s">
        <v>1491</v>
      </c>
      <c r="H915">
        <v>95127.91</v>
      </c>
      <c r="I915" t="s">
        <v>57</v>
      </c>
      <c r="J915">
        <v>-5947372131</v>
      </c>
      <c r="K915" t="s">
        <v>18</v>
      </c>
      <c r="L915" t="b">
        <v>0</v>
      </c>
    </row>
    <row r="916" spans="1:12" x14ac:dyDescent="0.35">
      <c r="A916" t="s">
        <v>1492</v>
      </c>
      <c r="B916" t="s">
        <v>13</v>
      </c>
      <c r="C916" t="s">
        <v>20</v>
      </c>
      <c r="D916">
        <v>25</v>
      </c>
      <c r="E916" t="s">
        <v>89</v>
      </c>
      <c r="F916" t="s">
        <v>28</v>
      </c>
      <c r="G916" t="s">
        <v>1493</v>
      </c>
      <c r="H916">
        <v>78818.42</v>
      </c>
      <c r="I916" t="s">
        <v>22</v>
      </c>
      <c r="J916">
        <v>-9016204786</v>
      </c>
      <c r="K916" t="s">
        <v>18</v>
      </c>
      <c r="L916" t="b">
        <v>0</v>
      </c>
    </row>
    <row r="917" spans="1:12" x14ac:dyDescent="0.35">
      <c r="A917" t="s">
        <v>1494</v>
      </c>
      <c r="B917" t="s">
        <v>37</v>
      </c>
      <c r="C917" t="s">
        <v>92</v>
      </c>
      <c r="D917">
        <v>40</v>
      </c>
      <c r="E917" t="s">
        <v>219</v>
      </c>
      <c r="F917" t="s">
        <v>28</v>
      </c>
      <c r="G917" t="s">
        <v>1495</v>
      </c>
      <c r="H917">
        <v>108933.55</v>
      </c>
      <c r="I917" t="s">
        <v>110</v>
      </c>
      <c r="J917">
        <v>-6886878598</v>
      </c>
      <c r="K917" t="s">
        <v>41</v>
      </c>
      <c r="L917" t="b">
        <v>1</v>
      </c>
    </row>
    <row r="918" spans="1:12" x14ac:dyDescent="0.35">
      <c r="A918" t="s">
        <v>1496</v>
      </c>
      <c r="B918" t="s">
        <v>32</v>
      </c>
      <c r="C918" t="s">
        <v>55</v>
      </c>
      <c r="E918" t="s">
        <v>118</v>
      </c>
      <c r="F918" t="s">
        <v>16</v>
      </c>
      <c r="G918" s="1">
        <v>45388</v>
      </c>
      <c r="H918">
        <v>68200.52</v>
      </c>
      <c r="I918" t="s">
        <v>323</v>
      </c>
      <c r="J918">
        <v>-6486287202</v>
      </c>
      <c r="K918" t="s">
        <v>18</v>
      </c>
      <c r="L918" t="b">
        <v>1</v>
      </c>
    </row>
    <row r="919" spans="1:12" x14ac:dyDescent="0.35">
      <c r="A919" t="s">
        <v>1497</v>
      </c>
      <c r="B919" t="s">
        <v>32</v>
      </c>
      <c r="C919" t="s">
        <v>20</v>
      </c>
      <c r="D919">
        <v>25</v>
      </c>
      <c r="E919" t="s">
        <v>118</v>
      </c>
      <c r="F919" t="s">
        <v>33</v>
      </c>
      <c r="G919" t="s">
        <v>1498</v>
      </c>
      <c r="H919">
        <v>116934.97</v>
      </c>
      <c r="I919" t="s">
        <v>155</v>
      </c>
      <c r="J919">
        <v>-1954196663</v>
      </c>
      <c r="K919" t="s">
        <v>30</v>
      </c>
      <c r="L919" t="b">
        <v>1</v>
      </c>
    </row>
    <row r="920" spans="1:12" x14ac:dyDescent="0.35">
      <c r="A920" t="s">
        <v>1499</v>
      </c>
      <c r="B920" t="s">
        <v>54</v>
      </c>
      <c r="C920" t="s">
        <v>20</v>
      </c>
      <c r="E920" t="s">
        <v>66</v>
      </c>
      <c r="F920" t="s">
        <v>16</v>
      </c>
      <c r="G920" t="s">
        <v>824</v>
      </c>
      <c r="H920">
        <v>99567.78</v>
      </c>
      <c r="I920" t="s">
        <v>125</v>
      </c>
      <c r="J920">
        <v>-5057303626</v>
      </c>
      <c r="K920" t="s">
        <v>30</v>
      </c>
      <c r="L920" t="b">
        <v>1</v>
      </c>
    </row>
    <row r="921" spans="1:12" x14ac:dyDescent="0.35">
      <c r="A921" t="s">
        <v>1500</v>
      </c>
      <c r="B921" t="s">
        <v>54</v>
      </c>
      <c r="C921" t="s">
        <v>43</v>
      </c>
      <c r="D921">
        <v>30</v>
      </c>
      <c r="E921" t="s">
        <v>103</v>
      </c>
      <c r="F921" t="s">
        <v>16</v>
      </c>
      <c r="G921" s="1">
        <v>44479</v>
      </c>
      <c r="H921">
        <v>90216.76</v>
      </c>
      <c r="I921" t="s">
        <v>87</v>
      </c>
      <c r="J921">
        <v>-9246320373</v>
      </c>
      <c r="K921" t="s">
        <v>18</v>
      </c>
      <c r="L921" t="b">
        <v>1</v>
      </c>
    </row>
    <row r="922" spans="1:12" x14ac:dyDescent="0.35">
      <c r="A922" t="s">
        <v>1501</v>
      </c>
      <c r="B922" t="s">
        <v>37</v>
      </c>
      <c r="C922" t="s">
        <v>26</v>
      </c>
      <c r="D922">
        <v>30</v>
      </c>
      <c r="E922" t="s">
        <v>89</v>
      </c>
      <c r="F922" t="s">
        <v>28</v>
      </c>
      <c r="G922" s="1">
        <v>44168</v>
      </c>
      <c r="H922">
        <v>96588.73</v>
      </c>
      <c r="I922" t="s">
        <v>47</v>
      </c>
      <c r="J922">
        <v>-7677537259</v>
      </c>
      <c r="K922" t="s">
        <v>18</v>
      </c>
      <c r="L922" t="b">
        <v>1</v>
      </c>
    </row>
    <row r="923" spans="1:12" x14ac:dyDescent="0.35">
      <c r="A923" t="s">
        <v>1502</v>
      </c>
      <c r="B923" t="s">
        <v>54</v>
      </c>
      <c r="C923" t="s">
        <v>14</v>
      </c>
      <c r="D923">
        <v>35</v>
      </c>
      <c r="E923" t="s">
        <v>265</v>
      </c>
      <c r="F923" t="s">
        <v>16</v>
      </c>
      <c r="G923" t="s">
        <v>521</v>
      </c>
      <c r="H923">
        <v>71109.179999999993</v>
      </c>
      <c r="I923" t="s">
        <v>170</v>
      </c>
      <c r="J923">
        <v>-3214505765</v>
      </c>
      <c r="K923" t="s">
        <v>41</v>
      </c>
      <c r="L923" t="b">
        <v>1</v>
      </c>
    </row>
    <row r="924" spans="1:12" x14ac:dyDescent="0.35">
      <c r="A924" t="s">
        <v>1503</v>
      </c>
      <c r="B924" t="s">
        <v>69</v>
      </c>
      <c r="C924" t="s">
        <v>122</v>
      </c>
      <c r="D924">
        <v>40</v>
      </c>
      <c r="E924" t="s">
        <v>205</v>
      </c>
      <c r="F924" t="s">
        <v>33</v>
      </c>
      <c r="G924" t="s">
        <v>1119</v>
      </c>
      <c r="H924">
        <v>50300.6</v>
      </c>
      <c r="I924" t="s">
        <v>135</v>
      </c>
      <c r="J924">
        <v>-1945887070</v>
      </c>
      <c r="K924" t="s">
        <v>30</v>
      </c>
      <c r="L924" t="b">
        <v>0</v>
      </c>
    </row>
    <row r="925" spans="1:12" x14ac:dyDescent="0.35">
      <c r="A925" t="s">
        <v>1504</v>
      </c>
      <c r="B925" t="s">
        <v>37</v>
      </c>
      <c r="C925" t="s">
        <v>14</v>
      </c>
      <c r="D925">
        <v>35</v>
      </c>
      <c r="E925" t="s">
        <v>70</v>
      </c>
      <c r="F925" t="s">
        <v>28</v>
      </c>
      <c r="G925" t="s">
        <v>165</v>
      </c>
      <c r="H925">
        <v>60295.839999999997</v>
      </c>
      <c r="I925" t="s">
        <v>52</v>
      </c>
      <c r="J925">
        <v>-5534820127</v>
      </c>
      <c r="K925" t="s">
        <v>30</v>
      </c>
      <c r="L925" t="b">
        <v>0</v>
      </c>
    </row>
    <row r="926" spans="1:12" x14ac:dyDescent="0.35">
      <c r="A926" t="s">
        <v>1505</v>
      </c>
      <c r="B926" t="s">
        <v>65</v>
      </c>
      <c r="C926" t="s">
        <v>122</v>
      </c>
      <c r="D926">
        <v>35</v>
      </c>
      <c r="E926" t="s">
        <v>237</v>
      </c>
      <c r="F926" t="s">
        <v>28</v>
      </c>
      <c r="G926" s="1">
        <v>44751</v>
      </c>
      <c r="H926">
        <v>113012.21</v>
      </c>
      <c r="I926" t="s">
        <v>367</v>
      </c>
      <c r="J926">
        <v>-4008385075</v>
      </c>
      <c r="K926" t="s">
        <v>23</v>
      </c>
      <c r="L926" t="b">
        <v>0</v>
      </c>
    </row>
    <row r="927" spans="1:12" x14ac:dyDescent="0.35">
      <c r="A927" t="s">
        <v>1506</v>
      </c>
      <c r="B927" t="s">
        <v>13</v>
      </c>
      <c r="C927" t="s">
        <v>38</v>
      </c>
      <c r="D927">
        <v>35</v>
      </c>
      <c r="E927" t="s">
        <v>39</v>
      </c>
      <c r="F927" t="s">
        <v>28</v>
      </c>
      <c r="G927" t="s">
        <v>1424</v>
      </c>
      <c r="H927">
        <v>65425.54</v>
      </c>
      <c r="I927" t="s">
        <v>144</v>
      </c>
      <c r="J927">
        <v>-5975954507</v>
      </c>
      <c r="K927" t="s">
        <v>41</v>
      </c>
      <c r="L927" t="b">
        <v>1</v>
      </c>
    </row>
    <row r="928" spans="1:12" x14ac:dyDescent="0.35">
      <c r="A928" t="s">
        <v>1507</v>
      </c>
      <c r="B928" t="s">
        <v>37</v>
      </c>
      <c r="C928" t="s">
        <v>26</v>
      </c>
      <c r="D928">
        <v>25</v>
      </c>
      <c r="E928" t="s">
        <v>219</v>
      </c>
      <c r="F928" t="s">
        <v>16</v>
      </c>
      <c r="G928" s="1">
        <v>45173</v>
      </c>
      <c r="H928">
        <v>86850.37</v>
      </c>
      <c r="I928" t="s">
        <v>47</v>
      </c>
      <c r="J928">
        <v>-9177680897</v>
      </c>
      <c r="K928" t="s">
        <v>23</v>
      </c>
      <c r="L928" t="b">
        <v>1</v>
      </c>
    </row>
    <row r="929" spans="1:12" x14ac:dyDescent="0.35">
      <c r="A929" t="s">
        <v>1508</v>
      </c>
      <c r="B929" t="s">
        <v>32</v>
      </c>
      <c r="C929" t="s">
        <v>20</v>
      </c>
      <c r="D929">
        <v>30</v>
      </c>
      <c r="E929" t="s">
        <v>159</v>
      </c>
      <c r="F929" t="s">
        <v>28</v>
      </c>
      <c r="G929" s="1">
        <v>45422</v>
      </c>
      <c r="H929">
        <v>81182.070000000007</v>
      </c>
      <c r="I929" t="s">
        <v>155</v>
      </c>
      <c r="J929">
        <v>-1265742230</v>
      </c>
      <c r="K929" t="s">
        <v>30</v>
      </c>
      <c r="L929" t="b">
        <v>1</v>
      </c>
    </row>
    <row r="930" spans="1:12" x14ac:dyDescent="0.35">
      <c r="A930" t="s">
        <v>1509</v>
      </c>
      <c r="B930" t="s">
        <v>13</v>
      </c>
      <c r="C930" t="s">
        <v>92</v>
      </c>
      <c r="E930" t="s">
        <v>227</v>
      </c>
      <c r="F930" t="s">
        <v>33</v>
      </c>
      <c r="G930" s="1">
        <v>44540</v>
      </c>
      <c r="H930">
        <v>92222.03</v>
      </c>
      <c r="I930" t="s">
        <v>93</v>
      </c>
      <c r="J930">
        <v>-9646300401</v>
      </c>
      <c r="K930" t="s">
        <v>41</v>
      </c>
      <c r="L930" t="b">
        <v>1</v>
      </c>
    </row>
    <row r="931" spans="1:12" x14ac:dyDescent="0.35">
      <c r="A931" t="s">
        <v>1510</v>
      </c>
      <c r="B931" t="s">
        <v>25</v>
      </c>
      <c r="C931" t="s">
        <v>122</v>
      </c>
      <c r="D931">
        <v>35</v>
      </c>
      <c r="E931" t="s">
        <v>227</v>
      </c>
      <c r="F931" t="s">
        <v>28</v>
      </c>
      <c r="G931" t="s">
        <v>1511</v>
      </c>
      <c r="H931">
        <v>79934.83</v>
      </c>
      <c r="I931" t="s">
        <v>182</v>
      </c>
      <c r="J931">
        <v>-3693626893</v>
      </c>
      <c r="K931" t="s">
        <v>18</v>
      </c>
      <c r="L931" t="b">
        <v>1</v>
      </c>
    </row>
    <row r="932" spans="1:12" x14ac:dyDescent="0.35">
      <c r="A932" t="s">
        <v>1512</v>
      </c>
      <c r="B932" t="s">
        <v>25</v>
      </c>
      <c r="C932" t="s">
        <v>14</v>
      </c>
      <c r="D932">
        <v>35</v>
      </c>
      <c r="E932" t="s">
        <v>146</v>
      </c>
      <c r="F932" t="s">
        <v>33</v>
      </c>
      <c r="G932" s="1">
        <v>44568</v>
      </c>
      <c r="H932">
        <v>111201.12</v>
      </c>
      <c r="I932" t="s">
        <v>163</v>
      </c>
      <c r="J932">
        <v>-3012047136</v>
      </c>
      <c r="K932" t="s">
        <v>41</v>
      </c>
      <c r="L932" t="b">
        <v>0</v>
      </c>
    </row>
    <row r="933" spans="1:12" x14ac:dyDescent="0.35">
      <c r="A933" t="s">
        <v>1513</v>
      </c>
      <c r="B933" t="s">
        <v>65</v>
      </c>
      <c r="C933" t="s">
        <v>20</v>
      </c>
      <c r="D933">
        <v>40</v>
      </c>
      <c r="E933" t="s">
        <v>70</v>
      </c>
      <c r="F933" t="s">
        <v>16</v>
      </c>
      <c r="G933" s="1">
        <v>45511</v>
      </c>
      <c r="H933">
        <v>100960.05</v>
      </c>
      <c r="I933" t="s">
        <v>404</v>
      </c>
      <c r="J933">
        <v>-2711759573</v>
      </c>
      <c r="K933" t="s">
        <v>18</v>
      </c>
      <c r="L933" t="b">
        <v>0</v>
      </c>
    </row>
    <row r="934" spans="1:12" x14ac:dyDescent="0.35">
      <c r="A934" t="s">
        <v>1514</v>
      </c>
      <c r="B934" t="s">
        <v>69</v>
      </c>
      <c r="C934" t="s">
        <v>122</v>
      </c>
      <c r="D934">
        <v>30</v>
      </c>
      <c r="E934" t="s">
        <v>98</v>
      </c>
      <c r="F934" t="s">
        <v>16</v>
      </c>
      <c r="G934" t="s">
        <v>1515</v>
      </c>
      <c r="H934">
        <v>64544.87</v>
      </c>
      <c r="I934" t="s">
        <v>135</v>
      </c>
      <c r="J934">
        <v>-9885582983</v>
      </c>
      <c r="K934" t="s">
        <v>18</v>
      </c>
      <c r="L934" t="b">
        <v>1</v>
      </c>
    </row>
    <row r="935" spans="1:12" x14ac:dyDescent="0.35">
      <c r="A935" t="s">
        <v>1516</v>
      </c>
      <c r="B935" t="s">
        <v>37</v>
      </c>
      <c r="C935" t="s">
        <v>122</v>
      </c>
      <c r="D935">
        <v>25</v>
      </c>
      <c r="E935" t="s">
        <v>74</v>
      </c>
      <c r="F935" t="s">
        <v>16</v>
      </c>
      <c r="G935" t="s">
        <v>1517</v>
      </c>
      <c r="H935">
        <v>78662.240000000005</v>
      </c>
      <c r="I935" t="s">
        <v>137</v>
      </c>
      <c r="J935">
        <v>-9330674583</v>
      </c>
      <c r="K935" t="s">
        <v>41</v>
      </c>
      <c r="L935" t="b">
        <v>1</v>
      </c>
    </row>
    <row r="936" spans="1:12" x14ac:dyDescent="0.35">
      <c r="A936" t="s">
        <v>1518</v>
      </c>
      <c r="B936" t="s">
        <v>69</v>
      </c>
      <c r="C936" t="s">
        <v>43</v>
      </c>
      <c r="D936">
        <v>30</v>
      </c>
      <c r="E936" t="s">
        <v>74</v>
      </c>
      <c r="F936" t="s">
        <v>28</v>
      </c>
      <c r="G936" s="1">
        <v>45172</v>
      </c>
      <c r="H936">
        <v>102867.06</v>
      </c>
      <c r="I936" t="s">
        <v>83</v>
      </c>
      <c r="J936">
        <v>-7609441282</v>
      </c>
      <c r="K936" t="s">
        <v>18</v>
      </c>
      <c r="L936" t="b">
        <v>1</v>
      </c>
    </row>
    <row r="937" spans="1:12" x14ac:dyDescent="0.35">
      <c r="A937" t="s">
        <v>1519</v>
      </c>
      <c r="B937" t="s">
        <v>54</v>
      </c>
      <c r="C937" t="s">
        <v>122</v>
      </c>
      <c r="D937">
        <v>40</v>
      </c>
      <c r="E937" t="s">
        <v>192</v>
      </c>
      <c r="F937" t="s">
        <v>33</v>
      </c>
      <c r="G937" t="s">
        <v>1121</v>
      </c>
      <c r="H937">
        <v>107595.95</v>
      </c>
      <c r="I937" t="s">
        <v>194</v>
      </c>
      <c r="J937">
        <v>-3372188565</v>
      </c>
      <c r="K937" t="s">
        <v>23</v>
      </c>
      <c r="L937" t="b">
        <v>1</v>
      </c>
    </row>
    <row r="938" spans="1:12" x14ac:dyDescent="0.35">
      <c r="A938" t="s">
        <v>1520</v>
      </c>
      <c r="B938" t="s">
        <v>32</v>
      </c>
      <c r="C938" t="s">
        <v>92</v>
      </c>
      <c r="D938">
        <v>40</v>
      </c>
      <c r="E938" t="s">
        <v>219</v>
      </c>
      <c r="F938" t="s">
        <v>33</v>
      </c>
      <c r="G938" s="1">
        <v>44290</v>
      </c>
      <c r="H938" t="s">
        <v>277</v>
      </c>
      <c r="I938" t="s">
        <v>263</v>
      </c>
      <c r="J938">
        <v>-6954132970</v>
      </c>
      <c r="K938" t="s">
        <v>30</v>
      </c>
      <c r="L938" t="b">
        <v>0</v>
      </c>
    </row>
    <row r="939" spans="1:12" x14ac:dyDescent="0.35">
      <c r="A939" t="s">
        <v>1521</v>
      </c>
      <c r="B939" t="s">
        <v>32</v>
      </c>
      <c r="C939" t="s">
        <v>26</v>
      </c>
      <c r="D939">
        <v>35</v>
      </c>
      <c r="E939" t="s">
        <v>329</v>
      </c>
      <c r="F939" t="s">
        <v>33</v>
      </c>
      <c r="G939" s="1">
        <v>44144</v>
      </c>
      <c r="H939">
        <v>95766.91</v>
      </c>
      <c r="I939" t="s">
        <v>278</v>
      </c>
      <c r="J939">
        <v>-5066626704</v>
      </c>
      <c r="K939" t="s">
        <v>18</v>
      </c>
      <c r="L939" t="b">
        <v>1</v>
      </c>
    </row>
    <row r="940" spans="1:12" x14ac:dyDescent="0.35">
      <c r="A940" t="s">
        <v>1522</v>
      </c>
      <c r="B940" t="s">
        <v>69</v>
      </c>
      <c r="C940" t="s">
        <v>92</v>
      </c>
      <c r="D940">
        <v>30</v>
      </c>
      <c r="E940" t="s">
        <v>100</v>
      </c>
      <c r="F940" t="s">
        <v>28</v>
      </c>
      <c r="G940" t="s">
        <v>1523</v>
      </c>
      <c r="H940">
        <v>51990.98</v>
      </c>
      <c r="I940" t="s">
        <v>168</v>
      </c>
      <c r="J940">
        <v>-5143776935</v>
      </c>
      <c r="K940" t="s">
        <v>23</v>
      </c>
      <c r="L940" t="b">
        <v>1</v>
      </c>
    </row>
    <row r="941" spans="1:12" x14ac:dyDescent="0.35">
      <c r="A941" t="s">
        <v>1524</v>
      </c>
      <c r="B941" t="s">
        <v>65</v>
      </c>
      <c r="C941" t="s">
        <v>55</v>
      </c>
      <c r="D941">
        <v>25</v>
      </c>
      <c r="E941" t="s">
        <v>219</v>
      </c>
      <c r="F941" t="s">
        <v>33</v>
      </c>
      <c r="G941" s="1">
        <v>45050</v>
      </c>
      <c r="H941">
        <v>83634.009999999995</v>
      </c>
      <c r="I941" t="s">
        <v>113</v>
      </c>
      <c r="J941">
        <v>-6343925294</v>
      </c>
      <c r="K941" t="s">
        <v>18</v>
      </c>
      <c r="L941" t="b">
        <v>1</v>
      </c>
    </row>
    <row r="942" spans="1:12" x14ac:dyDescent="0.35">
      <c r="A942" t="s">
        <v>1525</v>
      </c>
      <c r="B942" t="s">
        <v>32</v>
      </c>
      <c r="C942" t="s">
        <v>20</v>
      </c>
      <c r="D942">
        <v>40</v>
      </c>
      <c r="E942" t="s">
        <v>237</v>
      </c>
      <c r="F942" t="s">
        <v>33</v>
      </c>
      <c r="G942" t="s">
        <v>1526</v>
      </c>
      <c r="H942" t="s">
        <v>277</v>
      </c>
      <c r="I942" t="s">
        <v>155</v>
      </c>
      <c r="J942">
        <v>-9611110285</v>
      </c>
      <c r="K942" t="s">
        <v>30</v>
      </c>
      <c r="L942" t="b">
        <v>1</v>
      </c>
    </row>
    <row r="943" spans="1:12" x14ac:dyDescent="0.35">
      <c r="A943" t="s">
        <v>1527</v>
      </c>
      <c r="B943" t="s">
        <v>32</v>
      </c>
      <c r="C943" t="s">
        <v>26</v>
      </c>
      <c r="D943">
        <v>30</v>
      </c>
      <c r="E943" t="s">
        <v>44</v>
      </c>
      <c r="F943" t="s">
        <v>16</v>
      </c>
      <c r="G943" t="s">
        <v>905</v>
      </c>
      <c r="H943">
        <v>82273.08</v>
      </c>
      <c r="I943" t="s">
        <v>278</v>
      </c>
      <c r="J943">
        <v>-7120072023</v>
      </c>
      <c r="K943" t="s">
        <v>23</v>
      </c>
      <c r="L943" t="b">
        <v>0</v>
      </c>
    </row>
    <row r="944" spans="1:12" x14ac:dyDescent="0.35">
      <c r="A944" t="s">
        <v>1528</v>
      </c>
      <c r="B944" t="s">
        <v>37</v>
      </c>
      <c r="C944" t="s">
        <v>43</v>
      </c>
      <c r="D944">
        <v>30</v>
      </c>
      <c r="E944" t="s">
        <v>268</v>
      </c>
      <c r="F944" t="s">
        <v>33</v>
      </c>
      <c r="G944" s="1">
        <v>44809</v>
      </c>
      <c r="H944">
        <v>94537.3</v>
      </c>
      <c r="I944" t="s">
        <v>180</v>
      </c>
      <c r="J944">
        <v>-5591024509</v>
      </c>
      <c r="K944" t="s">
        <v>30</v>
      </c>
      <c r="L944" t="b">
        <v>1</v>
      </c>
    </row>
    <row r="945" spans="1:12" x14ac:dyDescent="0.35">
      <c r="A945" t="s">
        <v>1529</v>
      </c>
      <c r="B945" t="s">
        <v>25</v>
      </c>
      <c r="C945" t="s">
        <v>26</v>
      </c>
      <c r="D945">
        <v>35</v>
      </c>
      <c r="E945" t="s">
        <v>192</v>
      </c>
      <c r="F945" t="s">
        <v>28</v>
      </c>
      <c r="G945" s="1">
        <v>43988</v>
      </c>
      <c r="H945">
        <v>85970.65</v>
      </c>
      <c r="I945" t="s">
        <v>29</v>
      </c>
      <c r="J945">
        <v>-9109032670</v>
      </c>
      <c r="K945" t="s">
        <v>30</v>
      </c>
      <c r="L945" t="b">
        <v>1</v>
      </c>
    </row>
    <row r="946" spans="1:12" x14ac:dyDescent="0.35">
      <c r="A946" t="s">
        <v>1530</v>
      </c>
      <c r="B946" t="s">
        <v>54</v>
      </c>
      <c r="C946" t="s">
        <v>26</v>
      </c>
      <c r="D946">
        <v>25</v>
      </c>
      <c r="E946" t="s">
        <v>109</v>
      </c>
      <c r="F946" t="s">
        <v>28</v>
      </c>
      <c r="G946" t="s">
        <v>1531</v>
      </c>
      <c r="H946">
        <v>111071.02</v>
      </c>
      <c r="I946" t="s">
        <v>120</v>
      </c>
      <c r="J946">
        <v>-4949819420</v>
      </c>
      <c r="K946" t="s">
        <v>23</v>
      </c>
      <c r="L946" t="b">
        <v>0</v>
      </c>
    </row>
    <row r="947" spans="1:12" x14ac:dyDescent="0.35">
      <c r="A947" t="s">
        <v>1532</v>
      </c>
      <c r="B947" t="s">
        <v>32</v>
      </c>
      <c r="C947" t="s">
        <v>14</v>
      </c>
      <c r="D947">
        <v>35</v>
      </c>
      <c r="E947" t="s">
        <v>329</v>
      </c>
      <c r="F947" t="s">
        <v>28</v>
      </c>
      <c r="G947" s="1">
        <v>44896</v>
      </c>
      <c r="H947">
        <v>56708.34</v>
      </c>
      <c r="I947" t="s">
        <v>35</v>
      </c>
      <c r="J947">
        <v>-7942817933</v>
      </c>
      <c r="K947" t="s">
        <v>23</v>
      </c>
      <c r="L947" t="b">
        <v>0</v>
      </c>
    </row>
    <row r="948" spans="1:12" x14ac:dyDescent="0.35">
      <c r="A948" t="s">
        <v>1533</v>
      </c>
      <c r="B948" t="s">
        <v>54</v>
      </c>
      <c r="C948" t="s">
        <v>26</v>
      </c>
      <c r="D948">
        <v>25</v>
      </c>
      <c r="E948" t="s">
        <v>89</v>
      </c>
      <c r="F948" t="s">
        <v>33</v>
      </c>
      <c r="G948" s="1">
        <v>44594</v>
      </c>
      <c r="H948">
        <v>104516.55</v>
      </c>
      <c r="I948" t="s">
        <v>120</v>
      </c>
      <c r="J948">
        <v>-652775843</v>
      </c>
      <c r="K948" t="s">
        <v>23</v>
      </c>
      <c r="L948" t="b">
        <v>0</v>
      </c>
    </row>
    <row r="949" spans="1:12" x14ac:dyDescent="0.35">
      <c r="A949" t="s">
        <v>1534</v>
      </c>
      <c r="B949" t="s">
        <v>54</v>
      </c>
      <c r="C949" t="s">
        <v>43</v>
      </c>
      <c r="D949">
        <v>25</v>
      </c>
      <c r="E949" t="s">
        <v>196</v>
      </c>
      <c r="F949" t="s">
        <v>28</v>
      </c>
      <c r="G949" t="s">
        <v>842</v>
      </c>
      <c r="H949">
        <v>108210.15</v>
      </c>
      <c r="I949" t="s">
        <v>87</v>
      </c>
      <c r="J949">
        <v>-6634533721</v>
      </c>
      <c r="K949" t="s">
        <v>41</v>
      </c>
      <c r="L949" t="b">
        <v>1</v>
      </c>
    </row>
    <row r="950" spans="1:12" x14ac:dyDescent="0.35">
      <c r="A950" t="s">
        <v>1535</v>
      </c>
      <c r="B950" t="s">
        <v>13</v>
      </c>
      <c r="C950" t="s">
        <v>92</v>
      </c>
      <c r="D950">
        <v>40</v>
      </c>
      <c r="E950" t="s">
        <v>21</v>
      </c>
      <c r="F950" t="s">
        <v>16</v>
      </c>
      <c r="G950" s="1">
        <v>45359</v>
      </c>
      <c r="H950" t="s">
        <v>277</v>
      </c>
      <c r="I950" t="s">
        <v>93</v>
      </c>
      <c r="J950">
        <v>-109121721</v>
      </c>
      <c r="K950" t="s">
        <v>23</v>
      </c>
      <c r="L950" t="b">
        <v>1</v>
      </c>
    </row>
    <row r="951" spans="1:12" x14ac:dyDescent="0.35">
      <c r="A951" t="s">
        <v>1536</v>
      </c>
      <c r="B951" t="s">
        <v>37</v>
      </c>
      <c r="C951" t="s">
        <v>26</v>
      </c>
      <c r="D951">
        <v>35</v>
      </c>
      <c r="E951" t="s">
        <v>15</v>
      </c>
      <c r="F951" t="s">
        <v>16</v>
      </c>
      <c r="G951" t="s">
        <v>965</v>
      </c>
      <c r="H951">
        <v>80935.649999999994</v>
      </c>
      <c r="I951" t="s">
        <v>47</v>
      </c>
      <c r="J951">
        <v>-1455937660</v>
      </c>
      <c r="K951" t="s">
        <v>23</v>
      </c>
      <c r="L951" t="b">
        <v>0</v>
      </c>
    </row>
    <row r="952" spans="1:12" x14ac:dyDescent="0.35">
      <c r="A952" t="s">
        <v>1537</v>
      </c>
      <c r="B952" t="s">
        <v>37</v>
      </c>
      <c r="C952" t="s">
        <v>38</v>
      </c>
      <c r="D952">
        <v>30</v>
      </c>
      <c r="E952" t="s">
        <v>15</v>
      </c>
      <c r="F952" t="s">
        <v>16</v>
      </c>
      <c r="G952" s="1">
        <v>45385</v>
      </c>
      <c r="H952">
        <v>107020.19</v>
      </c>
      <c r="I952" t="s">
        <v>40</v>
      </c>
      <c r="J952">
        <v>-8943705262</v>
      </c>
      <c r="K952" t="s">
        <v>23</v>
      </c>
      <c r="L952" t="b">
        <v>0</v>
      </c>
    </row>
    <row r="953" spans="1:12" x14ac:dyDescent="0.35">
      <c r="A953" t="s">
        <v>1538</v>
      </c>
      <c r="B953" t="s">
        <v>54</v>
      </c>
      <c r="C953" t="s">
        <v>20</v>
      </c>
      <c r="D953">
        <v>30</v>
      </c>
      <c r="E953" t="s">
        <v>66</v>
      </c>
      <c r="F953" t="s">
        <v>16</v>
      </c>
      <c r="G953" t="s">
        <v>380</v>
      </c>
      <c r="H953">
        <v>118677.67</v>
      </c>
      <c r="I953" t="s">
        <v>125</v>
      </c>
      <c r="J953">
        <v>-5100462775</v>
      </c>
      <c r="K953" t="s">
        <v>23</v>
      </c>
      <c r="L953" t="b">
        <v>0</v>
      </c>
    </row>
    <row r="954" spans="1:12" x14ac:dyDescent="0.35">
      <c r="A954" t="s">
        <v>1539</v>
      </c>
      <c r="B954" t="s">
        <v>13</v>
      </c>
      <c r="C954" t="s">
        <v>26</v>
      </c>
      <c r="D954">
        <v>25</v>
      </c>
      <c r="E954" t="s">
        <v>39</v>
      </c>
      <c r="F954" t="s">
        <v>33</v>
      </c>
      <c r="G954" t="s">
        <v>810</v>
      </c>
      <c r="H954">
        <v>63744.57</v>
      </c>
      <c r="I954" t="s">
        <v>50</v>
      </c>
      <c r="J954">
        <v>-5725659201</v>
      </c>
      <c r="K954" t="s">
        <v>18</v>
      </c>
      <c r="L954" t="b">
        <v>0</v>
      </c>
    </row>
    <row r="955" spans="1:12" x14ac:dyDescent="0.35">
      <c r="A955" t="s">
        <v>1540</v>
      </c>
      <c r="B955" t="s">
        <v>25</v>
      </c>
      <c r="C955" t="s">
        <v>20</v>
      </c>
      <c r="D955">
        <v>40</v>
      </c>
      <c r="E955" t="s">
        <v>268</v>
      </c>
      <c r="F955" t="s">
        <v>16</v>
      </c>
      <c r="G955" t="s">
        <v>1541</v>
      </c>
      <c r="H955" t="s">
        <v>277</v>
      </c>
      <c r="I955" t="s">
        <v>80</v>
      </c>
      <c r="J955">
        <v>-4617520237</v>
      </c>
      <c r="K955" t="s">
        <v>41</v>
      </c>
      <c r="L955" t="b">
        <v>0</v>
      </c>
    </row>
    <row r="956" spans="1:12" x14ac:dyDescent="0.35">
      <c r="A956" t="s">
        <v>1542</v>
      </c>
      <c r="B956" t="s">
        <v>13</v>
      </c>
      <c r="C956" t="s">
        <v>38</v>
      </c>
      <c r="D956">
        <v>25</v>
      </c>
      <c r="E956" t="s">
        <v>109</v>
      </c>
      <c r="F956" t="s">
        <v>28</v>
      </c>
      <c r="G956" t="s">
        <v>1543</v>
      </c>
      <c r="H956">
        <v>62934.73</v>
      </c>
      <c r="I956" t="s">
        <v>144</v>
      </c>
      <c r="J956">
        <v>-9743260054</v>
      </c>
      <c r="K956" t="s">
        <v>30</v>
      </c>
      <c r="L956" t="b">
        <v>0</v>
      </c>
    </row>
    <row r="957" spans="1:12" x14ac:dyDescent="0.35">
      <c r="A957" t="s">
        <v>1544</v>
      </c>
      <c r="B957" t="s">
        <v>13</v>
      </c>
      <c r="C957" t="s">
        <v>38</v>
      </c>
      <c r="D957">
        <v>30</v>
      </c>
      <c r="E957" t="s">
        <v>15</v>
      </c>
      <c r="F957" t="s">
        <v>28</v>
      </c>
      <c r="G957" t="s">
        <v>1447</v>
      </c>
      <c r="H957">
        <v>74654.23</v>
      </c>
      <c r="I957" t="s">
        <v>144</v>
      </c>
      <c r="J957">
        <v>-9550178331</v>
      </c>
      <c r="K957" t="s">
        <v>23</v>
      </c>
      <c r="L957" t="b">
        <v>1</v>
      </c>
    </row>
    <row r="958" spans="1:12" x14ac:dyDescent="0.35">
      <c r="A958" t="s">
        <v>1545</v>
      </c>
      <c r="B958" t="s">
        <v>59</v>
      </c>
      <c r="C958" t="s">
        <v>20</v>
      </c>
      <c r="E958" t="s">
        <v>44</v>
      </c>
      <c r="F958" t="s">
        <v>16</v>
      </c>
      <c r="G958" s="1">
        <v>45420</v>
      </c>
      <c r="H958" t="s">
        <v>277</v>
      </c>
      <c r="I958" t="s">
        <v>225</v>
      </c>
      <c r="J958">
        <v>-5848689992</v>
      </c>
      <c r="K958" t="s">
        <v>18</v>
      </c>
      <c r="L958" t="b">
        <v>1</v>
      </c>
    </row>
    <row r="959" spans="1:12" x14ac:dyDescent="0.35">
      <c r="A959" t="s">
        <v>1546</v>
      </c>
      <c r="B959" t="s">
        <v>59</v>
      </c>
      <c r="C959" t="s">
        <v>122</v>
      </c>
      <c r="D959">
        <v>30</v>
      </c>
      <c r="E959" t="s">
        <v>66</v>
      </c>
      <c r="F959" t="s">
        <v>28</v>
      </c>
      <c r="G959" s="1">
        <v>44075</v>
      </c>
      <c r="H959">
        <v>118150.59</v>
      </c>
      <c r="I959" t="s">
        <v>341</v>
      </c>
      <c r="J959">
        <v>-6079848703</v>
      </c>
      <c r="K959" t="s">
        <v>18</v>
      </c>
      <c r="L959" t="b">
        <v>1</v>
      </c>
    </row>
    <row r="960" spans="1:12" x14ac:dyDescent="0.35">
      <c r="A960" t="s">
        <v>1547</v>
      </c>
      <c r="B960" t="s">
        <v>59</v>
      </c>
      <c r="C960" t="s">
        <v>55</v>
      </c>
      <c r="E960" t="s">
        <v>230</v>
      </c>
      <c r="F960" t="s">
        <v>33</v>
      </c>
      <c r="G960" t="s">
        <v>1548</v>
      </c>
      <c r="H960">
        <v>91256.639999999999</v>
      </c>
      <c r="I960" t="s">
        <v>217</v>
      </c>
      <c r="J960">
        <v>-5069176798</v>
      </c>
      <c r="K960" t="s">
        <v>18</v>
      </c>
      <c r="L960" t="b">
        <v>0</v>
      </c>
    </row>
    <row r="961" spans="1:12" x14ac:dyDescent="0.35">
      <c r="A961" t="s">
        <v>1549</v>
      </c>
      <c r="B961" t="s">
        <v>13</v>
      </c>
      <c r="C961" t="s">
        <v>14</v>
      </c>
      <c r="D961">
        <v>30</v>
      </c>
      <c r="E961" t="s">
        <v>212</v>
      </c>
      <c r="F961" t="s">
        <v>33</v>
      </c>
      <c r="G961" t="s">
        <v>1217</v>
      </c>
      <c r="H961">
        <v>85997.57</v>
      </c>
      <c r="I961" t="s">
        <v>17</v>
      </c>
      <c r="J961">
        <v>-3593744038</v>
      </c>
      <c r="K961" t="s">
        <v>30</v>
      </c>
      <c r="L961" t="b">
        <v>0</v>
      </c>
    </row>
    <row r="962" spans="1:12" x14ac:dyDescent="0.35">
      <c r="A962" t="s">
        <v>1550</v>
      </c>
      <c r="B962" t="s">
        <v>37</v>
      </c>
      <c r="C962" t="s">
        <v>122</v>
      </c>
      <c r="D962">
        <v>25</v>
      </c>
      <c r="E962" t="s">
        <v>21</v>
      </c>
      <c r="F962" t="s">
        <v>28</v>
      </c>
      <c r="G962" s="1">
        <v>43961</v>
      </c>
      <c r="H962">
        <v>84707.12</v>
      </c>
      <c r="I962" t="s">
        <v>137</v>
      </c>
      <c r="J962">
        <v>-4640830372</v>
      </c>
      <c r="K962" t="s">
        <v>23</v>
      </c>
      <c r="L962" t="b">
        <v>0</v>
      </c>
    </row>
    <row r="963" spans="1:12" x14ac:dyDescent="0.35">
      <c r="A963" t="s">
        <v>1551</v>
      </c>
      <c r="B963" t="s">
        <v>32</v>
      </c>
      <c r="C963" t="s">
        <v>122</v>
      </c>
      <c r="E963" t="s">
        <v>237</v>
      </c>
      <c r="F963" t="s">
        <v>16</v>
      </c>
      <c r="G963" s="1">
        <v>44238</v>
      </c>
      <c r="H963">
        <v>84559.9</v>
      </c>
      <c r="I963" t="s">
        <v>522</v>
      </c>
      <c r="J963">
        <v>-6060148859</v>
      </c>
      <c r="K963" t="s">
        <v>41</v>
      </c>
      <c r="L963" t="b">
        <v>0</v>
      </c>
    </row>
    <row r="964" spans="1:12" x14ac:dyDescent="0.35">
      <c r="A964" t="s">
        <v>1552</v>
      </c>
      <c r="B964" t="s">
        <v>65</v>
      </c>
      <c r="C964" t="s">
        <v>92</v>
      </c>
      <c r="E964" t="s">
        <v>15</v>
      </c>
      <c r="F964" t="s">
        <v>28</v>
      </c>
      <c r="G964" t="s">
        <v>1424</v>
      </c>
      <c r="H964">
        <v>81076.91</v>
      </c>
      <c r="I964" t="s">
        <v>130</v>
      </c>
      <c r="J964">
        <v>-8490793883</v>
      </c>
      <c r="K964" t="s">
        <v>41</v>
      </c>
      <c r="L964" t="b">
        <v>0</v>
      </c>
    </row>
    <row r="965" spans="1:12" x14ac:dyDescent="0.35">
      <c r="A965" t="s">
        <v>1553</v>
      </c>
      <c r="B965" t="s">
        <v>32</v>
      </c>
      <c r="C965" t="s">
        <v>14</v>
      </c>
      <c r="D965">
        <v>40</v>
      </c>
      <c r="E965" t="s">
        <v>103</v>
      </c>
      <c r="F965" t="s">
        <v>33</v>
      </c>
      <c r="G965" t="s">
        <v>1554</v>
      </c>
      <c r="H965" t="s">
        <v>277</v>
      </c>
      <c r="I965" t="s">
        <v>35</v>
      </c>
      <c r="J965">
        <v>-1368528305</v>
      </c>
      <c r="K965" t="s">
        <v>18</v>
      </c>
      <c r="L965" t="b">
        <v>0</v>
      </c>
    </row>
    <row r="966" spans="1:12" x14ac:dyDescent="0.35">
      <c r="A966" t="s">
        <v>1555</v>
      </c>
      <c r="B966" t="s">
        <v>65</v>
      </c>
      <c r="C966" t="s">
        <v>14</v>
      </c>
      <c r="D966">
        <v>25</v>
      </c>
      <c r="E966" t="s">
        <v>112</v>
      </c>
      <c r="F966" t="s">
        <v>28</v>
      </c>
      <c r="G966" s="1">
        <v>45208</v>
      </c>
      <c r="H966">
        <v>97356.31</v>
      </c>
      <c r="I966" t="s">
        <v>395</v>
      </c>
      <c r="J966">
        <v>-1537012423</v>
      </c>
      <c r="K966" t="s">
        <v>30</v>
      </c>
      <c r="L966" t="b">
        <v>1</v>
      </c>
    </row>
    <row r="967" spans="1:12" x14ac:dyDescent="0.35">
      <c r="A967" t="s">
        <v>1556</v>
      </c>
      <c r="B967" t="s">
        <v>69</v>
      </c>
      <c r="C967" t="s">
        <v>122</v>
      </c>
      <c r="D967">
        <v>40</v>
      </c>
      <c r="E967" t="s">
        <v>78</v>
      </c>
      <c r="F967" t="s">
        <v>16</v>
      </c>
      <c r="G967" t="s">
        <v>635</v>
      </c>
      <c r="H967">
        <v>114770.32</v>
      </c>
      <c r="I967" t="s">
        <v>135</v>
      </c>
      <c r="J967">
        <v>-4626325143</v>
      </c>
      <c r="K967" t="s">
        <v>30</v>
      </c>
      <c r="L967" t="b">
        <v>1</v>
      </c>
    </row>
    <row r="968" spans="1:12" x14ac:dyDescent="0.35">
      <c r="A968" t="s">
        <v>1557</v>
      </c>
      <c r="B968" t="s">
        <v>13</v>
      </c>
      <c r="C968" t="s">
        <v>26</v>
      </c>
      <c r="D968">
        <v>35</v>
      </c>
      <c r="E968" t="s">
        <v>118</v>
      </c>
      <c r="F968" t="s">
        <v>16</v>
      </c>
      <c r="G968" s="1">
        <v>44990</v>
      </c>
      <c r="H968">
        <v>109082.07</v>
      </c>
      <c r="I968" t="s">
        <v>50</v>
      </c>
      <c r="J968">
        <v>-8811210313</v>
      </c>
      <c r="K968" t="s">
        <v>30</v>
      </c>
      <c r="L968" t="b">
        <v>0</v>
      </c>
    </row>
    <row r="969" spans="1:12" x14ac:dyDescent="0.35">
      <c r="A969" t="s">
        <v>1558</v>
      </c>
      <c r="B969" t="s">
        <v>59</v>
      </c>
      <c r="C969" t="s">
        <v>92</v>
      </c>
      <c r="D969">
        <v>40</v>
      </c>
      <c r="E969" t="s">
        <v>230</v>
      </c>
      <c r="F969" t="s">
        <v>33</v>
      </c>
      <c r="G969" t="s">
        <v>1559</v>
      </c>
      <c r="H969">
        <v>99944.57</v>
      </c>
      <c r="I969" t="s">
        <v>107</v>
      </c>
      <c r="J969">
        <v>-2175188780</v>
      </c>
      <c r="K969" t="s">
        <v>41</v>
      </c>
      <c r="L969" t="b">
        <v>1</v>
      </c>
    </row>
    <row r="970" spans="1:12" x14ac:dyDescent="0.35">
      <c r="A970" t="s">
        <v>1560</v>
      </c>
      <c r="B970" t="s">
        <v>32</v>
      </c>
      <c r="C970" t="s">
        <v>92</v>
      </c>
      <c r="D970">
        <v>40</v>
      </c>
      <c r="E970" t="s">
        <v>212</v>
      </c>
      <c r="F970" t="s">
        <v>28</v>
      </c>
      <c r="G970" t="s">
        <v>1077</v>
      </c>
      <c r="H970">
        <v>116509.72</v>
      </c>
      <c r="I970" t="s">
        <v>263</v>
      </c>
      <c r="J970">
        <v>-7941515262</v>
      </c>
      <c r="K970" t="s">
        <v>18</v>
      </c>
      <c r="L970" t="b">
        <v>0</v>
      </c>
    </row>
    <row r="971" spans="1:12" x14ac:dyDescent="0.35">
      <c r="A971" t="s">
        <v>1561</v>
      </c>
      <c r="B971" t="s">
        <v>32</v>
      </c>
      <c r="C971" t="s">
        <v>38</v>
      </c>
      <c r="D971">
        <v>30</v>
      </c>
      <c r="E971" t="s">
        <v>21</v>
      </c>
      <c r="F971" t="s">
        <v>16</v>
      </c>
      <c r="G971" t="s">
        <v>519</v>
      </c>
      <c r="H971">
        <v>84253.9</v>
      </c>
      <c r="I971" t="s">
        <v>141</v>
      </c>
      <c r="J971">
        <v>-8409112251</v>
      </c>
      <c r="K971" t="s">
        <v>23</v>
      </c>
      <c r="L971" t="b">
        <v>1</v>
      </c>
    </row>
    <row r="972" spans="1:12" x14ac:dyDescent="0.35">
      <c r="A972" t="s">
        <v>1562</v>
      </c>
      <c r="B972" t="s">
        <v>54</v>
      </c>
      <c r="C972" t="s">
        <v>43</v>
      </c>
      <c r="D972">
        <v>25</v>
      </c>
      <c r="E972" t="s">
        <v>85</v>
      </c>
      <c r="F972" t="s">
        <v>16</v>
      </c>
      <c r="G972" t="s">
        <v>1563</v>
      </c>
      <c r="H972">
        <v>54776.01</v>
      </c>
      <c r="I972" t="s">
        <v>87</v>
      </c>
      <c r="J972">
        <v>-8837505660</v>
      </c>
      <c r="K972" t="s">
        <v>41</v>
      </c>
      <c r="L972" t="b">
        <v>0</v>
      </c>
    </row>
    <row r="973" spans="1:12" x14ac:dyDescent="0.35">
      <c r="A973" t="s">
        <v>1564</v>
      </c>
      <c r="B973" t="s">
        <v>54</v>
      </c>
      <c r="C973" t="s">
        <v>14</v>
      </c>
      <c r="D973">
        <v>40</v>
      </c>
      <c r="E973" t="s">
        <v>219</v>
      </c>
      <c r="F973" t="s">
        <v>33</v>
      </c>
      <c r="G973" s="1">
        <v>44054</v>
      </c>
      <c r="H973">
        <v>71192.679999999993</v>
      </c>
      <c r="I973" t="s">
        <v>170</v>
      </c>
      <c r="J973">
        <v>-8632397912</v>
      </c>
      <c r="K973" t="s">
        <v>18</v>
      </c>
      <c r="L973" t="b">
        <v>0</v>
      </c>
    </row>
    <row r="974" spans="1:12" x14ac:dyDescent="0.35">
      <c r="A974" t="s">
        <v>1565</v>
      </c>
      <c r="B974" t="s">
        <v>13</v>
      </c>
      <c r="C974" t="s">
        <v>122</v>
      </c>
      <c r="E974" t="s">
        <v>112</v>
      </c>
      <c r="F974" t="s">
        <v>16</v>
      </c>
      <c r="G974" t="s">
        <v>1566</v>
      </c>
      <c r="H974">
        <v>96346.53</v>
      </c>
      <c r="I974" t="s">
        <v>123</v>
      </c>
      <c r="J974">
        <v>-7876553006</v>
      </c>
      <c r="K974" t="s">
        <v>18</v>
      </c>
      <c r="L974" t="b">
        <v>1</v>
      </c>
    </row>
    <row r="975" spans="1:12" x14ac:dyDescent="0.35">
      <c r="A975" t="s">
        <v>1567</v>
      </c>
      <c r="B975" t="s">
        <v>32</v>
      </c>
      <c r="C975" t="s">
        <v>38</v>
      </c>
      <c r="E975" t="s">
        <v>192</v>
      </c>
      <c r="F975" t="s">
        <v>28</v>
      </c>
      <c r="G975" s="1">
        <v>43984</v>
      </c>
      <c r="H975">
        <v>116680.63</v>
      </c>
      <c r="I975" t="s">
        <v>141</v>
      </c>
      <c r="J975">
        <v>-3095055604</v>
      </c>
      <c r="K975" t="s">
        <v>23</v>
      </c>
      <c r="L975" t="b">
        <v>1</v>
      </c>
    </row>
    <row r="976" spans="1:12" x14ac:dyDescent="0.35">
      <c r="A976" t="s">
        <v>1568</v>
      </c>
      <c r="B976" t="s">
        <v>69</v>
      </c>
      <c r="C976" t="s">
        <v>20</v>
      </c>
      <c r="D976">
        <v>25</v>
      </c>
      <c r="E976" t="s">
        <v>112</v>
      </c>
      <c r="F976" t="s">
        <v>33</v>
      </c>
      <c r="G976" s="1">
        <v>45636</v>
      </c>
      <c r="H976">
        <v>76343.56</v>
      </c>
      <c r="I976" t="s">
        <v>201</v>
      </c>
      <c r="J976">
        <v>-7121988191</v>
      </c>
      <c r="K976" t="s">
        <v>23</v>
      </c>
      <c r="L976" t="b">
        <v>0</v>
      </c>
    </row>
    <row r="977" spans="1:12" x14ac:dyDescent="0.35">
      <c r="A977" t="s">
        <v>1569</v>
      </c>
      <c r="B977" t="s">
        <v>25</v>
      </c>
      <c r="C977" t="s">
        <v>55</v>
      </c>
      <c r="D977">
        <v>30</v>
      </c>
      <c r="E977" t="s">
        <v>219</v>
      </c>
      <c r="F977" t="s">
        <v>33</v>
      </c>
      <c r="G977" t="s">
        <v>1285</v>
      </c>
      <c r="H977">
        <v>99424.14</v>
      </c>
      <c r="I977" t="s">
        <v>150</v>
      </c>
      <c r="J977">
        <v>-7788519052</v>
      </c>
      <c r="K977" t="s">
        <v>23</v>
      </c>
      <c r="L977" t="b">
        <v>0</v>
      </c>
    </row>
    <row r="978" spans="1:12" x14ac:dyDescent="0.35">
      <c r="A978" t="s">
        <v>1570</v>
      </c>
      <c r="B978" t="s">
        <v>54</v>
      </c>
      <c r="C978" t="s">
        <v>43</v>
      </c>
      <c r="D978">
        <v>35</v>
      </c>
      <c r="E978" t="s">
        <v>230</v>
      </c>
      <c r="F978" t="s">
        <v>33</v>
      </c>
      <c r="G978" t="s">
        <v>1571</v>
      </c>
      <c r="H978">
        <v>57656.74</v>
      </c>
      <c r="I978" t="s">
        <v>87</v>
      </c>
      <c r="J978">
        <v>-4864010423</v>
      </c>
      <c r="K978" t="s">
        <v>30</v>
      </c>
      <c r="L978" t="b">
        <v>1</v>
      </c>
    </row>
    <row r="979" spans="1:12" x14ac:dyDescent="0.35">
      <c r="A979" t="s">
        <v>1572</v>
      </c>
      <c r="B979" t="s">
        <v>65</v>
      </c>
      <c r="C979" t="s">
        <v>43</v>
      </c>
      <c r="D979">
        <v>40</v>
      </c>
      <c r="E979" t="s">
        <v>109</v>
      </c>
      <c r="F979" t="s">
        <v>28</v>
      </c>
      <c r="G979" t="s">
        <v>658</v>
      </c>
      <c r="H979">
        <v>77396.94</v>
      </c>
      <c r="I979" t="s">
        <v>257</v>
      </c>
      <c r="J979">
        <v>-6245618516</v>
      </c>
      <c r="K979" t="s">
        <v>23</v>
      </c>
      <c r="L979" t="b">
        <v>1</v>
      </c>
    </row>
    <row r="980" spans="1:12" x14ac:dyDescent="0.35">
      <c r="A980" t="s">
        <v>1573</v>
      </c>
      <c r="B980" t="s">
        <v>69</v>
      </c>
      <c r="C980" t="s">
        <v>43</v>
      </c>
      <c r="E980" t="s">
        <v>15</v>
      </c>
      <c r="F980" t="s">
        <v>33</v>
      </c>
      <c r="G980" t="s">
        <v>1574</v>
      </c>
      <c r="H980">
        <v>54299.68</v>
      </c>
      <c r="I980" t="s">
        <v>83</v>
      </c>
      <c r="J980">
        <v>-4460045211</v>
      </c>
      <c r="K980" t="s">
        <v>18</v>
      </c>
      <c r="L980" t="b">
        <v>0</v>
      </c>
    </row>
    <row r="981" spans="1:12" x14ac:dyDescent="0.35">
      <c r="A981" t="s">
        <v>1575</v>
      </c>
      <c r="B981" t="s">
        <v>54</v>
      </c>
      <c r="C981" t="s">
        <v>92</v>
      </c>
      <c r="D981">
        <v>35</v>
      </c>
      <c r="E981" t="s">
        <v>149</v>
      </c>
      <c r="F981" t="s">
        <v>28</v>
      </c>
      <c r="G981" t="s">
        <v>1576</v>
      </c>
      <c r="H981">
        <v>103563.58</v>
      </c>
      <c r="I981" t="s">
        <v>502</v>
      </c>
      <c r="J981">
        <v>-8991511454</v>
      </c>
      <c r="K981" t="s">
        <v>23</v>
      </c>
      <c r="L981" t="b">
        <v>1</v>
      </c>
    </row>
    <row r="982" spans="1:12" x14ac:dyDescent="0.35">
      <c r="A982" t="s">
        <v>1577</v>
      </c>
      <c r="B982" t="s">
        <v>69</v>
      </c>
      <c r="C982" t="s">
        <v>20</v>
      </c>
      <c r="D982">
        <v>25</v>
      </c>
      <c r="E982" t="s">
        <v>70</v>
      </c>
      <c r="F982" t="s">
        <v>33</v>
      </c>
      <c r="G982" t="s">
        <v>754</v>
      </c>
      <c r="H982">
        <v>74588.850000000006</v>
      </c>
      <c r="I982" t="s">
        <v>201</v>
      </c>
      <c r="J982">
        <v>-1293913043</v>
      </c>
      <c r="K982" t="s">
        <v>18</v>
      </c>
      <c r="L982" t="b">
        <v>0</v>
      </c>
    </row>
    <row r="983" spans="1:12" x14ac:dyDescent="0.35">
      <c r="A983" t="s">
        <v>1578</v>
      </c>
      <c r="B983" t="s">
        <v>59</v>
      </c>
      <c r="C983" t="s">
        <v>43</v>
      </c>
      <c r="D983">
        <v>30</v>
      </c>
      <c r="E983" t="s">
        <v>15</v>
      </c>
      <c r="F983" t="s">
        <v>28</v>
      </c>
      <c r="G983" t="s">
        <v>1579</v>
      </c>
      <c r="H983">
        <v>113727.23</v>
      </c>
      <c r="I983" t="s">
        <v>101</v>
      </c>
      <c r="J983">
        <v>-8818984840</v>
      </c>
      <c r="K983" t="s">
        <v>41</v>
      </c>
      <c r="L983" t="b">
        <v>0</v>
      </c>
    </row>
    <row r="984" spans="1:12" x14ac:dyDescent="0.35">
      <c r="A984" t="s">
        <v>1580</v>
      </c>
      <c r="B984" t="s">
        <v>32</v>
      </c>
      <c r="C984" t="s">
        <v>20</v>
      </c>
      <c r="D984">
        <v>25</v>
      </c>
      <c r="E984" t="s">
        <v>66</v>
      </c>
      <c r="F984" t="s">
        <v>16</v>
      </c>
      <c r="G984" s="1">
        <v>45108</v>
      </c>
      <c r="H984">
        <v>72828.179999999993</v>
      </c>
      <c r="I984" t="s">
        <v>155</v>
      </c>
      <c r="J984">
        <v>-6046154020</v>
      </c>
      <c r="K984" t="s">
        <v>30</v>
      </c>
      <c r="L984" t="b">
        <v>0</v>
      </c>
    </row>
    <row r="985" spans="1:12" x14ac:dyDescent="0.35">
      <c r="A985" t="s">
        <v>1581</v>
      </c>
      <c r="B985" t="s">
        <v>69</v>
      </c>
      <c r="C985" t="s">
        <v>26</v>
      </c>
      <c r="E985" t="s">
        <v>74</v>
      </c>
      <c r="F985" t="s">
        <v>33</v>
      </c>
      <c r="G985" s="1">
        <v>44137</v>
      </c>
      <c r="H985">
        <v>98717.09</v>
      </c>
      <c r="I985" t="s">
        <v>76</v>
      </c>
      <c r="J985">
        <v>-1901707567</v>
      </c>
      <c r="K985" t="s">
        <v>41</v>
      </c>
      <c r="L985" t="b">
        <v>0</v>
      </c>
    </row>
    <row r="986" spans="1:12" x14ac:dyDescent="0.35">
      <c r="A986" t="s">
        <v>1582</v>
      </c>
      <c r="B986" t="s">
        <v>37</v>
      </c>
      <c r="C986" t="s">
        <v>43</v>
      </c>
      <c r="D986">
        <v>40</v>
      </c>
      <c r="E986" t="s">
        <v>74</v>
      </c>
      <c r="F986" t="s">
        <v>33</v>
      </c>
      <c r="G986" t="s">
        <v>512</v>
      </c>
      <c r="H986">
        <v>56840.800000000003</v>
      </c>
      <c r="I986" t="s">
        <v>180</v>
      </c>
      <c r="J986">
        <v>-1429831521</v>
      </c>
      <c r="K986" t="s">
        <v>41</v>
      </c>
      <c r="L986" t="b">
        <v>1</v>
      </c>
    </row>
    <row r="987" spans="1:12" x14ac:dyDescent="0.35">
      <c r="A987" t="s">
        <v>1583</v>
      </c>
      <c r="B987" t="s">
        <v>59</v>
      </c>
      <c r="C987" t="s">
        <v>55</v>
      </c>
      <c r="D987">
        <v>35</v>
      </c>
      <c r="E987" t="s">
        <v>265</v>
      </c>
      <c r="F987" t="s">
        <v>28</v>
      </c>
      <c r="G987" t="s">
        <v>1584</v>
      </c>
      <c r="H987">
        <v>61663.91</v>
      </c>
      <c r="I987" t="s">
        <v>217</v>
      </c>
      <c r="J987">
        <v>-9107322835</v>
      </c>
      <c r="K987" t="s">
        <v>18</v>
      </c>
      <c r="L987" t="b">
        <v>1</v>
      </c>
    </row>
    <row r="988" spans="1:12" x14ac:dyDescent="0.35">
      <c r="A988" t="s">
        <v>1585</v>
      </c>
      <c r="B988" t="s">
        <v>69</v>
      </c>
      <c r="C988" t="s">
        <v>20</v>
      </c>
      <c r="D988">
        <v>30</v>
      </c>
      <c r="E988" t="s">
        <v>100</v>
      </c>
      <c r="F988" t="s">
        <v>16</v>
      </c>
      <c r="G988" t="s">
        <v>1586</v>
      </c>
      <c r="H988">
        <v>109523.4</v>
      </c>
      <c r="I988" t="s">
        <v>201</v>
      </c>
      <c r="J988">
        <v>-849378305</v>
      </c>
      <c r="K988" t="s">
        <v>41</v>
      </c>
      <c r="L988" t="b">
        <v>1</v>
      </c>
    </row>
    <row r="989" spans="1:12" x14ac:dyDescent="0.35">
      <c r="A989" t="s">
        <v>1587</v>
      </c>
      <c r="B989" t="s">
        <v>32</v>
      </c>
      <c r="C989" t="s">
        <v>20</v>
      </c>
      <c r="D989">
        <v>25</v>
      </c>
      <c r="E989" t="s">
        <v>192</v>
      </c>
      <c r="F989" t="s">
        <v>33</v>
      </c>
      <c r="G989" s="1">
        <v>45419</v>
      </c>
      <c r="H989">
        <v>65812.02</v>
      </c>
      <c r="I989" t="s">
        <v>155</v>
      </c>
      <c r="J989">
        <v>-3963845268</v>
      </c>
      <c r="K989" t="s">
        <v>18</v>
      </c>
      <c r="L989" t="b">
        <v>1</v>
      </c>
    </row>
    <row r="990" spans="1:12" x14ac:dyDescent="0.35">
      <c r="A990" t="s">
        <v>1588</v>
      </c>
      <c r="B990" t="s">
        <v>13</v>
      </c>
      <c r="C990" t="s">
        <v>55</v>
      </c>
      <c r="E990" t="s">
        <v>95</v>
      </c>
      <c r="F990" t="s">
        <v>33</v>
      </c>
      <c r="G990" t="s">
        <v>1589</v>
      </c>
      <c r="H990">
        <v>54708.88</v>
      </c>
      <c r="I990" t="s">
        <v>199</v>
      </c>
      <c r="J990">
        <v>-6944391648</v>
      </c>
      <c r="K990" t="s">
        <v>23</v>
      </c>
      <c r="L990" t="b">
        <v>1</v>
      </c>
    </row>
    <row r="991" spans="1:12" x14ac:dyDescent="0.35">
      <c r="A991" t="s">
        <v>1590</v>
      </c>
      <c r="B991" t="s">
        <v>65</v>
      </c>
      <c r="C991" t="s">
        <v>43</v>
      </c>
      <c r="D991">
        <v>40</v>
      </c>
      <c r="E991" t="s">
        <v>118</v>
      </c>
      <c r="F991" t="s">
        <v>16</v>
      </c>
      <c r="G991" t="s">
        <v>903</v>
      </c>
      <c r="H991">
        <v>107661.73</v>
      </c>
      <c r="I991" t="s">
        <v>257</v>
      </c>
      <c r="J991">
        <v>-7016934291</v>
      </c>
      <c r="K991" t="s">
        <v>23</v>
      </c>
      <c r="L991" t="b">
        <v>1</v>
      </c>
    </row>
    <row r="992" spans="1:12" x14ac:dyDescent="0.35">
      <c r="A992" t="s">
        <v>1591</v>
      </c>
      <c r="B992" t="s">
        <v>32</v>
      </c>
      <c r="C992" t="s">
        <v>55</v>
      </c>
      <c r="D992">
        <v>40</v>
      </c>
      <c r="E992" t="s">
        <v>78</v>
      </c>
      <c r="F992" t="s">
        <v>33</v>
      </c>
      <c r="G992" t="s">
        <v>1543</v>
      </c>
      <c r="H992">
        <v>79002</v>
      </c>
      <c r="I992" t="s">
        <v>323</v>
      </c>
      <c r="J992">
        <v>-9132033015</v>
      </c>
      <c r="K992" t="s">
        <v>18</v>
      </c>
      <c r="L992" t="b">
        <v>1</v>
      </c>
    </row>
    <row r="993" spans="1:12" x14ac:dyDescent="0.35">
      <c r="A993" t="s">
        <v>1592</v>
      </c>
      <c r="B993" t="s">
        <v>65</v>
      </c>
      <c r="C993" t="s">
        <v>20</v>
      </c>
      <c r="E993" t="s">
        <v>103</v>
      </c>
      <c r="F993" t="s">
        <v>28</v>
      </c>
      <c r="G993" s="1">
        <v>45242</v>
      </c>
      <c r="H993">
        <v>86135.69</v>
      </c>
      <c r="I993" t="s">
        <v>404</v>
      </c>
      <c r="J993">
        <v>-2341903105</v>
      </c>
      <c r="K993" t="s">
        <v>23</v>
      </c>
      <c r="L993" t="b">
        <v>0</v>
      </c>
    </row>
    <row r="994" spans="1:12" x14ac:dyDescent="0.35">
      <c r="A994" t="s">
        <v>1593</v>
      </c>
      <c r="B994" t="s">
        <v>65</v>
      </c>
      <c r="C994" t="s">
        <v>55</v>
      </c>
      <c r="D994">
        <v>30</v>
      </c>
      <c r="E994" t="s">
        <v>329</v>
      </c>
      <c r="F994" t="s">
        <v>33</v>
      </c>
      <c r="G994" s="1">
        <v>44234</v>
      </c>
      <c r="H994">
        <v>115601.4</v>
      </c>
      <c r="I994" t="s">
        <v>113</v>
      </c>
      <c r="J994">
        <v>-1537221555</v>
      </c>
      <c r="K994" t="s">
        <v>30</v>
      </c>
      <c r="L994" t="b">
        <v>1</v>
      </c>
    </row>
    <row r="995" spans="1:12" x14ac:dyDescent="0.35">
      <c r="A995" t="s">
        <v>1594</v>
      </c>
      <c r="B995" t="s">
        <v>69</v>
      </c>
      <c r="C995" t="s">
        <v>20</v>
      </c>
      <c r="E995" t="s">
        <v>329</v>
      </c>
      <c r="F995" t="s">
        <v>16</v>
      </c>
      <c r="G995" s="1">
        <v>44693</v>
      </c>
      <c r="H995">
        <v>64045.36</v>
      </c>
      <c r="I995" t="s">
        <v>201</v>
      </c>
      <c r="J995">
        <v>-6847323652</v>
      </c>
      <c r="K995" t="s">
        <v>41</v>
      </c>
      <c r="L995" t="b">
        <v>1</v>
      </c>
    </row>
    <row r="996" spans="1:12" x14ac:dyDescent="0.35">
      <c r="A996" t="s">
        <v>1595</v>
      </c>
      <c r="B996" t="s">
        <v>59</v>
      </c>
      <c r="C996" t="s">
        <v>20</v>
      </c>
      <c r="D996">
        <v>30</v>
      </c>
      <c r="E996" t="s">
        <v>329</v>
      </c>
      <c r="F996" t="s">
        <v>33</v>
      </c>
      <c r="G996" t="s">
        <v>1596</v>
      </c>
      <c r="H996">
        <v>80477.210000000006</v>
      </c>
      <c r="I996" t="s">
        <v>225</v>
      </c>
      <c r="J996">
        <v>-3774604066</v>
      </c>
      <c r="K996" t="s">
        <v>30</v>
      </c>
      <c r="L996" t="b">
        <v>0</v>
      </c>
    </row>
    <row r="997" spans="1:12" x14ac:dyDescent="0.35">
      <c r="A997" t="s">
        <v>1597</v>
      </c>
      <c r="B997" t="s">
        <v>13</v>
      </c>
      <c r="C997" t="s">
        <v>26</v>
      </c>
      <c r="D997">
        <v>30</v>
      </c>
      <c r="E997" t="s">
        <v>70</v>
      </c>
      <c r="F997" t="s">
        <v>33</v>
      </c>
      <c r="G997" t="s">
        <v>1598</v>
      </c>
      <c r="H997">
        <v>61240.9</v>
      </c>
      <c r="I997" t="s">
        <v>50</v>
      </c>
      <c r="J997">
        <v>-2007843613</v>
      </c>
      <c r="K997" t="s">
        <v>41</v>
      </c>
      <c r="L997" t="b">
        <v>1</v>
      </c>
    </row>
    <row r="998" spans="1:12" x14ac:dyDescent="0.35">
      <c r="A998" t="s">
        <v>1599</v>
      </c>
      <c r="B998" t="s">
        <v>59</v>
      </c>
      <c r="C998" t="s">
        <v>122</v>
      </c>
      <c r="D998">
        <v>40</v>
      </c>
      <c r="E998" t="s">
        <v>103</v>
      </c>
      <c r="F998" t="s">
        <v>16</v>
      </c>
      <c r="G998" t="s">
        <v>1600</v>
      </c>
      <c r="H998">
        <v>51939.29</v>
      </c>
      <c r="I998" t="s">
        <v>341</v>
      </c>
      <c r="J998">
        <v>-2442607818</v>
      </c>
      <c r="K998" t="s">
        <v>23</v>
      </c>
      <c r="L998" t="b">
        <v>1</v>
      </c>
    </row>
    <row r="999" spans="1:12" x14ac:dyDescent="0.35">
      <c r="A999" t="s">
        <v>1601</v>
      </c>
      <c r="B999" t="s">
        <v>32</v>
      </c>
      <c r="C999" t="s">
        <v>20</v>
      </c>
      <c r="D999">
        <v>40</v>
      </c>
      <c r="E999" t="s">
        <v>265</v>
      </c>
      <c r="F999" t="s">
        <v>33</v>
      </c>
      <c r="G999" t="s">
        <v>1166</v>
      </c>
      <c r="H999">
        <v>95284.54</v>
      </c>
      <c r="I999" t="s">
        <v>155</v>
      </c>
      <c r="J999">
        <v>-7543734763</v>
      </c>
      <c r="K999" t="s">
        <v>30</v>
      </c>
      <c r="L999" t="b">
        <v>0</v>
      </c>
    </row>
    <row r="1000" spans="1:12" x14ac:dyDescent="0.35">
      <c r="A1000" t="s">
        <v>1602</v>
      </c>
      <c r="B1000" t="s">
        <v>54</v>
      </c>
      <c r="C1000" t="s">
        <v>43</v>
      </c>
      <c r="D1000">
        <v>35</v>
      </c>
      <c r="E1000" t="s">
        <v>103</v>
      </c>
      <c r="F1000" t="s">
        <v>33</v>
      </c>
      <c r="G1000" s="1">
        <v>45418</v>
      </c>
      <c r="H1000">
        <v>106247.67</v>
      </c>
      <c r="I1000" t="s">
        <v>87</v>
      </c>
      <c r="J1000">
        <v>-2737203762</v>
      </c>
      <c r="K1000" t="s">
        <v>23</v>
      </c>
      <c r="L1000" t="b">
        <v>1</v>
      </c>
    </row>
    <row r="1001" spans="1:12" x14ac:dyDescent="0.35">
      <c r="A1001" t="s">
        <v>1603</v>
      </c>
      <c r="B1001" t="s">
        <v>54</v>
      </c>
      <c r="C1001" t="s">
        <v>38</v>
      </c>
      <c r="D1001">
        <v>25</v>
      </c>
      <c r="E1001" t="s">
        <v>230</v>
      </c>
      <c r="F1001" t="s">
        <v>16</v>
      </c>
      <c r="G1001" t="s">
        <v>777</v>
      </c>
      <c r="H1001">
        <v>110170.88</v>
      </c>
      <c r="I1001" t="s">
        <v>90</v>
      </c>
      <c r="J1001">
        <v>-8821458413</v>
      </c>
      <c r="K1001" t="s">
        <v>41</v>
      </c>
      <c r="L1001" t="b">
        <v>1</v>
      </c>
    </row>
    <row r="1002" spans="1:12" x14ac:dyDescent="0.35">
      <c r="A1002" t="s">
        <v>1604</v>
      </c>
      <c r="B1002" t="s">
        <v>54</v>
      </c>
      <c r="C1002" t="s">
        <v>92</v>
      </c>
      <c r="D1002">
        <v>25</v>
      </c>
      <c r="E1002" t="s">
        <v>149</v>
      </c>
      <c r="F1002" t="s">
        <v>28</v>
      </c>
      <c r="G1002" s="1">
        <v>45571</v>
      </c>
      <c r="H1002">
        <v>52615.44</v>
      </c>
      <c r="I1002" t="s">
        <v>502</v>
      </c>
      <c r="J1002">
        <v>-8460191343</v>
      </c>
      <c r="K1002" t="s">
        <v>18</v>
      </c>
      <c r="L1002" t="b">
        <v>1</v>
      </c>
    </row>
    <row r="1003" spans="1:12" x14ac:dyDescent="0.35">
      <c r="A1003" t="s">
        <v>1605</v>
      </c>
      <c r="B1003" t="s">
        <v>32</v>
      </c>
      <c r="C1003" t="s">
        <v>14</v>
      </c>
      <c r="D1003">
        <v>30</v>
      </c>
      <c r="E1003" t="s">
        <v>78</v>
      </c>
      <c r="F1003" t="s">
        <v>33</v>
      </c>
      <c r="G1003" t="s">
        <v>1250</v>
      </c>
      <c r="H1003">
        <v>82547.259999999995</v>
      </c>
      <c r="I1003" t="s">
        <v>35</v>
      </c>
      <c r="J1003">
        <v>-3899827801</v>
      </c>
      <c r="K1003" t="s">
        <v>18</v>
      </c>
      <c r="L1003" t="b">
        <v>0</v>
      </c>
    </row>
    <row r="1004" spans="1:12" x14ac:dyDescent="0.35">
      <c r="A1004" t="s">
        <v>1606</v>
      </c>
      <c r="B1004" t="s">
        <v>13</v>
      </c>
      <c r="C1004" t="s">
        <v>122</v>
      </c>
      <c r="D1004">
        <v>35</v>
      </c>
      <c r="E1004" t="s">
        <v>265</v>
      </c>
      <c r="F1004" t="s">
        <v>28</v>
      </c>
      <c r="G1004" t="s">
        <v>1254</v>
      </c>
      <c r="H1004">
        <v>63049.22</v>
      </c>
      <c r="I1004" t="s">
        <v>123</v>
      </c>
      <c r="J1004">
        <v>-586950731</v>
      </c>
      <c r="K1004" t="s">
        <v>30</v>
      </c>
      <c r="L1004" t="b">
        <v>1</v>
      </c>
    </row>
    <row r="1005" spans="1:12" x14ac:dyDescent="0.35">
      <c r="A1005" t="s">
        <v>1607</v>
      </c>
      <c r="B1005" t="s">
        <v>37</v>
      </c>
      <c r="C1005" t="s">
        <v>122</v>
      </c>
      <c r="D1005">
        <v>35</v>
      </c>
      <c r="E1005" t="s">
        <v>146</v>
      </c>
      <c r="F1005" t="s">
        <v>28</v>
      </c>
      <c r="G1005" t="s">
        <v>969</v>
      </c>
      <c r="H1005">
        <v>115229.12</v>
      </c>
      <c r="I1005" t="s">
        <v>137</v>
      </c>
      <c r="J1005">
        <v>-1464493698</v>
      </c>
      <c r="K1005" t="s">
        <v>23</v>
      </c>
      <c r="L1005" t="b">
        <v>1</v>
      </c>
    </row>
    <row r="1006" spans="1:12" x14ac:dyDescent="0.35">
      <c r="A1006" t="s">
        <v>1608</v>
      </c>
      <c r="B1006" t="s">
        <v>69</v>
      </c>
      <c r="C1006" t="s">
        <v>122</v>
      </c>
      <c r="D1006">
        <v>25</v>
      </c>
      <c r="E1006" t="s">
        <v>78</v>
      </c>
      <c r="F1006" t="s">
        <v>28</v>
      </c>
      <c r="G1006" t="s">
        <v>727</v>
      </c>
      <c r="H1006">
        <v>60687.63</v>
      </c>
      <c r="I1006" t="s">
        <v>135</v>
      </c>
      <c r="J1006">
        <v>-9516793349</v>
      </c>
      <c r="K1006" t="s">
        <v>23</v>
      </c>
      <c r="L1006" t="b">
        <v>0</v>
      </c>
    </row>
    <row r="1007" spans="1:12" x14ac:dyDescent="0.35">
      <c r="A1007" t="s">
        <v>1609</v>
      </c>
      <c r="B1007" t="s">
        <v>37</v>
      </c>
      <c r="C1007" t="s">
        <v>26</v>
      </c>
      <c r="D1007">
        <v>30</v>
      </c>
      <c r="E1007" t="s">
        <v>265</v>
      </c>
      <c r="F1007" t="s">
        <v>33</v>
      </c>
      <c r="G1007" t="s">
        <v>1164</v>
      </c>
      <c r="H1007">
        <v>67492.73</v>
      </c>
      <c r="I1007" t="s">
        <v>47</v>
      </c>
      <c r="J1007">
        <v>-5573857367</v>
      </c>
      <c r="K1007" t="s">
        <v>30</v>
      </c>
      <c r="L1007" t="b">
        <v>1</v>
      </c>
    </row>
    <row r="1008" spans="1:12" x14ac:dyDescent="0.35">
      <c r="A1008" t="s">
        <v>1610</v>
      </c>
      <c r="B1008" t="s">
        <v>69</v>
      </c>
      <c r="C1008" t="s">
        <v>20</v>
      </c>
      <c r="E1008" t="s">
        <v>192</v>
      </c>
      <c r="F1008" t="s">
        <v>33</v>
      </c>
      <c r="G1008" t="s">
        <v>600</v>
      </c>
      <c r="H1008">
        <v>77821.789999999994</v>
      </c>
      <c r="I1008" t="s">
        <v>201</v>
      </c>
      <c r="J1008">
        <v>-119236036</v>
      </c>
      <c r="K1008" t="s">
        <v>18</v>
      </c>
      <c r="L1008" t="b">
        <v>0</v>
      </c>
    </row>
    <row r="1009" spans="1:12" x14ac:dyDescent="0.35">
      <c r="A1009" t="s">
        <v>1611</v>
      </c>
      <c r="B1009" t="s">
        <v>54</v>
      </c>
      <c r="C1009" t="s">
        <v>26</v>
      </c>
      <c r="D1009">
        <v>35</v>
      </c>
      <c r="E1009" t="s">
        <v>237</v>
      </c>
      <c r="F1009" t="s">
        <v>16</v>
      </c>
      <c r="G1009" t="s">
        <v>919</v>
      </c>
      <c r="H1009">
        <v>69146.95</v>
      </c>
      <c r="I1009" t="s">
        <v>120</v>
      </c>
      <c r="J1009">
        <v>-6811872332</v>
      </c>
      <c r="K1009" t="s">
        <v>41</v>
      </c>
      <c r="L1009" t="b">
        <v>0</v>
      </c>
    </row>
    <row r="1010" spans="1:12" x14ac:dyDescent="0.35">
      <c r="A1010" t="s">
        <v>1612</v>
      </c>
      <c r="B1010" t="s">
        <v>69</v>
      </c>
      <c r="C1010" t="s">
        <v>20</v>
      </c>
      <c r="D1010">
        <v>35</v>
      </c>
      <c r="E1010" t="s">
        <v>27</v>
      </c>
      <c r="F1010" t="s">
        <v>33</v>
      </c>
      <c r="G1010" s="1">
        <v>44898</v>
      </c>
      <c r="H1010">
        <v>90224.82</v>
      </c>
      <c r="I1010" t="s">
        <v>201</v>
      </c>
      <c r="J1010">
        <v>-5104096148</v>
      </c>
      <c r="K1010" t="s">
        <v>30</v>
      </c>
      <c r="L1010" t="b">
        <v>1</v>
      </c>
    </row>
    <row r="1011" spans="1:12" x14ac:dyDescent="0.35">
      <c r="A1011" t="s">
        <v>1613</v>
      </c>
      <c r="B1011" t="s">
        <v>59</v>
      </c>
      <c r="C1011" t="s">
        <v>43</v>
      </c>
      <c r="E1011" t="s">
        <v>265</v>
      </c>
      <c r="F1011" t="s">
        <v>28</v>
      </c>
      <c r="G1011" s="1">
        <v>45602</v>
      </c>
      <c r="H1011">
        <v>62603.98</v>
      </c>
      <c r="I1011" t="s">
        <v>101</v>
      </c>
      <c r="J1011">
        <v>-7315391148</v>
      </c>
      <c r="K1011" t="s">
        <v>41</v>
      </c>
      <c r="L1011" t="b">
        <v>0</v>
      </c>
    </row>
    <row r="1012" spans="1:12" x14ac:dyDescent="0.35">
      <c r="A1012" t="s">
        <v>1614</v>
      </c>
      <c r="B1012" t="s">
        <v>13</v>
      </c>
      <c r="C1012" t="s">
        <v>26</v>
      </c>
      <c r="D1012">
        <v>35</v>
      </c>
      <c r="E1012" t="s">
        <v>219</v>
      </c>
      <c r="F1012" t="s">
        <v>16</v>
      </c>
      <c r="G1012" s="1">
        <v>45571</v>
      </c>
      <c r="H1012">
        <v>71148.27</v>
      </c>
      <c r="I1012" t="s">
        <v>50</v>
      </c>
      <c r="J1012">
        <v>-8307482072</v>
      </c>
      <c r="K1012" t="s">
        <v>18</v>
      </c>
      <c r="L1012" t="b">
        <v>0</v>
      </c>
    </row>
    <row r="1013" spans="1:12" x14ac:dyDescent="0.35">
      <c r="A1013" t="s">
        <v>1615</v>
      </c>
      <c r="B1013" t="s">
        <v>59</v>
      </c>
      <c r="C1013" t="s">
        <v>26</v>
      </c>
      <c r="D1013">
        <v>40</v>
      </c>
      <c r="E1013" t="s">
        <v>118</v>
      </c>
      <c r="F1013" t="s">
        <v>33</v>
      </c>
      <c r="G1013" t="s">
        <v>224</v>
      </c>
      <c r="H1013">
        <v>52031.74</v>
      </c>
      <c r="I1013" t="s">
        <v>242</v>
      </c>
      <c r="J1013">
        <v>-6511893939</v>
      </c>
      <c r="K1013" t="s">
        <v>23</v>
      </c>
      <c r="L1013" t="b">
        <v>1</v>
      </c>
    </row>
    <row r="1014" spans="1:12" x14ac:dyDescent="0.35">
      <c r="A1014" t="s">
        <v>1616</v>
      </c>
      <c r="B1014" t="s">
        <v>69</v>
      </c>
      <c r="C1014" t="s">
        <v>92</v>
      </c>
      <c r="D1014">
        <v>35</v>
      </c>
      <c r="E1014" t="s">
        <v>230</v>
      </c>
      <c r="F1014" t="s">
        <v>33</v>
      </c>
      <c r="G1014" t="s">
        <v>1101</v>
      </c>
      <c r="H1014" t="s">
        <v>277</v>
      </c>
      <c r="I1014" t="s">
        <v>168</v>
      </c>
      <c r="J1014">
        <v>-6557820189</v>
      </c>
      <c r="K1014" t="s">
        <v>18</v>
      </c>
      <c r="L1014" t="b">
        <v>0</v>
      </c>
    </row>
    <row r="1015" spans="1:12" x14ac:dyDescent="0.35">
      <c r="A1015" t="s">
        <v>1617</v>
      </c>
      <c r="B1015" t="s">
        <v>32</v>
      </c>
      <c r="C1015" t="s">
        <v>38</v>
      </c>
      <c r="E1015" t="s">
        <v>192</v>
      </c>
      <c r="F1015" t="s">
        <v>28</v>
      </c>
      <c r="G1015" s="1">
        <v>43984</v>
      </c>
      <c r="H1015">
        <v>116680.63</v>
      </c>
      <c r="I1015" t="s">
        <v>141</v>
      </c>
      <c r="J1015">
        <v>-4322302332</v>
      </c>
      <c r="K1015" t="s">
        <v>30</v>
      </c>
      <c r="L1015" t="b">
        <v>0</v>
      </c>
    </row>
    <row r="1016" spans="1:12" x14ac:dyDescent="0.35">
      <c r="A1016" t="s">
        <v>1618</v>
      </c>
      <c r="B1016" t="s">
        <v>69</v>
      </c>
      <c r="C1016" t="s">
        <v>26</v>
      </c>
      <c r="D1016">
        <v>30</v>
      </c>
      <c r="E1016" t="s">
        <v>100</v>
      </c>
      <c r="F1016" t="s">
        <v>28</v>
      </c>
      <c r="G1016" t="s">
        <v>1523</v>
      </c>
      <c r="H1016">
        <v>51990.98</v>
      </c>
      <c r="I1016" t="s">
        <v>76</v>
      </c>
      <c r="J1016">
        <v>-2470739200</v>
      </c>
      <c r="K1016" t="s">
        <v>23</v>
      </c>
      <c r="L1016" t="b">
        <v>1</v>
      </c>
    </row>
    <row r="1017" spans="1:12" x14ac:dyDescent="0.35">
      <c r="A1017" t="s">
        <v>1619</v>
      </c>
      <c r="B1017" t="s">
        <v>59</v>
      </c>
      <c r="C1017" t="s">
        <v>92</v>
      </c>
      <c r="D1017">
        <v>30</v>
      </c>
      <c r="E1017" t="s">
        <v>146</v>
      </c>
      <c r="F1017" t="s">
        <v>16</v>
      </c>
      <c r="G1017" t="s">
        <v>1027</v>
      </c>
      <c r="H1017" t="s">
        <v>277</v>
      </c>
      <c r="I1017" t="s">
        <v>107</v>
      </c>
      <c r="J1017">
        <v>-3546212759</v>
      </c>
      <c r="K1017" t="s">
        <v>30</v>
      </c>
      <c r="L1017" t="b">
        <v>1</v>
      </c>
    </row>
    <row r="1018" spans="1:12" x14ac:dyDescent="0.35">
      <c r="A1018" t="s">
        <v>1620</v>
      </c>
      <c r="B1018" t="s">
        <v>59</v>
      </c>
      <c r="C1018" t="s">
        <v>55</v>
      </c>
      <c r="D1018">
        <v>30</v>
      </c>
      <c r="E1018" t="s">
        <v>159</v>
      </c>
      <c r="F1018" t="s">
        <v>33</v>
      </c>
      <c r="G1018" s="1">
        <v>44388</v>
      </c>
      <c r="H1018">
        <v>100215.06</v>
      </c>
      <c r="I1018" t="s">
        <v>217</v>
      </c>
      <c r="J1018">
        <v>-2508261122</v>
      </c>
      <c r="K1018" t="s">
        <v>30</v>
      </c>
      <c r="L1018" t="b">
        <v>1</v>
      </c>
    </row>
    <row r="1019" spans="1:12" x14ac:dyDescent="0.35">
      <c r="A1019" t="s">
        <v>1621</v>
      </c>
      <c r="B1019" t="s">
        <v>54</v>
      </c>
      <c r="C1019" t="s">
        <v>38</v>
      </c>
      <c r="D1019">
        <v>40</v>
      </c>
      <c r="E1019" t="s">
        <v>227</v>
      </c>
      <c r="F1019" t="s">
        <v>16</v>
      </c>
      <c r="G1019" s="1">
        <v>45026</v>
      </c>
      <c r="H1019">
        <v>114587.11</v>
      </c>
      <c r="I1019" t="s">
        <v>90</v>
      </c>
      <c r="J1019">
        <v>-1261632487</v>
      </c>
      <c r="K1019" t="s">
        <v>18</v>
      </c>
      <c r="L1019" t="b">
        <v>0</v>
      </c>
    </row>
    <row r="1020" spans="1:12" x14ac:dyDescent="0.35">
      <c r="A1020" t="s">
        <v>1622</v>
      </c>
      <c r="B1020" t="s">
        <v>25</v>
      </c>
      <c r="C1020" t="s">
        <v>43</v>
      </c>
      <c r="D1020">
        <v>30</v>
      </c>
      <c r="E1020" t="s">
        <v>212</v>
      </c>
      <c r="F1020" t="s">
        <v>33</v>
      </c>
      <c r="G1020" t="s">
        <v>1285</v>
      </c>
      <c r="H1020">
        <v>71318.789999999994</v>
      </c>
      <c r="I1020" t="s">
        <v>45</v>
      </c>
      <c r="J1020">
        <v>-8995729892</v>
      </c>
      <c r="K1020" t="s">
        <v>30</v>
      </c>
      <c r="L1020" t="b">
        <v>1</v>
      </c>
    </row>
    <row r="1021" spans="1:12" x14ac:dyDescent="0.35">
      <c r="A1021" t="s">
        <v>1623</v>
      </c>
      <c r="B1021" t="s">
        <v>65</v>
      </c>
      <c r="C1021" t="s">
        <v>26</v>
      </c>
      <c r="D1021">
        <v>30</v>
      </c>
      <c r="E1021" t="s">
        <v>78</v>
      </c>
      <c r="F1021" t="s">
        <v>28</v>
      </c>
      <c r="G1021" t="s">
        <v>637</v>
      </c>
      <c r="H1021">
        <v>77764.240000000005</v>
      </c>
      <c r="I1021" t="s">
        <v>320</v>
      </c>
      <c r="J1021">
        <v>-7629745492</v>
      </c>
      <c r="K1021" t="s">
        <v>18</v>
      </c>
      <c r="L1021" t="b">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9D6363-3605-4FA2-8D4B-9BFD418F9C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Project &amp; Scope</vt:lpstr>
      <vt:lpstr>2. Dashboard</vt:lpstr>
      <vt:lpstr>3. Exploratory Data Analysis</vt:lpstr>
      <vt:lpstr>4. Quality Report</vt:lpstr>
      <vt:lpstr>5. Data Cleaning</vt:lpstr>
      <vt:lpstr>6. 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Lita Firstianti</dc:creator>
  <cp:lastModifiedBy>Lita Firstianti</cp:lastModifiedBy>
  <dcterms:created xsi:type="dcterms:W3CDTF">2026-10-18T12:31:26Z</dcterms:created>
  <dcterms:modified xsi:type="dcterms:W3CDTF">2026-10-27T07:05:30Z</dcterms:modified>
</cp:coreProperties>
</file>